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805" yWindow="-75" windowWidth="6435" windowHeight="7740" tabRatio="852" firstSheet="1" activeTab="1"/>
  </bookViews>
  <sheets>
    <sheet name="Context" sheetId="66" state="hidden" r:id="rId1"/>
    <sheet name="PL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ForecastAdmin">Context!$B$15</definedName>
    <definedName name="ActualMonth">Context!$B$13</definedName>
    <definedName name="ActualMonthYTD">Context!$F$13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PL!$I$22:$AC$44</definedName>
    <definedName name="AutoRefresh_PL">PL!$F$1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COM_pl_1">PL!$E$93</definedName>
    <definedName name="DBS_COM_pl_2">PL!$E$94</definedName>
    <definedName name="DBS_COM_pl_3">PL!$E$95</definedName>
    <definedName name="DBS_COM_pl_4">PL!$E$96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PL!$10:$23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Context!$B$17:$B$18</definedName>
    <definedName name="LocalLanguage">Context!$B$16</definedName>
    <definedName name="LocalLanguage2">Context!$C$16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Context!$B$22:$B$24</definedName>
    <definedName name="PhaseHidden_1">PL!$L$6</definedName>
    <definedName name="PhaseHidden_2">PL!$W$6</definedName>
    <definedName name="PhaseList">PL!$F$6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PL!$E$9:$AC$90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M11" i="58" l="1"/>
  <c r="F10" i="58"/>
  <c r="B13" i="66"/>
  <c r="F18" i="58"/>
  <c r="I18" i="58"/>
  <c r="I20" i="58"/>
  <c r="C13" i="66"/>
  <c r="D13" i="66"/>
  <c r="E13" i="66"/>
  <c r="AN13" i="58"/>
  <c r="F21" i="58"/>
  <c r="F14" i="58"/>
  <c r="F15" i="58"/>
  <c r="F20" i="58"/>
  <c r="B5" i="66"/>
  <c r="F17" i="58"/>
  <c r="F19" i="58"/>
  <c r="H2" i="58"/>
  <c r="J25" i="58"/>
  <c r="K25" i="58"/>
  <c r="AN14" i="58"/>
  <c r="F6" i="58"/>
  <c r="L25" i="58"/>
  <c r="M25" i="58"/>
  <c r="O25" i="58"/>
  <c r="AJ58" i="58"/>
  <c r="AM58" i="58"/>
  <c r="AK59" i="58"/>
  <c r="AK60" i="58"/>
  <c r="AK61" i="58"/>
  <c r="J2" i="58"/>
  <c r="AJ63" i="58"/>
  <c r="AO63" i="58"/>
  <c r="F13" i="66"/>
  <c r="AL63" i="58"/>
  <c r="AL90" i="58"/>
  <c r="AL91" i="58"/>
  <c r="AN62" i="58"/>
  <c r="AL64" i="58"/>
  <c r="AJ84" i="58"/>
  <c r="AL84" i="58"/>
  <c r="AM63" i="58"/>
  <c r="AM90" i="58"/>
  <c r="AM91" i="58"/>
  <c r="AM64" i="58"/>
  <c r="AM84" i="58"/>
  <c r="AN63" i="58"/>
  <c r="AN90" i="58"/>
  <c r="AN91" i="58"/>
  <c r="AN64" i="58"/>
  <c r="AN84" i="58"/>
  <c r="AO90" i="58"/>
  <c r="AO91" i="58"/>
  <c r="AO64" i="58"/>
  <c r="AO84" i="58"/>
  <c r="AP63" i="58"/>
  <c r="AP90" i="58"/>
  <c r="AP91" i="58"/>
  <c r="AP64" i="58"/>
  <c r="AP84" i="58"/>
  <c r="AK63" i="58"/>
  <c r="AK90" i="58"/>
  <c r="AK91" i="58"/>
  <c r="AK64" i="58"/>
  <c r="AK84" i="58"/>
  <c r="AJ78" i="58"/>
  <c r="AL78" i="58"/>
  <c r="AM78" i="58"/>
  <c r="AN78" i="58"/>
  <c r="AO78" i="58"/>
  <c r="AP78" i="58"/>
  <c r="AK78" i="58"/>
  <c r="AJ72" i="58"/>
  <c r="AL72" i="58"/>
  <c r="AM72" i="58"/>
  <c r="AN72" i="58"/>
  <c r="AO72" i="58"/>
  <c r="AP72" i="58"/>
  <c r="AK72" i="58"/>
  <c r="AJ66" i="58"/>
  <c r="AL66" i="58"/>
  <c r="AM66" i="58"/>
  <c r="AN66" i="58"/>
  <c r="AO66" i="58"/>
  <c r="AP66" i="58"/>
  <c r="AK66" i="58"/>
  <c r="AJ87" i="58"/>
  <c r="AP87" i="58"/>
  <c r="AO87" i="58"/>
  <c r="AN87" i="58"/>
  <c r="AM87" i="58"/>
  <c r="AL87" i="58"/>
  <c r="AJ86" i="58"/>
  <c r="AP86" i="58"/>
  <c r="AO86" i="58"/>
  <c r="AN86" i="58"/>
  <c r="AM86" i="58"/>
  <c r="AL86" i="58"/>
  <c r="AJ81" i="58"/>
  <c r="AP81" i="58"/>
  <c r="AO81" i="58"/>
  <c r="AN81" i="58"/>
  <c r="AM81" i="58"/>
  <c r="AL81" i="58"/>
  <c r="AJ80" i="58"/>
  <c r="AP80" i="58"/>
  <c r="AO80" i="58"/>
  <c r="AN80" i="58"/>
  <c r="AM80" i="58"/>
  <c r="AL80" i="58"/>
  <c r="AJ75" i="58"/>
  <c r="AP75" i="58"/>
  <c r="AO75" i="58"/>
  <c r="AN75" i="58"/>
  <c r="AM75" i="58"/>
  <c r="AL75" i="58"/>
  <c r="AJ74" i="58"/>
  <c r="AP74" i="58"/>
  <c r="AO74" i="58"/>
  <c r="AN74" i="58"/>
  <c r="AM74" i="58"/>
  <c r="AL74" i="58"/>
  <c r="AK87" i="58"/>
  <c r="AK86" i="58"/>
  <c r="AK81" i="58"/>
  <c r="AK80" i="58"/>
  <c r="AK75" i="58"/>
  <c r="AK74" i="58"/>
  <c r="AJ68" i="58"/>
  <c r="AI68" i="58"/>
  <c r="AJ69" i="58"/>
  <c r="AP69" i="58"/>
  <c r="AO69" i="58"/>
  <c r="AN69" i="58"/>
  <c r="AM69" i="58"/>
  <c r="AL69" i="58"/>
  <c r="AK68" i="58"/>
  <c r="AK69" i="58"/>
  <c r="AP68" i="58"/>
  <c r="AO68" i="58"/>
  <c r="AN68" i="58"/>
  <c r="AM68" i="58"/>
  <c r="AL68" i="58"/>
  <c r="X44" i="58"/>
  <c r="X42" i="58"/>
  <c r="X40" i="58"/>
  <c r="X38" i="58"/>
  <c r="X36" i="58"/>
  <c r="X34" i="58"/>
  <c r="X33" i="58"/>
  <c r="X32" i="58"/>
  <c r="X31" i="58"/>
  <c r="X30" i="58"/>
  <c r="X28" i="58"/>
  <c r="X27" i="58"/>
  <c r="X26" i="58"/>
  <c r="X25" i="58"/>
  <c r="W44" i="58"/>
  <c r="W42" i="58"/>
  <c r="W40" i="58"/>
  <c r="W38" i="58"/>
  <c r="W36" i="58"/>
  <c r="W34" i="58"/>
  <c r="W33" i="58"/>
  <c r="W32" i="58"/>
  <c r="W31" i="58"/>
  <c r="W30" i="58"/>
  <c r="W28" i="58"/>
  <c r="W27" i="58"/>
  <c r="W26" i="58"/>
  <c r="W25" i="58"/>
  <c r="L44" i="58"/>
  <c r="L42" i="58"/>
  <c r="L40" i="58"/>
  <c r="L38" i="58"/>
  <c r="L36" i="58"/>
  <c r="L34" i="58"/>
  <c r="L33" i="58"/>
  <c r="L32" i="58"/>
  <c r="L31" i="58"/>
  <c r="L30" i="58"/>
  <c r="L28" i="58"/>
  <c r="L27" i="58"/>
  <c r="L26" i="58"/>
  <c r="M44" i="58"/>
  <c r="M42" i="58"/>
  <c r="M40" i="58"/>
  <c r="M38" i="58"/>
  <c r="M36" i="58"/>
  <c r="M34" i="58"/>
  <c r="M33" i="58"/>
  <c r="M32" i="58"/>
  <c r="M31" i="58"/>
  <c r="M30" i="58"/>
  <c r="M28" i="58"/>
  <c r="M27" i="58"/>
  <c r="M26" i="58"/>
  <c r="K44" i="58"/>
  <c r="K42" i="58"/>
  <c r="K40" i="58"/>
  <c r="K38" i="58"/>
  <c r="K36" i="58"/>
  <c r="K34" i="58"/>
  <c r="K33" i="58"/>
  <c r="K32" i="58"/>
  <c r="K31" i="58"/>
  <c r="K30" i="58"/>
  <c r="K28" i="58"/>
  <c r="K27" i="58"/>
  <c r="K26" i="58"/>
  <c r="AN15" i="58"/>
  <c r="AK65" i="58"/>
  <c r="J33" i="58"/>
  <c r="J26" i="58"/>
  <c r="J22" i="58"/>
  <c r="K22" i="58"/>
  <c r="L22" i="58"/>
  <c r="M22" i="58"/>
  <c r="O22" i="58"/>
  <c r="Y10" i="58"/>
  <c r="AO65" i="58"/>
  <c r="H3" i="58"/>
  <c r="I25" i="58"/>
  <c r="R25" i="58"/>
  <c r="Q25" i="58"/>
  <c r="AI71" i="58"/>
  <c r="AJ79" i="58"/>
  <c r="AK79" i="58"/>
  <c r="I44" i="58"/>
  <c r="AJ85" i="58"/>
  <c r="AM85" i="58"/>
  <c r="AM79" i="58"/>
  <c r="AO85" i="58"/>
  <c r="AN85" i="58"/>
  <c r="AN79" i="58"/>
  <c r="AJ73" i="58"/>
  <c r="AN73" i="58"/>
  <c r="AI77" i="58"/>
  <c r="AI72" i="58"/>
  <c r="AI84" i="58"/>
  <c r="AI86" i="58"/>
  <c r="AI85" i="58"/>
  <c r="AJ67" i="58"/>
  <c r="AI67" i="58"/>
  <c r="AI73" i="58"/>
  <c r="AI75" i="58"/>
  <c r="AI81" i="58"/>
  <c r="AI80" i="58"/>
  <c r="AI79" i="58"/>
  <c r="AI78" i="58"/>
  <c r="U22" i="58"/>
  <c r="X22" i="58"/>
  <c r="V22" i="58"/>
  <c r="W22" i="58"/>
  <c r="Z22" i="58"/>
  <c r="AI87" i="58"/>
  <c r="AK67" i="58"/>
  <c r="AI69" i="58"/>
  <c r="V26" i="58"/>
  <c r="U26" i="58"/>
  <c r="Z26" i="58"/>
  <c r="AA26" i="58"/>
  <c r="V27" i="58"/>
  <c r="U27" i="58"/>
  <c r="Z27" i="58"/>
  <c r="AA27" i="58"/>
  <c r="V28" i="58"/>
  <c r="U28" i="58"/>
  <c r="Z28" i="58"/>
  <c r="AA28" i="58"/>
  <c r="V30" i="58"/>
  <c r="U30" i="58"/>
  <c r="Z30" i="58"/>
  <c r="AA30" i="58"/>
  <c r="V31" i="58"/>
  <c r="U31" i="58"/>
  <c r="Z31" i="58"/>
  <c r="AA31" i="58"/>
  <c r="V32" i="58"/>
  <c r="U32" i="58"/>
  <c r="Z32" i="58"/>
  <c r="AA32" i="58"/>
  <c r="V33" i="58"/>
  <c r="U33" i="58"/>
  <c r="Z33" i="58"/>
  <c r="AA33" i="58"/>
  <c r="V34" i="58"/>
  <c r="U34" i="58"/>
  <c r="Z34" i="58"/>
  <c r="AA34" i="58"/>
  <c r="V36" i="58"/>
  <c r="U36" i="58"/>
  <c r="Z36" i="58"/>
  <c r="AA36" i="58"/>
  <c r="V38" i="58"/>
  <c r="U38" i="58"/>
  <c r="Z38" i="58"/>
  <c r="AA38" i="58"/>
  <c r="V40" i="58"/>
  <c r="U40" i="58"/>
  <c r="Z40" i="58"/>
  <c r="AA40" i="58"/>
  <c r="V42" i="58"/>
  <c r="U42" i="58"/>
  <c r="Z42" i="58"/>
  <c r="AA42" i="58"/>
  <c r="V44" i="58"/>
  <c r="U44" i="58"/>
  <c r="Z44" i="58"/>
  <c r="AA44" i="58"/>
  <c r="V25" i="58"/>
  <c r="U25" i="58"/>
  <c r="Z25" i="58"/>
  <c r="AA25" i="58"/>
  <c r="O26" i="58"/>
  <c r="P26" i="58"/>
  <c r="J27" i="58"/>
  <c r="O27" i="58"/>
  <c r="P27" i="58"/>
  <c r="J28" i="58"/>
  <c r="O28" i="58"/>
  <c r="P28" i="58"/>
  <c r="J30" i="58"/>
  <c r="O30" i="58"/>
  <c r="P30" i="58"/>
  <c r="J31" i="58"/>
  <c r="O31" i="58"/>
  <c r="P31" i="58"/>
  <c r="J32" i="58"/>
  <c r="O32" i="58"/>
  <c r="P32" i="58"/>
  <c r="O33" i="58"/>
  <c r="P33" i="58"/>
  <c r="J34" i="58"/>
  <c r="O34" i="58"/>
  <c r="P34" i="58"/>
  <c r="J36" i="58"/>
  <c r="O36" i="58"/>
  <c r="P36" i="58"/>
  <c r="J38" i="58"/>
  <c r="O38" i="58"/>
  <c r="P38" i="58"/>
  <c r="J40" i="58"/>
  <c r="O40" i="58"/>
  <c r="P40" i="58"/>
  <c r="J42" i="58"/>
  <c r="O42" i="58"/>
  <c r="P42" i="58"/>
  <c r="J44" i="58"/>
  <c r="O44" i="58"/>
  <c r="P44" i="58"/>
  <c r="P25" i="58"/>
  <c r="I30" i="58"/>
  <c r="R30" i="58"/>
  <c r="I31" i="58"/>
  <c r="R31" i="58"/>
  <c r="I32" i="58"/>
  <c r="R32" i="58"/>
  <c r="I33" i="58"/>
  <c r="R33" i="58"/>
  <c r="I34" i="58"/>
  <c r="R34" i="58"/>
  <c r="I36" i="58"/>
  <c r="R36" i="58"/>
  <c r="I38" i="58"/>
  <c r="R38" i="58"/>
  <c r="I40" i="58"/>
  <c r="R40" i="58"/>
  <c r="I42" i="58"/>
  <c r="R42" i="58"/>
  <c r="R44" i="58"/>
  <c r="I26" i="58"/>
  <c r="R26" i="58"/>
  <c r="I27" i="58"/>
  <c r="R27" i="58"/>
  <c r="I28" i="58"/>
  <c r="R28" i="58"/>
  <c r="J3" i="58"/>
  <c r="T30" i="58"/>
  <c r="AC30" i="58"/>
  <c r="AB30" i="58"/>
  <c r="T31" i="58"/>
  <c r="AB31" i="58"/>
  <c r="T32" i="58"/>
  <c r="AB32" i="58"/>
  <c r="T33" i="58"/>
  <c r="AB33" i="58"/>
  <c r="T34" i="58"/>
  <c r="AB34" i="58"/>
  <c r="T36" i="58"/>
  <c r="AB36" i="58"/>
  <c r="T38" i="58"/>
  <c r="AB38" i="58"/>
  <c r="T40" i="58"/>
  <c r="AB40" i="58"/>
  <c r="T42" i="58"/>
  <c r="AB42" i="58"/>
  <c r="T44" i="58"/>
  <c r="AB44" i="58"/>
  <c r="T26" i="58"/>
  <c r="AB26" i="58"/>
  <c r="T27" i="58"/>
  <c r="AB27" i="58"/>
  <c r="T28" i="58"/>
  <c r="AB28" i="58"/>
  <c r="T25" i="58"/>
  <c r="AB25" i="58"/>
  <c r="Q30" i="58"/>
  <c r="Q31" i="58"/>
  <c r="Q32" i="58"/>
  <c r="Q33" i="58"/>
  <c r="Q34" i="58"/>
  <c r="Q36" i="58"/>
  <c r="Q38" i="58"/>
  <c r="Q40" i="58"/>
  <c r="Q42" i="58"/>
  <c r="Q44" i="58"/>
  <c r="Q27" i="58"/>
  <c r="Q26" i="58"/>
  <c r="Q28" i="58"/>
  <c r="H5" i="58"/>
  <c r="AC2" i="58"/>
  <c r="AI74" i="58"/>
  <c r="AI65" i="58"/>
  <c r="AN67" i="58"/>
  <c r="AI83" i="58"/>
  <c r="I22" i="58"/>
  <c r="T22" i="58"/>
  <c r="AB22" i="58"/>
  <c r="Q22" i="58"/>
  <c r="Z20" i="58"/>
  <c r="B16" i="66"/>
  <c r="C16" i="66"/>
  <c r="B15" i="66"/>
  <c r="AC44" i="58"/>
  <c r="AC42" i="58"/>
  <c r="AC40" i="58"/>
  <c r="AC38" i="58"/>
  <c r="AC36" i="58"/>
  <c r="AC34" i="58"/>
  <c r="AC33" i="58"/>
  <c r="AC32" i="58"/>
  <c r="AC31" i="58"/>
  <c r="AC28" i="58"/>
  <c r="AC27" i="58"/>
  <c r="AC26" i="58"/>
  <c r="AC25" i="58"/>
  <c r="AK85" i="58"/>
  <c r="AL85" i="58"/>
  <c r="AP85" i="58"/>
  <c r="AL79" i="58"/>
  <c r="AO79" i="58"/>
  <c r="AP79" i="58"/>
  <c r="AM73" i="58"/>
  <c r="AK73" i="58"/>
  <c r="AL73" i="58"/>
  <c r="AO73" i="58"/>
  <c r="AP73" i="58"/>
  <c r="AM67" i="58"/>
  <c r="AL67" i="58"/>
  <c r="AO67" i="58"/>
  <c r="AP67" i="58"/>
  <c r="AP65" i="58"/>
  <c r="AN65" i="58"/>
  <c r="AM65" i="58"/>
  <c r="AL65" i="58"/>
  <c r="AI66" i="58"/>
  <c r="O20" i="58"/>
  <c r="E44" i="58"/>
  <c r="E42" i="58"/>
  <c r="E40" i="58"/>
  <c r="E33" i="58"/>
  <c r="E36" i="58"/>
  <c r="E34" i="58"/>
  <c r="E30" i="58"/>
  <c r="E28" i="58"/>
  <c r="E27" i="58"/>
  <c r="E26" i="58"/>
  <c r="E25" i="58"/>
  <c r="T20" i="58"/>
  <c r="B14" i="66"/>
  <c r="T18" i="58"/>
  <c r="E17" i="58"/>
  <c r="E23" i="58"/>
  <c r="E16" i="58"/>
  <c r="E15" i="58"/>
  <c r="E14" i="58"/>
  <c r="E21" i="58"/>
  <c r="E20" i="58"/>
  <c r="E19" i="58"/>
  <c r="E18" i="58"/>
  <c r="E13" i="58"/>
  <c r="E38" i="58"/>
  <c r="E31" i="58"/>
  <c r="E32" i="58"/>
</calcChain>
</file>

<file path=xl/sharedStrings.xml><?xml version="1.0" encoding="utf-8"?>
<sst xmlns="http://schemas.openxmlformats.org/spreadsheetml/2006/main" count="147" uniqueCount="129">
  <si>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</si>
  <si>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</si>
  <si>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</si>
  <si>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</si>
  <si>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</si>
  <si>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</si>
  <si>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</si>
  <si>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</si>
  <si>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</si>
  <si>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</si>
  <si>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</si>
  <si>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</si>
  <si>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</si>
  <si>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</si>
  <si>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</si>
  <si>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</si>
  <si>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</si>
  <si>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</si>
  <si>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</si>
  <si>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</si>
  <si>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</si>
  <si>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</si>
  <si>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</si>
  <si>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</si>
  <si>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</si>
  <si>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</si>
  <si>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</si>
  <si>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</si>
  <si>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Flag Send Comment :</t>
  </si>
  <si>
    <t>Context_selection</t>
  </si>
  <si>
    <t>Management_organization</t>
  </si>
  <si>
    <t>Legal_organization</t>
  </si>
  <si>
    <t>Variances</t>
  </si>
  <si>
    <t>z_Translate_Report</t>
  </si>
  <si>
    <t>Integration_rate</t>
  </si>
  <si>
    <t>Language</t>
  </si>
  <si>
    <t>TPL10_dest</t>
  </si>
  <si>
    <t>Year</t>
  </si>
  <si>
    <t>YearToDate</t>
  </si>
  <si>
    <t>Ytd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</si>
  <si>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</si>
  <si>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</si>
  <si>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</si>
  <si>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</si>
  <si>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</si>
  <si>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</si>
  <si>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</si>
  <si>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</si>
  <si>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</si>
  <si>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</si>
  <si>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</si>
  <si>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</si>
  <si>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volume_effect</t>
  </si>
  <si>
    <t>price_effect</t>
  </si>
  <si>
    <t>output</t>
  </si>
  <si>
    <t>Prior_year</t>
  </si>
  <si>
    <t>Period</t>
  </si>
  <si>
    <t>Budget</t>
  </si>
  <si>
    <t>Forecast_1</t>
  </si>
  <si>
    <t>Forecast_2</t>
  </si>
  <si>
    <t>Actual_N_2</t>
  </si>
  <si>
    <t>Forecast2_N_1</t>
  </si>
  <si>
    <t>List 1</t>
  </si>
  <si>
    <t>Trend arrows</t>
  </si>
  <si>
    <t>ì</t>
  </si>
  <si>
    <t>î</t>
  </si>
  <si>
    <t>è</t>
  </si>
  <si>
    <t>ROA</t>
  </si>
  <si>
    <t>Gross_Margin</t>
  </si>
  <si>
    <t>Operational_Profit</t>
  </si>
  <si>
    <t>Langue</t>
  </si>
  <si>
    <t>Français</t>
  </si>
  <si>
    <t>Projets</t>
  </si>
  <si>
    <t>Annee_pleine</t>
  </si>
  <si>
    <t>A_Date</t>
  </si>
  <si>
    <t xml:space="preserve">Forecast Version </t>
  </si>
  <si>
    <t>RP_PL_Corp</t>
  </si>
  <si>
    <t>RP_Comments_PL_Corp</t>
  </si>
  <si>
    <t>Month</t>
  </si>
  <si>
    <t>Previous Month</t>
  </si>
  <si>
    <t>YTD</t>
  </si>
  <si>
    <t>P&amp;L :</t>
  </si>
  <si>
    <t>BUDG_TOT</t>
  </si>
  <si>
    <t>ACT_TOT</t>
  </si>
  <si>
    <t>Reste_a_encourir</t>
  </si>
  <si>
    <t>Pourcent_reste_a_encourir</t>
  </si>
  <si>
    <t>Pourcent_consommation</t>
  </si>
  <si>
    <t>Pdts_ope</t>
  </si>
  <si>
    <t>Fact_PMAD</t>
  </si>
  <si>
    <t>PL1003_RC_40_2020</t>
  </si>
  <si>
    <t>Indicator_Corp</t>
  </si>
  <si>
    <t>Chges_ope</t>
  </si>
  <si>
    <t>Cout_ext</t>
  </si>
  <si>
    <t>Frais_perso_assi</t>
  </si>
  <si>
    <t>Frais_dep</t>
  </si>
  <si>
    <t>Cout_enviro_taxes_dot</t>
  </si>
  <si>
    <t>CAFOP</t>
  </si>
  <si>
    <t>TPL1_dest_avt_mgmt_fees</t>
  </si>
  <si>
    <t>PL1355_MF</t>
  </si>
  <si>
    <t>TPL1_dest_aprs_mgmt_fees</t>
  </si>
  <si>
    <t>Tot_capex</t>
  </si>
  <si>
    <t>Tiers</t>
  </si>
  <si>
    <t>Matricules</t>
  </si>
  <si>
    <t>VTD</t>
  </si>
  <si>
    <t>Tot_tiers</t>
  </si>
  <si>
    <t>Indicateurs_Ope</t>
  </si>
  <si>
    <t>Integration_Rate</t>
  </si>
  <si>
    <t>NO_APP</t>
  </si>
  <si>
    <t>LCL</t>
  </si>
  <si>
    <t>Local_Gaap_Mgmt_tool</t>
  </si>
  <si>
    <t>2nd particule</t>
  </si>
  <si>
    <t>Periode</t>
  </si>
  <si>
    <t>Mois 1 à 6</t>
  </si>
  <si>
    <t>Mois 7 à 12</t>
  </si>
  <si>
    <t>Mois 4 à 9</t>
  </si>
  <si>
    <t>AutoRefresh_PL</t>
  </si>
  <si>
    <t>Phase sélectionnée pour les commentaires</t>
  </si>
  <si>
    <t>Indicator_Corp for comments</t>
  </si>
  <si>
    <t>Traduction Phase</t>
  </si>
  <si>
    <t>Compte_résultat_Corporate_synthèse</t>
  </si>
  <si>
    <t>FC_1_TOT</t>
  </si>
  <si>
    <t>FC_2_TOT</t>
  </si>
  <si>
    <t>Prior year</t>
  </si>
  <si>
    <t>Actual_N_1</t>
  </si>
  <si>
    <t>PhaseHidden 1</t>
  </si>
  <si>
    <t>PhaseHidden 2</t>
  </si>
  <si>
    <t>Phase for the macro (hidden columns)</t>
  </si>
  <si>
    <t>tango_core_model:</t>
  </si>
  <si>
    <t>TFR-AP019298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</si>
</sst>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#,##0.0"/>
    <numFmt numFmtId="172" formatCode="0.0%"/>
    <numFmt numFmtId="173" formatCode="00"/>
    <numFmt numFmtId="174" formatCode="#,##0.0;&quot;(&quot;#,##0.0&quot;)&quot;"/>
    <numFmt numFmtId="175" formatCode="#,##0;&quot;(&quot;#,##0&quot;)&quot;"/>
  </numFmts>
  <fonts count="9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8"/>
      <color indexed="17"/>
      <name val="Calibri"/>
      <family val="2"/>
    </font>
    <font>
      <b/>
      <sz val="10"/>
      <name val="Arial"/>
      <family val="2"/>
    </font>
    <font>
      <b/>
      <sz val="18"/>
      <name val="Calibri"/>
      <family val="2"/>
    </font>
    <font>
      <b/>
      <sz val="18"/>
      <color indexed="57"/>
      <name val="Wingdings"/>
      <charset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32"/>
      <color indexed="9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18"/>
      <name val="Calibri"/>
      <family val="2"/>
    </font>
    <font>
      <sz val="15"/>
      <name val="Calibri"/>
      <family val="2"/>
    </font>
    <font>
      <sz val="15"/>
      <color indexed="61"/>
      <name val="Calibri"/>
      <family val="2"/>
    </font>
    <font>
      <b/>
      <sz val="15"/>
      <name val="Calibri"/>
      <family val="2"/>
    </font>
    <font>
      <b/>
      <sz val="18"/>
      <color indexed="46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3"/>
      <name val="Wingdings"/>
      <charset val="2"/>
    </font>
    <font>
      <i/>
      <sz val="15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b/>
      <i/>
      <sz val="22"/>
      <color indexed="9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18"/>
      <name val="Wingdings"/>
      <charset val="2"/>
    </font>
    <font>
      <b/>
      <sz val="10"/>
      <color indexed="10"/>
      <name val="Arial"/>
      <family val="2"/>
    </font>
    <font>
      <b/>
      <sz val="11"/>
      <color rgb="FFFF0000"/>
      <name val="Arial"/>
      <family val="2"/>
    </font>
    <font>
      <b/>
      <i/>
      <sz val="15"/>
      <name val="Calibri"/>
      <family val="2"/>
    </font>
    <font>
      <sz val="10"/>
      <color theme="0"/>
      <name val="Arial"/>
      <family val="2"/>
    </font>
    <font>
      <b/>
      <sz val="16"/>
      <name val="Calibri"/>
      <family val="2"/>
    </font>
    <font>
      <b/>
      <sz val="16"/>
      <color indexed="9"/>
      <name val="Calibri"/>
      <family val="2"/>
    </font>
    <font>
      <b/>
      <sz val="13"/>
      <name val="Calibri"/>
      <family val="2"/>
    </font>
    <font>
      <sz val="13"/>
      <name val="Calibri"/>
      <family val="2"/>
    </font>
    <font>
      <b/>
      <sz val="16"/>
      <color indexed="46"/>
      <name val="Calibri"/>
      <family val="2"/>
    </font>
    <font>
      <b/>
      <sz val="18"/>
      <color indexed="52"/>
      <name val="Wingdings"/>
      <charset val="2"/>
    </font>
    <font>
      <sz val="11"/>
      <color rgb="FFFF0000"/>
      <name val="Calibri"/>
      <family val="2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6"/>
      <name val="Calibri"/>
      <family val="2"/>
    </font>
    <font>
      <b/>
      <sz val="16"/>
      <color indexed="57"/>
      <name val="Wingdings"/>
      <charset val="2"/>
    </font>
    <font>
      <b/>
      <sz val="18"/>
      <color rgb="FF8F071A"/>
      <name val="Calibri"/>
      <family val="2"/>
    </font>
    <font>
      <b/>
      <sz val="16"/>
      <color rgb="FF8F071A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rgb="FF7F8399"/>
        <bgColor indexed="64"/>
      </patternFill>
    </fill>
  </fills>
  <borders count="4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9"/>
      </left>
      <right/>
      <top/>
      <bottom/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/>
      <top style="medium">
        <color indexed="46"/>
      </top>
      <bottom style="medium">
        <color indexed="46"/>
      </bottom>
      <diagonal/>
    </border>
    <border>
      <left style="dotted">
        <color indexed="64"/>
      </left>
      <right/>
      <top/>
      <bottom/>
      <diagonal/>
    </border>
    <border>
      <left style="medium">
        <color indexed="9"/>
      </left>
      <right/>
      <top style="thick">
        <color indexed="9"/>
      </top>
      <bottom/>
      <diagonal/>
    </border>
    <border>
      <left style="medium">
        <color indexed="9"/>
      </left>
      <right style="medium">
        <color indexed="9"/>
      </right>
      <top style="thick">
        <color indexed="9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/>
      <top/>
      <bottom style="medium">
        <color indexed="46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indexed="9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medium">
        <color rgb="FF8F071A"/>
      </bottom>
      <diagonal/>
    </border>
    <border>
      <left/>
      <right/>
      <top style="medium">
        <color rgb="FF8F071A"/>
      </top>
      <bottom style="medium">
        <color rgb="FF8F071A"/>
      </bottom>
      <diagonal/>
    </border>
  </borders>
  <cellStyleXfs count="288">
    <xf numFmtId="0" fontId="0" fillId="0" borderId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4" fillId="3" borderId="0" applyNumberFormat="0" applyBorder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25" fillId="7" borderId="1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6" fillId="20" borderId="3" applyNumberFormat="0" applyAlignment="0" applyProtection="0"/>
    <xf numFmtId="0" fontId="19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29" fillId="4" borderId="0" applyNumberFormat="0" applyBorder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0" fillId="0" borderId="7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1" fillId="0" borderId="8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7" fillId="7" borderId="1" applyNumberFormat="0" applyAlignment="0" applyProtection="0"/>
    <xf numFmtId="0" fontId="24" fillId="3" borderId="0" applyNumberFormat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166" fontId="35" fillId="22" borderId="0" applyNumberFormat="0" applyBorder="0">
      <alignment horizontal="right"/>
      <protection locked="0"/>
    </xf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0" fontId="26" fillId="0" borderId="2" applyNumberFormat="0" applyFill="0" applyAlignment="0" applyProtection="0"/>
    <xf numFmtId="167" fontId="36" fillId="23" borderId="0" applyNumberFormat="0" applyBorder="0">
      <alignment horizontal="right" vertical="center"/>
      <protection locked="0"/>
    </xf>
    <xf numFmtId="168" fontId="36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7" fillId="25" borderId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8" fillId="26" borderId="0" applyNumberFormat="0" applyBorder="0" applyAlignment="0" applyProtection="0"/>
    <xf numFmtId="0" fontId="37" fillId="25" borderId="0"/>
    <xf numFmtId="0" fontId="37" fillId="25" borderId="0"/>
    <xf numFmtId="169" fontId="39" fillId="0" borderId="0"/>
    <xf numFmtId="0" fontId="2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22" fillId="21" borderId="5" applyNumberFormat="0" applyFont="0" applyAlignment="0" applyProtection="0"/>
    <xf numFmtId="0" fontId="37" fillId="25" borderId="0"/>
    <xf numFmtId="0" fontId="40" fillId="7" borderId="10" applyNumberFormat="0" applyAlignment="0" applyProtection="0"/>
    <xf numFmtId="0" fontId="40" fillId="7" borderId="10" applyNumberFormat="0" applyAlignment="0" applyProtection="0"/>
    <xf numFmtId="0" fontId="40" fillId="7" borderId="10" applyNumberFormat="0" applyAlignment="0" applyProtection="0"/>
    <xf numFmtId="0" fontId="40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9" fillId="12" borderId="0" applyNumberFormat="0" applyBorder="0" applyAlignment="0" applyProtection="0"/>
    <xf numFmtId="0" fontId="40" fillId="27" borderId="10" applyNumberFormat="0" applyAlignment="0" applyProtection="0"/>
    <xf numFmtId="0" fontId="28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170" fontId="43" fillId="28" borderId="0" applyNumberFormat="0" applyBorder="0">
      <alignment horizontal="left" vertical="center"/>
      <protection locked="0"/>
    </xf>
    <xf numFmtId="170" fontId="44" fillId="22" borderId="0" applyNumberFormat="0" applyBorder="0">
      <alignment horizontal="left"/>
      <protection locked="0"/>
    </xf>
    <xf numFmtId="0" fontId="45" fillId="0" borderId="6" applyNumberFormat="0" applyFill="0" applyAlignment="0" applyProtection="0"/>
    <xf numFmtId="0" fontId="46" fillId="0" borderId="11" applyNumberFormat="0" applyFill="0" applyAlignment="0" applyProtection="0"/>
    <xf numFmtId="0" fontId="47" fillId="0" borderId="12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16" fillId="20" borderId="3" applyNumberFormat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63">
    <xf numFmtId="0" fontId="0" fillId="0" borderId="0" xfId="0"/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05" applyFont="1" applyFill="1" applyBorder="1" applyAlignment="1" applyProtection="1">
      <alignment vertical="center"/>
    </xf>
    <xf numFmtId="0" fontId="6" fillId="0" borderId="0" xfId="205" applyFont="1" applyFill="1" applyBorder="1" applyAlignment="1" applyProtection="1">
      <alignment vertical="center"/>
    </xf>
    <xf numFmtId="171" fontId="11" fillId="0" borderId="0" xfId="205" applyNumberFormat="1" applyFont="1" applyFill="1" applyBorder="1" applyAlignment="1" applyProtection="1">
      <alignment horizontal="left" vertical="center"/>
    </xf>
    <xf numFmtId="0" fontId="13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52" fillId="0" borderId="0" xfId="205" applyFont="1" applyFill="1" applyBorder="1" applyAlignment="1" applyProtection="1">
      <alignment vertical="center"/>
    </xf>
    <xf numFmtId="0" fontId="53" fillId="0" borderId="0" xfId="205" applyFont="1" applyFill="1" applyBorder="1" applyAlignment="1" applyProtection="1">
      <alignment horizontal="right" vertical="center" indent="1"/>
    </xf>
    <xf numFmtId="0" fontId="20" fillId="0" borderId="0" xfId="205" applyFont="1" applyFill="1" applyBorder="1" applyAlignment="1" applyProtection="1">
      <alignment horizontal="right" vertical="center" indent="1"/>
    </xf>
    <xf numFmtId="0" fontId="61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62" fillId="30" borderId="14" xfId="0" applyFont="1" applyFill="1" applyBorder="1" applyAlignment="1" applyProtection="1">
      <alignment horizontal="left"/>
      <protection locked="0"/>
    </xf>
    <xf numFmtId="0" fontId="60" fillId="30" borderId="15" xfId="0" applyFont="1" applyFill="1" applyBorder="1" applyProtection="1">
      <protection locked="0"/>
    </xf>
    <xf numFmtId="0" fontId="59" fillId="31" borderId="16" xfId="0" applyFont="1" applyFill="1" applyBorder="1" applyProtection="1">
      <protection locked="0"/>
    </xf>
    <xf numFmtId="0" fontId="59" fillId="0" borderId="16" xfId="0" applyFont="1" applyBorder="1" applyProtection="1">
      <protection locked="0"/>
    </xf>
    <xf numFmtId="0" fontId="59" fillId="0" borderId="16" xfId="0" applyNumberFormat="1" applyFont="1" applyBorder="1" applyProtection="1">
      <protection locked="0"/>
    </xf>
    <xf numFmtId="0" fontId="0" fillId="0" borderId="0" xfId="0" applyProtection="1"/>
    <xf numFmtId="0" fontId="58" fillId="0" borderId="0" xfId="0" applyFont="1" applyFill="1" applyBorder="1" applyAlignment="1" applyProtection="1">
      <alignment horizontal="right"/>
    </xf>
    <xf numFmtId="0" fontId="0" fillId="0" borderId="0" xfId="0" applyBorder="1" applyProtection="1"/>
    <xf numFmtId="0" fontId="0" fillId="0" borderId="17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7" fillId="29" borderId="18" xfId="0" applyFont="1" applyFill="1" applyBorder="1" applyAlignment="1" applyProtection="1">
      <alignment horizontal="left" vertical="center"/>
    </xf>
    <xf numFmtId="0" fontId="51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vertical="center"/>
    </xf>
    <xf numFmtId="0" fontId="14" fillId="0" borderId="19" xfId="196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horizontal="left"/>
    </xf>
    <xf numFmtId="0" fontId="14" fillId="0" borderId="0" xfId="196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</xf>
    <xf numFmtId="0" fontId="18" fillId="0" borderId="0" xfId="196" applyFont="1" applyFill="1" applyBorder="1" applyAlignment="1" applyProtection="1">
      <alignment horizontal="center"/>
    </xf>
    <xf numFmtId="0" fontId="4" fillId="0" borderId="0" xfId="0" applyFont="1" applyProtection="1"/>
    <xf numFmtId="0" fontId="58" fillId="0" borderId="0" xfId="0" applyFont="1" applyAlignment="1" applyProtection="1">
      <alignment horizontal="right"/>
    </xf>
    <xf numFmtId="0" fontId="63" fillId="33" borderId="4" xfId="0" applyFont="1" applyFill="1" applyBorder="1" applyAlignment="1" applyProtection="1">
      <alignment horizontal="center"/>
    </xf>
    <xf numFmtId="0" fontId="64" fillId="30" borderId="4" xfId="0" applyFont="1" applyFill="1" applyBorder="1" applyProtection="1"/>
    <xf numFmtId="0" fontId="0" fillId="34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65" fillId="0" borderId="0" xfId="0" applyFont="1" applyProtection="1"/>
    <xf numFmtId="0" fontId="59" fillId="0" borderId="20" xfId="0" applyFont="1" applyBorder="1" applyProtection="1">
      <protection locked="0"/>
    </xf>
    <xf numFmtId="0" fontId="0" fillId="0" borderId="0" xfId="0" applyProtection="1"/>
    <xf numFmtId="0" fontId="67" fillId="0" borderId="0" xfId="205" applyFont="1" applyFill="1" applyBorder="1" applyAlignment="1" applyProtection="1">
      <alignment horizontal="right" vertical="center"/>
    </xf>
    <xf numFmtId="0" fontId="68" fillId="0" borderId="0" xfId="205" applyFont="1" applyFill="1" applyBorder="1" applyAlignment="1" applyProtection="1">
      <alignment vertical="center"/>
    </xf>
    <xf numFmtId="0" fontId="67" fillId="0" borderId="0" xfId="205" applyFont="1" applyFill="1" applyBorder="1" applyAlignment="1" applyProtection="1">
      <alignment vertical="center"/>
    </xf>
    <xf numFmtId="0" fontId="3" fillId="0" borderId="0" xfId="205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54" fillId="0" borderId="19" xfId="196" applyFont="1" applyFill="1" applyBorder="1" applyAlignment="1" applyProtection="1">
      <alignment horizontal="center"/>
    </xf>
    <xf numFmtId="0" fontId="0" fillId="0" borderId="0" xfId="0" applyFill="1" applyBorder="1" applyProtection="1"/>
    <xf numFmtId="0" fontId="7" fillId="0" borderId="25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4" fillId="29" borderId="0" xfId="205" applyFont="1" applyFill="1" applyBorder="1" applyAlignment="1" applyProtection="1">
      <alignment vertical="center"/>
    </xf>
    <xf numFmtId="0" fontId="4" fillId="35" borderId="0" xfId="205" applyFont="1" applyFill="1" applyBorder="1" applyAlignment="1" applyProtection="1">
      <alignment vertical="center"/>
    </xf>
    <xf numFmtId="0" fontId="49" fillId="30" borderId="0" xfId="0" applyFont="1" applyFill="1" applyBorder="1" applyAlignment="1" applyProtection="1">
      <alignment vertical="center"/>
    </xf>
    <xf numFmtId="0" fontId="2" fillId="0" borderId="29" xfId="0" applyFont="1" applyBorder="1" applyProtection="1"/>
    <xf numFmtId="0" fontId="2" fillId="0" borderId="31" xfId="0" applyFont="1" applyFill="1" applyBorder="1" applyProtection="1"/>
    <xf numFmtId="0" fontId="2" fillId="0" borderId="31" xfId="0" applyFont="1" applyBorder="1" applyProtection="1"/>
    <xf numFmtId="0" fontId="2" fillId="0" borderId="30" xfId="0" applyFont="1" applyBorder="1" applyProtection="1"/>
    <xf numFmtId="0" fontId="0" fillId="0" borderId="29" xfId="0" applyBorder="1" applyProtection="1"/>
    <xf numFmtId="0" fontId="3" fillId="36" borderId="29" xfId="205" applyFont="1" applyFill="1" applyBorder="1" applyAlignment="1" applyProtection="1">
      <alignment horizontal="center" vertical="center"/>
    </xf>
    <xf numFmtId="0" fontId="0" fillId="0" borderId="32" xfId="0" applyBorder="1" applyProtection="1"/>
    <xf numFmtId="0" fontId="7" fillId="29" borderId="33" xfId="0" applyFont="1" applyFill="1" applyBorder="1" applyAlignment="1" applyProtection="1">
      <alignment horizontal="left" vertical="center"/>
    </xf>
    <xf numFmtId="0" fontId="0" fillId="0" borderId="31" xfId="0" applyBorder="1" applyProtection="1"/>
    <xf numFmtId="0" fontId="4" fillId="0" borderId="30" xfId="205" applyFont="1" applyFill="1" applyBorder="1" applyAlignment="1" applyProtection="1">
      <alignment vertical="center"/>
    </xf>
    <xf numFmtId="0" fontId="2" fillId="0" borderId="29" xfId="0" applyFont="1" applyBorder="1"/>
    <xf numFmtId="0" fontId="0" fillId="0" borderId="31" xfId="0" applyBorder="1"/>
    <xf numFmtId="0" fontId="0" fillId="0" borderId="30" xfId="0" applyBorder="1"/>
    <xf numFmtId="0" fontId="11" fillId="0" borderId="31" xfId="205" applyFont="1" applyFill="1" applyBorder="1" applyAlignment="1" applyProtection="1">
      <alignment vertical="center"/>
    </xf>
    <xf numFmtId="0" fontId="11" fillId="0" borderId="30" xfId="205" applyFont="1" applyFill="1" applyBorder="1" applyAlignment="1" applyProtection="1">
      <alignment vertical="center"/>
    </xf>
    <xf numFmtId="0" fontId="2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73" fillId="0" borderId="32" xfId="0" applyFont="1" applyBorder="1" applyAlignment="1" applyProtection="1">
      <alignment horizontal="center"/>
    </xf>
    <xf numFmtId="0" fontId="75" fillId="0" borderId="0" xfId="0" applyFont="1" applyProtection="1"/>
    <xf numFmtId="0" fontId="0" fillId="0" borderId="29" xfId="0" applyFont="1" applyFill="1" applyBorder="1" applyProtection="1"/>
    <xf numFmtId="0" fontId="4" fillId="0" borderId="31" xfId="205" applyFont="1" applyFill="1" applyBorder="1" applyAlignment="1" applyProtection="1">
      <alignment vertical="center"/>
    </xf>
    <xf numFmtId="0" fontId="63" fillId="0" borderId="36" xfId="0" applyFont="1" applyBorder="1" applyAlignment="1" applyProtection="1">
      <alignment horizontal="center"/>
    </xf>
    <xf numFmtId="0" fontId="71" fillId="0" borderId="29" xfId="0" applyFont="1" applyBorder="1" applyAlignment="1" applyProtection="1">
      <alignment horizontal="center"/>
    </xf>
    <xf numFmtId="0" fontId="72" fillId="0" borderId="30" xfId="0" applyFont="1" applyBorder="1" applyAlignment="1" applyProtection="1">
      <alignment horizontal="center" vertical="center"/>
    </xf>
    <xf numFmtId="0" fontId="66" fillId="0" borderId="0" xfId="222" applyFont="1" applyFill="1" applyBorder="1" applyAlignment="1" applyProtection="1">
      <alignment horizontal="left" vertical="center"/>
    </xf>
    <xf numFmtId="0" fontId="0" fillId="0" borderId="31" xfId="0" applyFill="1" applyBorder="1" applyProtection="1"/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73" fontId="0" fillId="0" borderId="0" xfId="0" applyNumberFormat="1" applyAlignment="1" applyProtection="1">
      <alignment horizontal="center"/>
      <protection locked="0"/>
    </xf>
    <xf numFmtId="0" fontId="19" fillId="0" borderId="0" xfId="0" applyFont="1" applyProtection="1"/>
    <xf numFmtId="0" fontId="3" fillId="0" borderId="0" xfId="205" applyFont="1" applyFill="1" applyBorder="1" applyAlignment="1" applyProtection="1"/>
    <xf numFmtId="0" fontId="0" fillId="0" borderId="29" xfId="0" applyBorder="1"/>
    <xf numFmtId="0" fontId="0" fillId="38" borderId="0" xfId="0" applyFill="1" applyProtection="1"/>
    <xf numFmtId="0" fontId="77" fillId="37" borderId="0" xfId="0" applyFont="1" applyFill="1" applyProtection="1"/>
    <xf numFmtId="0" fontId="52" fillId="38" borderId="0" xfId="205" applyFont="1" applyFill="1" applyBorder="1" applyAlignment="1" applyProtection="1">
      <alignment vertical="center"/>
    </xf>
    <xf numFmtId="0" fontId="18" fillId="38" borderId="0" xfId="196" applyFont="1" applyFill="1" applyBorder="1" applyAlignment="1" applyProtection="1">
      <alignment horizontal="center"/>
    </xf>
    <xf numFmtId="0" fontId="52" fillId="0" borderId="0" xfId="205" applyFont="1" applyFill="1" applyBorder="1" applyAlignment="1" applyProtection="1">
      <alignment horizontal="right" vertical="center" indent="1"/>
    </xf>
    <xf numFmtId="0" fontId="55" fillId="0" borderId="0" xfId="205" applyFont="1" applyFill="1" applyBorder="1" applyAlignment="1" applyProtection="1">
      <alignment horizontal="right" vertical="center" indent="1"/>
    </xf>
    <xf numFmtId="0" fontId="4" fillId="0" borderId="0" xfId="222" applyFont="1" applyFill="1" applyBorder="1" applyAlignment="1">
      <alignment horizontal="left" vertical="center"/>
    </xf>
    <xf numFmtId="0" fontId="66" fillId="0" borderId="0" xfId="222" applyFont="1" applyFill="1" applyBorder="1" applyAlignment="1" applyProtection="1">
      <alignment vertical="center"/>
    </xf>
    <xf numFmtId="171" fontId="76" fillId="0" borderId="0" xfId="205" applyNumberFormat="1" applyFont="1" applyFill="1" applyBorder="1" applyAlignment="1" applyProtection="1">
      <alignment horizontal="right" vertical="center" indent="1"/>
    </xf>
    <xf numFmtId="172" fontId="80" fillId="0" borderId="0" xfId="222" applyNumberFormat="1" applyFont="1" applyFill="1" applyBorder="1" applyAlignment="1">
      <alignment horizontal="right" vertical="center" wrapText="1" indent="1"/>
    </xf>
    <xf numFmtId="0" fontId="70" fillId="30" borderId="0" xfId="0" applyFont="1" applyFill="1" applyBorder="1" applyAlignment="1" applyProtection="1">
      <alignment vertical="center"/>
    </xf>
    <xf numFmtId="0" fontId="0" fillId="0" borderId="40" xfId="0" applyBorder="1" applyProtection="1"/>
    <xf numFmtId="0" fontId="0" fillId="0" borderId="42" xfId="0" applyBorder="1" applyProtection="1"/>
    <xf numFmtId="0" fontId="4" fillId="0" borderId="42" xfId="205" applyFont="1" applyFill="1" applyBorder="1" applyAlignment="1" applyProtection="1">
      <alignment vertical="center"/>
    </xf>
    <xf numFmtId="0" fontId="2" fillId="0" borderId="42" xfId="0" applyFont="1" applyBorder="1" applyProtection="1"/>
    <xf numFmtId="0" fontId="58" fillId="0" borderId="42" xfId="0" applyFont="1" applyBorder="1" applyProtection="1"/>
    <xf numFmtId="0" fontId="9" fillId="0" borderId="42" xfId="205" applyFont="1" applyFill="1" applyBorder="1" applyAlignment="1" applyProtection="1">
      <alignment horizontal="center" vertical="center"/>
    </xf>
    <xf numFmtId="0" fontId="4" fillId="0" borderId="42" xfId="205" applyFont="1" applyFill="1" applyBorder="1" applyAlignment="1" applyProtection="1">
      <alignment horizontal="center" vertical="center"/>
    </xf>
    <xf numFmtId="0" fontId="1" fillId="0" borderId="42" xfId="275" applyFill="1" applyBorder="1"/>
    <xf numFmtId="0" fontId="0" fillId="0" borderId="42" xfId="0" applyFill="1" applyBorder="1" applyProtection="1"/>
    <xf numFmtId="0" fontId="1" fillId="0" borderId="42" xfId="285" applyFill="1" applyBorder="1"/>
    <xf numFmtId="0" fontId="71" fillId="0" borderId="0" xfId="0" applyFont="1" applyFill="1" applyProtection="1"/>
    <xf numFmtId="174" fontId="52" fillId="0" borderId="0" xfId="205" applyNumberFormat="1" applyFont="1" applyFill="1" applyBorder="1" applyAlignment="1" applyProtection="1">
      <alignment horizontal="right" vertical="center" indent="1"/>
    </xf>
    <xf numFmtId="174" fontId="55" fillId="0" borderId="0" xfId="205" applyNumberFormat="1" applyFont="1" applyFill="1" applyBorder="1" applyAlignment="1" applyProtection="1">
      <alignment horizontal="right" vertical="center" indent="1"/>
    </xf>
    <xf numFmtId="174" fontId="53" fillId="0" borderId="0" xfId="205" applyNumberFormat="1" applyFont="1" applyFill="1" applyBorder="1" applyAlignment="1" applyProtection="1">
      <alignment horizontal="right" vertical="center" indent="1"/>
    </xf>
    <xf numFmtId="174" fontId="4" fillId="0" borderId="0" xfId="222" applyNumberFormat="1" applyFont="1" applyFill="1" applyBorder="1" applyAlignment="1">
      <alignment horizontal="left" vertical="center"/>
    </xf>
    <xf numFmtId="174" fontId="20" fillId="0" borderId="0" xfId="205" applyNumberFormat="1" applyFont="1" applyFill="1" applyBorder="1" applyAlignment="1" applyProtection="1">
      <alignment horizontal="right" vertical="center" indent="1"/>
    </xf>
    <xf numFmtId="174" fontId="21" fillId="0" borderId="0" xfId="196" applyNumberFormat="1" applyFont="1" applyFill="1" applyBorder="1" applyAlignment="1">
      <alignment horizontal="center" vertical="center"/>
    </xf>
    <xf numFmtId="174" fontId="83" fillId="0" borderId="0" xfId="222" applyNumberFormat="1" applyFont="1" applyFill="1" applyBorder="1" applyAlignment="1">
      <alignment horizontal="center" vertical="center" wrapText="1"/>
    </xf>
    <xf numFmtId="0" fontId="4" fillId="29" borderId="0" xfId="205" applyFont="1" applyFill="1" applyBorder="1" applyAlignment="1" applyProtection="1">
      <alignment horizontal="left" vertical="center"/>
    </xf>
    <xf numFmtId="0" fontId="5" fillId="29" borderId="0" xfId="205" applyFont="1" applyFill="1" applyBorder="1" applyAlignment="1" applyProtection="1">
      <alignment vertical="center"/>
    </xf>
    <xf numFmtId="0" fontId="6" fillId="29" borderId="0" xfId="205" applyFont="1" applyFill="1" applyBorder="1" applyAlignment="1" applyProtection="1">
      <alignment vertical="center"/>
    </xf>
    <xf numFmtId="0" fontId="5" fillId="35" borderId="0" xfId="205" applyFont="1" applyFill="1" applyBorder="1" applyAlignment="1" applyProtection="1">
      <alignment vertical="center"/>
    </xf>
    <xf numFmtId="0" fontId="6" fillId="35" borderId="0" xfId="205" applyFont="1" applyFill="1" applyBorder="1" applyAlignment="1" applyProtection="1">
      <alignment vertical="center"/>
    </xf>
    <xf numFmtId="0" fontId="4" fillId="35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84" fillId="0" borderId="0" xfId="205" applyFont="1" applyFill="1" applyBorder="1" applyAlignment="1" applyProtection="1">
      <alignment horizontal="center" vertical="center"/>
    </xf>
    <xf numFmtId="0" fontId="71" fillId="0" borderId="0" xfId="0" applyFont="1" applyAlignment="1" applyProtection="1">
      <alignment horizontal="left" vertical="center"/>
    </xf>
    <xf numFmtId="0" fontId="20" fillId="0" borderId="0" xfId="0" applyFont="1" applyFill="1" applyBorder="1" applyAlignment="1" applyProtection="1">
      <alignment horizontal="left" vertical="center"/>
    </xf>
    <xf numFmtId="0" fontId="72" fillId="0" borderId="0" xfId="0" applyFont="1" applyProtection="1"/>
    <xf numFmtId="1" fontId="0" fillId="0" borderId="0" xfId="0" applyNumberFormat="1" applyProtection="1"/>
    <xf numFmtId="0" fontId="85" fillId="0" borderId="0" xfId="0" applyFont="1" applyProtection="1"/>
    <xf numFmtId="0" fontId="75" fillId="0" borderId="0" xfId="0" applyFont="1" applyBorder="1" applyAlignment="1" applyProtection="1">
      <alignment horizontal="right"/>
    </xf>
    <xf numFmtId="0" fontId="19" fillId="0" borderId="0" xfId="0" applyFont="1" applyFill="1" applyBorder="1" applyProtection="1"/>
    <xf numFmtId="3" fontId="69" fillId="0" borderId="4" xfId="205" applyNumberFormat="1" applyFont="1" applyFill="1" applyBorder="1" applyAlignment="1" applyProtection="1">
      <alignment horizontal="center" vertical="center"/>
    </xf>
    <xf numFmtId="3" fontId="0" fillId="0" borderId="0" xfId="0" applyNumberFormat="1" applyProtection="1"/>
    <xf numFmtId="3" fontId="11" fillId="0" borderId="0" xfId="205" applyNumberFormat="1" applyFont="1" applyFill="1" applyBorder="1" applyAlignment="1" applyProtection="1">
      <alignment vertical="center"/>
    </xf>
    <xf numFmtId="0" fontId="74" fillId="0" borderId="0" xfId="0" applyFont="1" applyAlignment="1" applyProtection="1">
      <alignment horizontal="right"/>
    </xf>
    <xf numFmtId="0" fontId="86" fillId="0" borderId="0" xfId="0" applyFont="1" applyAlignment="1" applyProtection="1">
      <alignment horizontal="right"/>
    </xf>
    <xf numFmtId="0" fontId="64" fillId="30" borderId="0" xfId="0" applyFont="1" applyFill="1" applyBorder="1" applyProtection="1"/>
    <xf numFmtId="0" fontId="54" fillId="38" borderId="0" xfId="196" applyFont="1" applyFill="1" applyBorder="1" applyAlignment="1" applyProtection="1">
      <alignment horizontal="center"/>
    </xf>
    <xf numFmtId="174" fontId="20" fillId="38" borderId="0" xfId="205" applyNumberFormat="1" applyFont="1" applyFill="1" applyBorder="1" applyAlignment="1" applyProtection="1">
      <alignment horizontal="right" vertical="center" indent="1"/>
    </xf>
    <xf numFmtId="0" fontId="20" fillId="38" borderId="0" xfId="205" applyFont="1" applyFill="1" applyBorder="1" applyAlignment="1" applyProtection="1">
      <alignment horizontal="right" vertical="center" indent="1"/>
    </xf>
    <xf numFmtId="174" fontId="53" fillId="38" borderId="0" xfId="205" applyNumberFormat="1" applyFont="1" applyFill="1" applyBorder="1" applyAlignment="1" applyProtection="1">
      <alignment horizontal="right" vertical="center" indent="1"/>
    </xf>
    <xf numFmtId="174" fontId="55" fillId="38" borderId="0" xfId="205" applyNumberFormat="1" applyFont="1" applyFill="1" applyBorder="1" applyAlignment="1" applyProtection="1">
      <alignment horizontal="right" vertical="center" indent="1"/>
    </xf>
    <xf numFmtId="0" fontId="53" fillId="38" borderId="0" xfId="205" applyFont="1" applyFill="1" applyBorder="1" applyAlignment="1" applyProtection="1">
      <alignment horizontal="right" vertical="center" indent="1"/>
    </xf>
    <xf numFmtId="0" fontId="4" fillId="38" borderId="0" xfId="205" applyFont="1" applyFill="1" applyBorder="1" applyAlignment="1" applyProtection="1">
      <alignment vertical="center"/>
    </xf>
    <xf numFmtId="174" fontId="53" fillId="38" borderId="0" xfId="222" applyNumberFormat="1" applyFont="1" applyFill="1" applyBorder="1" applyAlignment="1" applyProtection="1">
      <alignment horizontal="right" vertical="center" indent="1"/>
    </xf>
    <xf numFmtId="174" fontId="55" fillId="38" borderId="0" xfId="222" applyNumberFormat="1" applyFont="1" applyFill="1" applyBorder="1" applyAlignment="1">
      <alignment horizontal="right" vertical="center" wrapText="1" indent="1"/>
    </xf>
    <xf numFmtId="174" fontId="81" fillId="38" borderId="0" xfId="222" applyNumberFormat="1" applyFont="1" applyFill="1" applyBorder="1" applyAlignment="1" applyProtection="1">
      <alignment horizontal="right" vertical="center" indent="1"/>
    </xf>
    <xf numFmtId="172" fontId="81" fillId="38" borderId="0" xfId="222" applyNumberFormat="1" applyFont="1" applyFill="1" applyBorder="1" applyAlignment="1" applyProtection="1">
      <alignment horizontal="right" vertical="center" indent="1"/>
    </xf>
    <xf numFmtId="0" fontId="21" fillId="38" borderId="0" xfId="196" applyFont="1" applyFill="1" applyBorder="1" applyAlignment="1">
      <alignment horizontal="center" vertical="center"/>
    </xf>
    <xf numFmtId="174" fontId="83" fillId="38" borderId="0" xfId="222" applyNumberFormat="1" applyFont="1" applyFill="1" applyBorder="1" applyAlignment="1">
      <alignment horizontal="center" vertical="center" wrapText="1"/>
    </xf>
    <xf numFmtId="0" fontId="72" fillId="0" borderId="0" xfId="0" applyFont="1" applyFill="1" applyBorder="1" applyAlignment="1" applyProtection="1"/>
    <xf numFmtId="0" fontId="77" fillId="37" borderId="0" xfId="0" applyFont="1" applyFill="1" applyBorder="1" applyAlignment="1" applyProtection="1"/>
    <xf numFmtId="0" fontId="77" fillId="37" borderId="41" xfId="0" applyFont="1" applyFill="1" applyBorder="1" applyAlignment="1" applyProtection="1">
      <alignment horizontal="right"/>
    </xf>
    <xf numFmtId="0" fontId="4" fillId="38" borderId="42" xfId="205" applyFont="1" applyFill="1" applyBorder="1" applyAlignment="1" applyProtection="1">
      <alignment horizontal="center" vertical="center"/>
    </xf>
    <xf numFmtId="172" fontId="53" fillId="38" borderId="0" xfId="222" applyNumberFormat="1" applyFont="1" applyFill="1" applyBorder="1" applyAlignment="1" applyProtection="1">
      <alignment horizontal="right" vertical="center" indent="1"/>
    </xf>
    <xf numFmtId="0" fontId="55" fillId="38" borderId="0" xfId="205" applyFont="1" applyFill="1" applyBorder="1" applyAlignment="1" applyProtection="1">
      <alignment horizontal="right" vertical="center" indent="1"/>
    </xf>
    <xf numFmtId="0" fontId="0" fillId="38" borderId="0" xfId="0" applyFill="1" applyBorder="1" applyProtection="1"/>
    <xf numFmtId="0" fontId="9" fillId="0" borderId="37" xfId="205" applyFont="1" applyFill="1" applyBorder="1" applyAlignment="1" applyProtection="1">
      <alignment horizontal="center" vertical="center"/>
    </xf>
    <xf numFmtId="0" fontId="52" fillId="0" borderId="41" xfId="205" applyFont="1" applyFill="1" applyBorder="1" applyAlignment="1" applyProtection="1">
      <alignment vertical="center"/>
    </xf>
    <xf numFmtId="174" fontId="56" fillId="38" borderId="0" xfId="222" applyNumberFormat="1" applyFont="1" applyFill="1" applyBorder="1" applyAlignment="1" applyProtection="1">
      <alignment horizontal="right" vertical="center" indent="1"/>
    </xf>
    <xf numFmtId="174" fontId="21" fillId="38" borderId="0" xfId="196" applyNumberFormat="1" applyFont="1" applyFill="1" applyBorder="1" applyAlignment="1">
      <alignment horizontal="center" vertical="center"/>
    </xf>
    <xf numFmtId="174" fontId="55" fillId="38" borderId="0" xfId="222" applyNumberFormat="1" applyFont="1" applyFill="1" applyBorder="1" applyAlignment="1" applyProtection="1">
      <alignment horizontal="right" vertical="center" indent="1"/>
    </xf>
    <xf numFmtId="174" fontId="80" fillId="38" borderId="0" xfId="222" applyNumberFormat="1" applyFont="1" applyFill="1" applyBorder="1" applyAlignment="1" applyProtection="1">
      <alignment horizontal="right" vertical="center" indent="1"/>
    </xf>
    <xf numFmtId="172" fontId="80" fillId="38" borderId="0" xfId="222" applyNumberFormat="1" applyFont="1" applyFill="1" applyBorder="1" applyAlignment="1" applyProtection="1">
      <alignment horizontal="right" vertical="center" indent="1"/>
    </xf>
    <xf numFmtId="172" fontId="55" fillId="38" borderId="0" xfId="222" applyNumberFormat="1" applyFont="1" applyFill="1" applyBorder="1" applyAlignment="1" applyProtection="1">
      <alignment horizontal="right" vertical="center" indent="1"/>
    </xf>
    <xf numFmtId="172" fontId="56" fillId="38" borderId="0" xfId="222" applyNumberFormat="1" applyFont="1" applyFill="1" applyBorder="1" applyAlignment="1" applyProtection="1">
      <alignment horizontal="right" vertical="center" indent="1"/>
    </xf>
    <xf numFmtId="0" fontId="4" fillId="38" borderId="0" xfId="205" applyFont="1" applyFill="1" applyBorder="1" applyAlignment="1" applyProtection="1">
      <alignment horizontal="center" vertical="center"/>
    </xf>
    <xf numFmtId="0" fontId="9" fillId="38" borderId="0" xfId="205" applyFont="1" applyFill="1" applyBorder="1" applyAlignment="1" applyProtection="1">
      <alignment horizontal="center" vertical="center"/>
    </xf>
    <xf numFmtId="174" fontId="82" fillId="38" borderId="0" xfId="222" applyNumberFormat="1" applyFont="1" applyFill="1" applyBorder="1" applyAlignment="1" applyProtection="1">
      <alignment horizontal="right" vertical="center" indent="1"/>
    </xf>
    <xf numFmtId="172" fontId="82" fillId="38" borderId="0" xfId="222" applyNumberFormat="1" applyFont="1" applyFill="1" applyBorder="1" applyAlignment="1" applyProtection="1">
      <alignment horizontal="right" vertical="center" indent="1"/>
    </xf>
    <xf numFmtId="0" fontId="3" fillId="38" borderId="0" xfId="205" applyFont="1" applyFill="1" applyBorder="1" applyAlignment="1" applyProtection="1">
      <alignment horizontal="center" vertical="center"/>
    </xf>
    <xf numFmtId="0" fontId="77" fillId="37" borderId="0" xfId="0" applyFont="1" applyFill="1" applyBorder="1" applyAlignment="1" applyProtection="1">
      <alignment horizontal="right"/>
    </xf>
    <xf numFmtId="0" fontId="77" fillId="38" borderId="0" xfId="0" applyFont="1" applyFill="1" applyProtection="1"/>
    <xf numFmtId="0" fontId="53" fillId="38" borderId="0" xfId="222" applyFont="1" applyFill="1" applyBorder="1" applyAlignment="1" applyProtection="1">
      <alignment horizontal="left" vertical="center" wrapText="1"/>
    </xf>
    <xf numFmtId="3" fontId="53" fillId="38" borderId="0" xfId="222" applyNumberFormat="1" applyFont="1" applyFill="1" applyBorder="1" applyAlignment="1" applyProtection="1">
      <alignment horizontal="right" vertical="center" wrapText="1" indent="1"/>
    </xf>
    <xf numFmtId="3" fontId="55" fillId="38" borderId="0" xfId="222" applyNumberFormat="1" applyFont="1" applyFill="1" applyBorder="1" applyAlignment="1" applyProtection="1">
      <alignment horizontal="right" vertical="center" wrapText="1" indent="1"/>
    </xf>
    <xf numFmtId="0" fontId="4" fillId="38" borderId="0" xfId="0" applyFont="1" applyFill="1" applyBorder="1" applyProtection="1"/>
    <xf numFmtId="0" fontId="6" fillId="38" borderId="0" xfId="205" applyFont="1" applyFill="1" applyBorder="1" applyAlignment="1" applyProtection="1">
      <alignment vertical="center"/>
    </xf>
    <xf numFmtId="0" fontId="6" fillId="38" borderId="0" xfId="205" applyFont="1" applyFill="1" applyBorder="1" applyAlignment="1" applyProtection="1">
      <alignment horizontal="right" vertical="center" indent="1"/>
    </xf>
    <xf numFmtId="0" fontId="2" fillId="38" borderId="0" xfId="0" applyFont="1" applyFill="1" applyBorder="1" applyProtection="1"/>
    <xf numFmtId="0" fontId="7" fillId="38" borderId="0" xfId="222" applyFont="1" applyFill="1" applyBorder="1" applyAlignment="1" applyProtection="1"/>
    <xf numFmtId="0" fontId="3" fillId="38" borderId="0" xfId="222" applyFont="1" applyFill="1" applyBorder="1" applyProtection="1"/>
    <xf numFmtId="0" fontId="3" fillId="38" borderId="0" xfId="222" applyFont="1" applyFill="1" applyBorder="1" applyAlignment="1" applyProtection="1">
      <alignment horizontal="right" indent="1"/>
    </xf>
    <xf numFmtId="0" fontId="4" fillId="38" borderId="0" xfId="222" applyFont="1" applyFill="1" applyBorder="1" applyAlignment="1" applyProtection="1">
      <alignment horizontal="right" indent="1"/>
    </xf>
    <xf numFmtId="0" fontId="0" fillId="0" borderId="44" xfId="0" applyBorder="1" applyProtection="1"/>
    <xf numFmtId="0" fontId="52" fillId="38" borderId="45" xfId="205" applyFont="1" applyFill="1" applyBorder="1" applyAlignment="1" applyProtection="1">
      <alignment vertical="center"/>
    </xf>
    <xf numFmtId="175" fontId="55" fillId="0" borderId="0" xfId="222" applyNumberFormat="1" applyFont="1" applyFill="1" applyBorder="1" applyAlignment="1">
      <alignment horizontal="right" vertical="center" wrapText="1" indent="1"/>
    </xf>
    <xf numFmtId="175" fontId="55" fillId="29" borderId="0" xfId="222" applyNumberFormat="1" applyFont="1" applyFill="1" applyBorder="1" applyAlignment="1">
      <alignment horizontal="right" vertical="center" wrapText="1" indent="1"/>
    </xf>
    <xf numFmtId="175" fontId="53" fillId="0" borderId="0" xfId="222" applyNumberFormat="1" applyFont="1" applyFill="1" applyBorder="1" applyAlignment="1">
      <alignment horizontal="right" vertical="center" wrapText="1" indent="1"/>
    </xf>
    <xf numFmtId="175" fontId="4" fillId="0" borderId="0" xfId="222" applyNumberFormat="1" applyFont="1" applyFill="1" applyBorder="1" applyAlignment="1">
      <alignment horizontal="left" vertical="center"/>
    </xf>
    <xf numFmtId="175" fontId="18" fillId="38" borderId="0" xfId="196" applyNumberFormat="1" applyFont="1" applyFill="1" applyBorder="1" applyAlignment="1" applyProtection="1">
      <alignment horizontal="center"/>
    </xf>
    <xf numFmtId="175" fontId="53" fillId="38" borderId="0" xfId="222" applyNumberFormat="1" applyFont="1" applyFill="1" applyBorder="1" applyAlignment="1" applyProtection="1">
      <alignment horizontal="right" vertical="center" indent="1"/>
    </xf>
    <xf numFmtId="175" fontId="55" fillId="38" borderId="0" xfId="222" applyNumberFormat="1" applyFont="1" applyFill="1" applyBorder="1" applyAlignment="1">
      <alignment horizontal="right" vertical="center" wrapText="1" indent="1"/>
    </xf>
    <xf numFmtId="175" fontId="53" fillId="0" borderId="0" xfId="222" applyNumberFormat="1" applyFont="1" applyFill="1" applyBorder="1" applyAlignment="1" applyProtection="1">
      <alignment horizontal="right" vertical="center" indent="1"/>
    </xf>
    <xf numFmtId="9" fontId="79" fillId="32" borderId="0" xfId="0" applyNumberFormat="1" applyFont="1" applyFill="1" applyBorder="1" applyAlignment="1">
      <alignment horizontal="right" vertical="center" wrapText="1" indent="1"/>
    </xf>
    <xf numFmtId="9" fontId="80" fillId="0" borderId="0" xfId="222" applyNumberFormat="1" applyFont="1" applyFill="1" applyBorder="1" applyAlignment="1">
      <alignment horizontal="right" vertical="center" wrapText="1" indent="1"/>
    </xf>
    <xf numFmtId="9" fontId="81" fillId="0" borderId="0" xfId="222" applyNumberFormat="1" applyFont="1" applyFill="1" applyBorder="1" applyAlignment="1">
      <alignment horizontal="right" vertical="center" wrapText="1" indent="1"/>
    </xf>
    <xf numFmtId="9" fontId="82" fillId="29" borderId="39" xfId="222" applyNumberFormat="1" applyFont="1" applyFill="1" applyBorder="1" applyAlignment="1" applyProtection="1">
      <alignment vertical="center"/>
    </xf>
    <xf numFmtId="9" fontId="82" fillId="29" borderId="24" xfId="222" applyNumberFormat="1" applyFont="1" applyFill="1" applyBorder="1" applyAlignment="1" applyProtection="1">
      <alignment vertical="center"/>
    </xf>
    <xf numFmtId="9" fontId="81" fillId="0" borderId="0" xfId="222" applyNumberFormat="1" applyFont="1" applyFill="1" applyBorder="1" applyAlignment="1" applyProtection="1">
      <alignment horizontal="right" vertical="center" indent="1"/>
    </xf>
    <xf numFmtId="175" fontId="79" fillId="32" borderId="0" xfId="0" applyNumberFormat="1" applyFont="1" applyFill="1" applyBorder="1" applyAlignment="1">
      <alignment horizontal="right" vertical="center" wrapText="1" indent="1"/>
    </xf>
    <xf numFmtId="175" fontId="80" fillId="0" borderId="0" xfId="222" applyNumberFormat="1" applyFont="1" applyFill="1" applyBorder="1" applyAlignment="1">
      <alignment horizontal="right" vertical="center" wrapText="1" indent="1"/>
    </xf>
    <xf numFmtId="175" fontId="81" fillId="0" borderId="0" xfId="222" applyNumberFormat="1" applyFont="1" applyFill="1" applyBorder="1" applyAlignment="1">
      <alignment horizontal="right" vertical="center" wrapText="1" indent="1"/>
    </xf>
    <xf numFmtId="175" fontId="82" fillId="29" borderId="39" xfId="222" applyNumberFormat="1" applyFont="1" applyFill="1" applyBorder="1" applyAlignment="1" applyProtection="1">
      <alignment vertical="center"/>
    </xf>
    <xf numFmtId="175" fontId="82" fillId="29" borderId="24" xfId="222" applyNumberFormat="1" applyFont="1" applyFill="1" applyBorder="1" applyAlignment="1" applyProtection="1">
      <alignment vertical="center"/>
    </xf>
    <xf numFmtId="175" fontId="83" fillId="38" borderId="0" xfId="222" applyNumberFormat="1" applyFont="1" applyFill="1" applyBorder="1" applyAlignment="1">
      <alignment horizontal="center" vertical="center" wrapText="1"/>
    </xf>
    <xf numFmtId="175" fontId="81" fillId="0" borderId="0" xfId="222" applyNumberFormat="1" applyFont="1" applyFill="1" applyBorder="1" applyAlignment="1" applyProtection="1">
      <alignment horizontal="right" vertical="center" indent="1"/>
    </xf>
    <xf numFmtId="9" fontId="8" fillId="32" borderId="0" xfId="0" applyNumberFormat="1" applyFont="1" applyFill="1" applyBorder="1" applyAlignment="1">
      <alignment horizontal="right" vertical="center" wrapText="1" indent="1"/>
    </xf>
    <xf numFmtId="9" fontId="55" fillId="0" borderId="0" xfId="222" applyNumberFormat="1" applyFont="1" applyFill="1" applyBorder="1" applyAlignment="1">
      <alignment horizontal="right" vertical="center" wrapText="1" indent="1"/>
    </xf>
    <xf numFmtId="9" fontId="53" fillId="0" borderId="0" xfId="222" applyNumberFormat="1" applyFont="1" applyFill="1" applyBorder="1" applyAlignment="1">
      <alignment horizontal="right" vertical="center" wrapText="1" indent="1"/>
    </xf>
    <xf numFmtId="175" fontId="8" fillId="38" borderId="0" xfId="0" applyNumberFormat="1" applyFont="1" applyFill="1" applyBorder="1" applyAlignment="1">
      <alignment horizontal="right" vertical="center" wrapText="1" indent="1"/>
    </xf>
    <xf numFmtId="9" fontId="4" fillId="0" borderId="0" xfId="222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175" fontId="52" fillId="38" borderId="0" xfId="222" applyNumberFormat="1" applyFont="1" applyFill="1" applyBorder="1" applyAlignment="1" applyProtection="1">
      <alignment horizontal="right" vertical="center" indent="1"/>
    </xf>
    <xf numFmtId="175" fontId="20" fillId="38" borderId="0" xfId="222" applyNumberFormat="1" applyFont="1" applyFill="1" applyBorder="1" applyAlignment="1">
      <alignment horizontal="right" vertical="center" wrapText="1" indent="1"/>
    </xf>
    <xf numFmtId="175" fontId="87" fillId="0" borderId="0" xfId="222" applyNumberFormat="1" applyFont="1" applyFill="1" applyBorder="1" applyAlignment="1">
      <alignment horizontal="right" vertical="center" wrapText="1" indent="1"/>
    </xf>
    <xf numFmtId="175" fontId="79" fillId="38" borderId="0" xfId="0" applyNumberFormat="1" applyFont="1" applyFill="1" applyBorder="1" applyAlignment="1">
      <alignment horizontal="right" vertical="center" wrapText="1" indent="1"/>
    </xf>
    <xf numFmtId="175" fontId="88" fillId="38" borderId="0" xfId="196" applyNumberFormat="1" applyFont="1" applyFill="1" applyBorder="1" applyAlignment="1">
      <alignment horizontal="center" vertical="center"/>
    </xf>
    <xf numFmtId="175" fontId="81" fillId="38" borderId="0" xfId="222" applyNumberFormat="1" applyFont="1" applyFill="1" applyBorder="1" applyAlignment="1" applyProtection="1">
      <alignment horizontal="right" vertical="center" indent="1"/>
    </xf>
    <xf numFmtId="175" fontId="87" fillId="0" borderId="0" xfId="222" applyNumberFormat="1" applyFont="1" applyFill="1" applyBorder="1" applyAlignment="1" applyProtection="1">
      <alignment horizontal="right" vertical="center" indent="1"/>
    </xf>
    <xf numFmtId="0" fontId="71" fillId="0" borderId="34" xfId="0" applyFont="1" applyBorder="1" applyProtection="1"/>
    <xf numFmtId="0" fontId="2" fillId="0" borderId="0" xfId="0" applyFont="1" applyBorder="1" applyProtection="1"/>
    <xf numFmtId="0" fontId="2" fillId="0" borderId="30" xfId="0" applyFont="1" applyFill="1" applyBorder="1" applyProtection="1"/>
    <xf numFmtId="0" fontId="86" fillId="0" borderId="17" xfId="0" applyFont="1" applyBorder="1" applyProtection="1"/>
    <xf numFmtId="0" fontId="8" fillId="40" borderId="0" xfId="0" applyFont="1" applyFill="1" applyBorder="1" applyAlignment="1" applyProtection="1">
      <alignment horizontal="left" vertical="center"/>
    </xf>
    <xf numFmtId="175" fontId="8" fillId="42" borderId="0" xfId="0" applyNumberFormat="1" applyFont="1" applyFill="1" applyBorder="1" applyAlignment="1">
      <alignment horizontal="right" vertical="center" wrapText="1" indent="1"/>
    </xf>
    <xf numFmtId="175" fontId="8" fillId="42" borderId="46" xfId="0" applyNumberFormat="1" applyFont="1" applyFill="1" applyBorder="1" applyAlignment="1">
      <alignment horizontal="right" vertical="center" wrapText="1" indent="1"/>
    </xf>
    <xf numFmtId="175" fontId="79" fillId="42" borderId="0" xfId="0" applyNumberFormat="1" applyFont="1" applyFill="1" applyBorder="1" applyAlignment="1">
      <alignment horizontal="right" vertical="center" wrapText="1" indent="1"/>
    </xf>
    <xf numFmtId="175" fontId="78" fillId="29" borderId="47" xfId="222" applyNumberFormat="1" applyFont="1" applyFill="1" applyBorder="1" applyAlignment="1" applyProtection="1">
      <alignment vertical="center"/>
    </xf>
    <xf numFmtId="175" fontId="89" fillId="29" borderId="47" xfId="222" applyNumberFormat="1" applyFont="1" applyFill="1" applyBorder="1" applyAlignment="1" applyProtection="1">
      <alignment vertical="center"/>
    </xf>
    <xf numFmtId="175" fontId="90" fillId="29" borderId="47" xfId="222" applyNumberFormat="1" applyFont="1" applyFill="1" applyBorder="1" applyAlignment="1" applyProtection="1">
      <alignment vertical="center"/>
    </xf>
    <xf numFmtId="175" fontId="89" fillId="29" borderId="48" xfId="222" applyNumberFormat="1" applyFont="1" applyFill="1" applyBorder="1" applyAlignment="1" applyProtection="1">
      <alignment vertical="center"/>
    </xf>
    <xf numFmtId="175" fontId="90" fillId="29" borderId="48" xfId="222" applyNumberFormat="1" applyFont="1" applyFill="1" applyBorder="1" applyAlignment="1" applyProtection="1">
      <alignment vertical="center"/>
    </xf>
    <xf numFmtId="0" fontId="49" fillId="41" borderId="0" xfId="0" applyFont="1" applyFill="1" applyBorder="1" applyAlignment="1" applyProtection="1">
      <alignment vertical="center"/>
    </xf>
    <xf numFmtId="0" fontId="60" fillId="30" borderId="14" xfId="0" applyFont="1" applyFill="1" applyBorder="1" applyAlignment="1" applyProtection="1">
      <alignment horizontal="left" vertical="center"/>
      <protection locked="0"/>
    </xf>
    <xf numFmtId="0" fontId="8" fillId="42" borderId="0" xfId="0" applyFont="1" applyFill="1" applyBorder="1" applyAlignment="1">
      <alignment horizontal="left" vertical="center"/>
    </xf>
    <xf numFmtId="0" fontId="78" fillId="29" borderId="0" xfId="222" applyFont="1" applyFill="1" applyBorder="1" applyAlignment="1">
      <alignment horizontal="left" vertical="center"/>
    </xf>
    <xf numFmtId="2" fontId="53" fillId="29" borderId="0" xfId="222" applyNumberFormat="1" applyFont="1" applyFill="1" applyBorder="1" applyAlignment="1">
      <alignment horizontal="left" vertical="center" indent="1"/>
    </xf>
    <xf numFmtId="0" fontId="12" fillId="42" borderId="43" xfId="0" applyFont="1" applyFill="1" applyBorder="1" applyAlignment="1" applyProtection="1">
      <alignment horizontal="center" vertical="center" wrapText="1"/>
    </xf>
    <xf numFmtId="0" fontId="12" fillId="42" borderId="23" xfId="0" applyFont="1" applyFill="1" applyBorder="1" applyAlignment="1" applyProtection="1">
      <alignment horizontal="center" vertical="center" wrapText="1"/>
    </xf>
    <xf numFmtId="0" fontId="12" fillId="42" borderId="0" xfId="0" applyFont="1" applyFill="1" applyBorder="1" applyAlignment="1" applyProtection="1">
      <alignment horizontal="center" vertical="center" wrapText="1"/>
    </xf>
    <xf numFmtId="0" fontId="12" fillId="42" borderId="38" xfId="0" applyFont="1" applyFill="1" applyBorder="1" applyAlignment="1" applyProtection="1">
      <alignment horizontal="center" vertical="center" wrapText="1"/>
    </xf>
    <xf numFmtId="0" fontId="12" fillId="42" borderId="27" xfId="0" applyFont="1" applyFill="1" applyBorder="1" applyAlignment="1" applyProtection="1">
      <alignment horizontal="center" vertical="center" wrapText="1"/>
    </xf>
    <xf numFmtId="0" fontId="12" fillId="42" borderId="28" xfId="0" applyFont="1" applyFill="1" applyBorder="1" applyAlignment="1" applyProtection="1">
      <alignment horizontal="center" vertical="center" wrapText="1"/>
    </xf>
    <xf numFmtId="0" fontId="12" fillId="42" borderId="26" xfId="0" applyFont="1" applyFill="1" applyBorder="1" applyAlignment="1" applyProtection="1">
      <alignment horizontal="center" vertical="center" wrapText="1"/>
    </xf>
    <xf numFmtId="0" fontId="12" fillId="42" borderId="21" xfId="0" applyFont="1" applyFill="1" applyBorder="1" applyAlignment="1" applyProtection="1">
      <alignment horizontal="center" vertical="center" wrapText="1"/>
    </xf>
    <xf numFmtId="0" fontId="53" fillId="38" borderId="0" xfId="222" applyFont="1" applyFill="1" applyBorder="1" applyAlignment="1" applyProtection="1">
      <alignment horizontal="left" vertical="center" indent="2"/>
    </xf>
    <xf numFmtId="0" fontId="78" fillId="38" borderId="0" xfId="222" applyFont="1" applyFill="1" applyBorder="1" applyAlignment="1" applyProtection="1">
      <alignment horizontal="left" vertical="center" indent="1"/>
    </xf>
    <xf numFmtId="0" fontId="89" fillId="29" borderId="48" xfId="222" applyFont="1" applyFill="1" applyBorder="1" applyAlignment="1" applyProtection="1">
      <alignment horizontal="left" vertical="center"/>
    </xf>
    <xf numFmtId="0" fontId="53" fillId="38" borderId="0" xfId="205" applyFont="1" applyFill="1" applyBorder="1" applyAlignment="1" applyProtection="1">
      <alignment horizontal="left" vertical="center"/>
      <protection locked="0"/>
    </xf>
    <xf numFmtId="0" fontId="56" fillId="38" borderId="0" xfId="222" applyFont="1" applyFill="1" applyBorder="1" applyAlignment="1" applyProtection="1">
      <alignment horizontal="left" vertical="center"/>
    </xf>
    <xf numFmtId="0" fontId="72" fillId="0" borderId="34" xfId="0" applyFont="1" applyBorder="1" applyAlignment="1" applyProtection="1">
      <alignment horizontal="center"/>
    </xf>
    <xf numFmtId="0" fontId="72" fillId="0" borderId="35" xfId="0" applyFont="1" applyBorder="1" applyAlignment="1" applyProtection="1">
      <alignment horizontal="center"/>
    </xf>
    <xf numFmtId="0" fontId="72" fillId="0" borderId="36" xfId="0" applyFont="1" applyBorder="1" applyAlignment="1" applyProtection="1">
      <alignment horizontal="center"/>
    </xf>
    <xf numFmtId="0" fontId="53" fillId="38" borderId="0" xfId="222" applyFont="1" applyFill="1" applyBorder="1" applyAlignment="1" applyProtection="1">
      <alignment horizontal="left" vertical="center"/>
    </xf>
    <xf numFmtId="0" fontId="89" fillId="29" borderId="47" xfId="222" applyFont="1" applyFill="1" applyBorder="1" applyAlignment="1" applyProtection="1">
      <alignment horizontal="left" vertical="center"/>
    </xf>
    <xf numFmtId="0" fontId="87" fillId="29" borderId="0" xfId="222" applyFont="1" applyFill="1" applyBorder="1" applyAlignment="1" applyProtection="1">
      <alignment horizontal="left" vertical="center" indent="1"/>
    </xf>
    <xf numFmtId="0" fontId="72" fillId="0" borderId="0" xfId="0" applyFont="1" applyFill="1" applyBorder="1" applyAlignment="1" applyProtection="1">
      <alignment horizontal="center"/>
    </xf>
    <xf numFmtId="0" fontId="50" fillId="40" borderId="0" xfId="0" applyFont="1" applyFill="1" applyBorder="1" applyAlignment="1" applyProtection="1">
      <alignment horizontal="center" vertical="center" wrapText="1"/>
    </xf>
    <xf numFmtId="0" fontId="50" fillId="40" borderId="22" xfId="0" applyFont="1" applyFill="1" applyBorder="1" applyAlignment="1" applyProtection="1">
      <alignment horizontal="center" vertical="center" wrapText="1"/>
    </xf>
    <xf numFmtId="0" fontId="70" fillId="39" borderId="0" xfId="0" applyFont="1" applyFill="1" applyBorder="1" applyAlignment="1" applyProtection="1">
      <alignment horizontal="left" vertical="center"/>
    </xf>
    <xf numFmtId="0" fontId="49" fillId="41" borderId="0" xfId="0" applyFont="1" applyFill="1" applyBorder="1" applyAlignment="1" applyProtection="1">
      <alignment horizontal="center" vertical="center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24"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8F071A"/>
      <color rgb="FF7F8399"/>
      <color rgb="FFADAFB6"/>
      <color rgb="FFD0C2A4"/>
      <color rgb="FF7E408F"/>
      <color rgb="FFE3E3E3"/>
      <color rgb="FFDDDDDD"/>
      <color rgb="FFEAEAEA"/>
      <color rgb="FF6F7072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PL!$AI$65</c:f>
          <c:strCache>
            <c:ptCount val="1"/>
            <c:pt idx="0">
              <c:v>PRODUIT DES ACTIVITES ORDINAIRES (Cumulé)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PL!$AI$66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PL!$AK$66:$AP$66</c:f>
              <c:numCache>
                <c:formatCode>#,##0</c:formatCode>
                <c:ptCount val="6"/>
                <c:pt idx="0">
                  <c:v>3.0000000000000001E-5</c:v>
                </c:pt>
                <c:pt idx="1">
                  <c:v>3288.1040499999999</c:v>
                </c:pt>
                <c:pt idx="2">
                  <c:v>3288.1040499999999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82654592"/>
        <c:axId val="282533888"/>
      </c:barChart>
      <c:lineChart>
        <c:grouping val="standard"/>
        <c:varyColors val="0"/>
        <c:ser>
          <c:idx val="2"/>
          <c:order val="1"/>
          <c:tx>
            <c:strRef>
              <c:f>PL!$AI$67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PL!$AK$67:$AP$67</c:f>
              <c:numCache>
                <c:formatCode>#,##0</c:formatCode>
                <c:ptCount val="6"/>
                <c:pt idx="0">
                  <c:v>1406.039833333333</c:v>
                </c:pt>
                <c:pt idx="1">
                  <c:v>2812.0796666666661</c:v>
                </c:pt>
                <c:pt idx="2">
                  <c:v>4218.1194999999998</c:v>
                </c:pt>
                <c:pt idx="3">
                  <c:v>5624.1593333333321</c:v>
                </c:pt>
                <c:pt idx="4">
                  <c:v>7030.1991666666681</c:v>
                </c:pt>
                <c:pt idx="5">
                  <c:v>11076.7945</c:v>
                </c:pt>
              </c:numCache>
            </c:numRef>
          </c:val>
          <c:smooth val="1"/>
        </c:ser>
        <c:ser>
          <c:idx val="3"/>
          <c:order val="2"/>
          <c:tx>
            <c:strRef>
              <c:f>PL!$AI$68</c:f>
              <c:strCache>
                <c:ptCount val="1"/>
                <c:pt idx="0">
                  <c:v>Estimé 1</c:v>
                </c:pt>
              </c:strCache>
            </c:strRef>
          </c:tx>
          <c:spPr>
            <a:ln>
              <a:solidFill>
                <a:srgbClr val="92D05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PL!$AK$68:$AP$68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</c:ser>
        <c:ser>
          <c:idx val="1"/>
          <c:order val="3"/>
          <c:tx>
            <c:strRef>
              <c:f>PL!$AI$69</c:f>
              <c:strCache>
                <c:ptCount val="1"/>
                <c:pt idx="0">
                  <c:v>Estimé 2</c:v>
                </c:pt>
              </c:strCache>
            </c:strRef>
          </c:tx>
          <c:spPr>
            <a:ln w="38100">
              <a:solidFill>
                <a:srgbClr val="D0C2A4"/>
              </a:solidFill>
            </a:ln>
          </c:spPr>
          <c:marker>
            <c:spPr>
              <a:solidFill>
                <a:srgbClr val="D0C2A4"/>
              </a:solidFill>
              <a:ln>
                <a:solidFill>
                  <a:srgbClr val="D0C2A4"/>
                </a:solidFill>
              </a:ln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PL!$AK$69:$AP$69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654592"/>
        <c:axId val="282533888"/>
      </c:lineChart>
      <c:catAx>
        <c:axId val="28265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282533888"/>
        <c:crosses val="autoZero"/>
        <c:auto val="1"/>
        <c:lblAlgn val="ctr"/>
        <c:lblOffset val="100"/>
        <c:noMultiLvlLbl val="0"/>
      </c:catAx>
      <c:valAx>
        <c:axId val="28253388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2826545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"/>
          <c:y val="0.88595839993535497"/>
          <c:w val="1"/>
          <c:h val="9.6380298366522149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PL!$AI$71</c:f>
          <c:strCache>
            <c:ptCount val="1"/>
            <c:pt idx="0">
              <c:v>RESULTAT OPERATIONNEL APRES MF (Cumulé)</c:v>
            </c:pt>
          </c:strCache>
        </c:strRef>
      </c:tx>
      <c:layout>
        <c:manualLayout>
          <c:xMode val="edge"/>
          <c:yMode val="edge"/>
          <c:x val="0.26379317133551428"/>
          <c:y val="1.886945436499934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PL!$AI$72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PL!$AK$72:$AP$72</c:f>
              <c:numCache>
                <c:formatCode>#,##0</c:formatCode>
                <c:ptCount val="6"/>
                <c:pt idx="0">
                  <c:v>-6883.8558199999961</c:v>
                </c:pt>
                <c:pt idx="1">
                  <c:v>1244.8271700000021</c:v>
                </c:pt>
                <c:pt idx="2">
                  <c:v>1244.8271700000023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82573056"/>
        <c:axId val="282587520"/>
      </c:barChart>
      <c:lineChart>
        <c:grouping val="standard"/>
        <c:varyColors val="0"/>
        <c:ser>
          <c:idx val="2"/>
          <c:order val="1"/>
          <c:tx>
            <c:strRef>
              <c:f>PL!$AI$73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PL!$AK$73:$AP$73</c:f>
              <c:numCache>
                <c:formatCode>#,##0</c:formatCode>
                <c:ptCount val="6"/>
                <c:pt idx="0">
                  <c:v>-188.30404166666767</c:v>
                </c:pt>
                <c:pt idx="1">
                  <c:v>-376.60808333333534</c:v>
                </c:pt>
                <c:pt idx="2">
                  <c:v>-564.91212500000029</c:v>
                </c:pt>
                <c:pt idx="3">
                  <c:v>-438.75350000000373</c:v>
                </c:pt>
                <c:pt idx="4">
                  <c:v>-420.35833333333329</c:v>
                </c:pt>
                <c:pt idx="5">
                  <c:v>-8796.4076666666679</c:v>
                </c:pt>
              </c:numCache>
            </c:numRef>
          </c:val>
          <c:smooth val="1"/>
        </c:ser>
        <c:ser>
          <c:idx val="3"/>
          <c:order val="2"/>
          <c:tx>
            <c:strRef>
              <c:f>PL!$AI$74</c:f>
              <c:strCache>
                <c:ptCount val="1"/>
                <c:pt idx="0">
                  <c:v>Estimé 1</c:v>
                </c:pt>
              </c:strCache>
            </c:strRef>
          </c:tx>
          <c:spPr>
            <a:ln>
              <a:solidFill>
                <a:srgbClr val="92D05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PL!$AK$74:$AP$74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</c:ser>
        <c:ser>
          <c:idx val="1"/>
          <c:order val="3"/>
          <c:tx>
            <c:strRef>
              <c:f>PL!$AI$75</c:f>
              <c:strCache>
                <c:ptCount val="1"/>
                <c:pt idx="0">
                  <c:v>Estimé 2</c:v>
                </c:pt>
              </c:strCache>
            </c:strRef>
          </c:tx>
          <c:spPr>
            <a:ln w="38100">
              <a:solidFill>
                <a:srgbClr val="D0C2A4"/>
              </a:solidFill>
            </a:ln>
          </c:spPr>
          <c:marker>
            <c:spPr>
              <a:solidFill>
                <a:srgbClr val="D0C2A4"/>
              </a:solidFill>
              <a:ln>
                <a:solidFill>
                  <a:srgbClr val="D0C2A4"/>
                </a:solidFill>
              </a:ln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PL!$AK$75:$AP$75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573056"/>
        <c:axId val="282587520"/>
      </c:lineChart>
      <c:catAx>
        <c:axId val="28257305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fr-FR"/>
          </a:p>
        </c:txPr>
        <c:crossAx val="282587520"/>
        <c:crosses val="autoZero"/>
        <c:auto val="1"/>
        <c:lblAlgn val="ctr"/>
        <c:lblOffset val="100"/>
        <c:noMultiLvlLbl val="0"/>
      </c:catAx>
      <c:valAx>
        <c:axId val="282587520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28257305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"/>
          <c:y val="0.88025784866191525"/>
          <c:w val="1"/>
          <c:h val="9.5363899616401987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PL!$AI$77</c:f>
          <c:strCache>
            <c:ptCount val="1"/>
            <c:pt idx="0">
              <c:v>CAFOP (Cumulé)</c:v>
            </c:pt>
          </c:strCache>
        </c:strRef>
      </c:tx>
      <c:layout>
        <c:manualLayout>
          <c:xMode val="edge"/>
          <c:yMode val="edge"/>
          <c:x val="0.33456546377745217"/>
          <c:y val="3.28201276108583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PL!$AI$78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PL!$AK$78:$AP$78</c:f>
              <c:numCache>
                <c:formatCode>#,##0</c:formatCode>
                <c:ptCount val="6"/>
                <c:pt idx="0">
                  <c:v>-6883.8558199999961</c:v>
                </c:pt>
                <c:pt idx="1">
                  <c:v>2123.569550000002</c:v>
                </c:pt>
                <c:pt idx="2">
                  <c:v>2123.5695500000024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82999424"/>
        <c:axId val="283009792"/>
      </c:barChart>
      <c:lineChart>
        <c:grouping val="standard"/>
        <c:varyColors val="0"/>
        <c:ser>
          <c:idx val="2"/>
          <c:order val="1"/>
          <c:tx>
            <c:strRef>
              <c:f>PL!$AI$79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PL!$AK$79:$AP$79</c:f>
              <c:numCache>
                <c:formatCode>#,##0</c:formatCode>
                <c:ptCount val="6"/>
                <c:pt idx="0">
                  <c:v>126.96929166666645</c:v>
                </c:pt>
                <c:pt idx="1">
                  <c:v>253.9385833333329</c:v>
                </c:pt>
                <c:pt idx="2">
                  <c:v>380.90787499999999</c:v>
                </c:pt>
                <c:pt idx="3">
                  <c:v>822.33983333333276</c:v>
                </c:pt>
                <c:pt idx="4">
                  <c:v>1225.737458333331</c:v>
                </c:pt>
                <c:pt idx="5">
                  <c:v>-6765.3094166666679</c:v>
                </c:pt>
              </c:numCache>
            </c:numRef>
          </c:val>
          <c:smooth val="1"/>
        </c:ser>
        <c:ser>
          <c:idx val="3"/>
          <c:order val="2"/>
          <c:tx>
            <c:strRef>
              <c:f>PL!$AI$80</c:f>
              <c:strCache>
                <c:ptCount val="1"/>
                <c:pt idx="0">
                  <c:v>Estimé 1</c:v>
                </c:pt>
              </c:strCache>
            </c:strRef>
          </c:tx>
          <c:spPr>
            <a:ln>
              <a:solidFill>
                <a:srgbClr val="92D05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PL!$AK$80:$AP$80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</c:ser>
        <c:ser>
          <c:idx val="1"/>
          <c:order val="3"/>
          <c:tx>
            <c:strRef>
              <c:f>PL!$AI$81</c:f>
              <c:strCache>
                <c:ptCount val="1"/>
                <c:pt idx="0">
                  <c:v>Estimé 2</c:v>
                </c:pt>
              </c:strCache>
            </c:strRef>
          </c:tx>
          <c:spPr>
            <a:ln w="38100">
              <a:solidFill>
                <a:srgbClr val="D0C2A4"/>
              </a:solidFill>
            </a:ln>
          </c:spPr>
          <c:marker>
            <c:spPr>
              <a:solidFill>
                <a:srgbClr val="D0C2A4"/>
              </a:solidFill>
              <a:ln>
                <a:solidFill>
                  <a:srgbClr val="D0C2A4"/>
                </a:solidFill>
              </a:ln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PL!$AK$81:$AP$81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999424"/>
        <c:axId val="283009792"/>
      </c:lineChart>
      <c:catAx>
        <c:axId val="28299942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fr-FR"/>
          </a:p>
        </c:txPr>
        <c:crossAx val="283009792"/>
        <c:crosses val="autoZero"/>
        <c:auto val="1"/>
        <c:lblAlgn val="ctr"/>
        <c:lblOffset val="100"/>
        <c:noMultiLvlLbl val="0"/>
      </c:catAx>
      <c:valAx>
        <c:axId val="283009792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2829994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"/>
          <c:y val="0.88707652416437877"/>
          <c:w val="1"/>
          <c:h val="0.1129234758356212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PL!$AI$83</c:f>
          <c:strCache>
            <c:ptCount val="1"/>
            <c:pt idx="0">
              <c:v>Total CAPEX (Cumulé)</c:v>
            </c:pt>
          </c:strCache>
        </c:strRef>
      </c:tx>
      <c:layout>
        <c:manualLayout>
          <c:xMode val="edge"/>
          <c:yMode val="edge"/>
          <c:x val="0.28530176841800009"/>
          <c:y val="2.724883334227323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538116591928251"/>
          <c:y val="0.14000012428988307"/>
          <c:w val="0.85874439461883412"/>
          <c:h val="0.632727834452977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PL!$AI$84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PL!$AK$84:$AP$84</c:f>
              <c:numCache>
                <c:formatCode>#,##0</c:formatCode>
                <c:ptCount val="6"/>
                <c:pt idx="0">
                  <c:v>827.05666000000008</c:v>
                </c:pt>
                <c:pt idx="1">
                  <c:v>146.69160000000002</c:v>
                </c:pt>
                <c:pt idx="2">
                  <c:v>146.69160000000002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83040768"/>
        <c:axId val="283047040"/>
      </c:barChart>
      <c:lineChart>
        <c:grouping val="standard"/>
        <c:varyColors val="0"/>
        <c:ser>
          <c:idx val="2"/>
          <c:order val="1"/>
          <c:tx>
            <c:strRef>
              <c:f>PL!$AI$85</c:f>
              <c:strCache>
                <c:ptCount val="1"/>
                <c:pt idx="0">
                  <c:v>Budget</c:v>
                </c:pt>
              </c:strCache>
            </c:strRef>
          </c:tx>
          <c:spPr>
            <a:ln>
              <a:solidFill>
                <a:srgbClr val="FF5353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rgbClr val="FF8080"/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PL!$AK$85:$AP$85</c:f>
              <c:numCache>
                <c:formatCode>#,##0</c:formatCode>
                <c:ptCount val="6"/>
                <c:pt idx="0">
                  <c:v>597.41666666666663</c:v>
                </c:pt>
                <c:pt idx="1">
                  <c:v>1194.8333333333333</c:v>
                </c:pt>
                <c:pt idx="2">
                  <c:v>2395.75</c:v>
                </c:pt>
                <c:pt idx="3">
                  <c:v>2993.1666666666665</c:v>
                </c:pt>
                <c:pt idx="4">
                  <c:v>3590.583333333333</c:v>
                </c:pt>
                <c:pt idx="5">
                  <c:v>4198</c:v>
                </c:pt>
              </c:numCache>
            </c:numRef>
          </c:val>
          <c:smooth val="1"/>
        </c:ser>
        <c:ser>
          <c:idx val="3"/>
          <c:order val="2"/>
          <c:tx>
            <c:strRef>
              <c:f>PL!$AI$86</c:f>
              <c:strCache>
                <c:ptCount val="1"/>
                <c:pt idx="0">
                  <c:v>Estimé 1</c:v>
                </c:pt>
              </c:strCache>
            </c:strRef>
          </c:tx>
          <c:spPr>
            <a:ln>
              <a:solidFill>
                <a:srgbClr val="92D05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square"/>
            <c:size val="7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PL!$AK$86:$AP$86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</c:ser>
        <c:ser>
          <c:idx val="1"/>
          <c:order val="3"/>
          <c:tx>
            <c:strRef>
              <c:f>PL!$AI$87</c:f>
              <c:strCache>
                <c:ptCount val="1"/>
                <c:pt idx="0">
                  <c:v>Estimé 2</c:v>
                </c:pt>
              </c:strCache>
            </c:strRef>
          </c:tx>
          <c:spPr>
            <a:ln w="38100">
              <a:solidFill>
                <a:srgbClr val="D0C2A4"/>
              </a:solidFill>
            </a:ln>
          </c:spPr>
          <c:marker>
            <c:spPr>
              <a:solidFill>
                <a:srgbClr val="D0C2A4"/>
              </a:solidFill>
              <a:ln>
                <a:solidFill>
                  <a:srgbClr val="D0C2A4"/>
                </a:solidFill>
              </a:ln>
            </c:spPr>
          </c:marker>
          <c:cat>
            <c:strRef>
              <c:f>PL!$AK$65:$AP$65</c:f>
              <c:strCache>
                <c:ptCount val="6"/>
                <c:pt idx="0">
                  <c:v>Jan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</c:strCache>
            </c:strRef>
          </c:cat>
          <c:val>
            <c:numRef>
              <c:f>PL!$AK$87:$AP$87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040768"/>
        <c:axId val="283047040"/>
      </c:lineChart>
      <c:catAx>
        <c:axId val="283040768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high"/>
        <c:txPr>
          <a:bodyPr/>
          <a:lstStyle/>
          <a:p>
            <a:pPr>
              <a:defRPr sz="1500"/>
            </a:pPr>
            <a:endParaRPr lang="fr-FR"/>
          </a:p>
        </c:txPr>
        <c:crossAx val="283047040"/>
        <c:crosses val="autoZero"/>
        <c:auto val="1"/>
        <c:lblAlgn val="ctr"/>
        <c:lblOffset val="100"/>
        <c:noMultiLvlLbl val="0"/>
      </c:catAx>
      <c:valAx>
        <c:axId val="283047040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sz="1500"/>
            </a:pPr>
            <a:endParaRPr lang="fr-FR"/>
          </a:p>
        </c:txPr>
        <c:crossAx val="283040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3846182513453421E-2"/>
          <c:y val="0.88653568932800186"/>
          <c:w val="0.97488166666666665"/>
          <c:h val="0.11267637947359754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248515</xdr:colOff>
      <xdr:row>9</xdr:row>
      <xdr:rowOff>66540</xdr:rowOff>
    </xdr:from>
    <xdr:to>
      <xdr:col>27</xdr:col>
      <xdr:colOff>1029565</xdr:colOff>
      <xdr:row>10</xdr:row>
      <xdr:rowOff>322185</xdr:rowOff>
    </xdr:to>
    <xdr:pic>
      <xdr:nvPicPr>
        <xdr:cNvPr id="6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08140" y="757103"/>
          <a:ext cx="781050" cy="779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4654</xdr:colOff>
      <xdr:row>65</xdr:row>
      <xdr:rowOff>114301</xdr:rowOff>
    </xdr:from>
    <xdr:to>
      <xdr:col>5</xdr:col>
      <xdr:colOff>937654</xdr:colOff>
      <xdr:row>88</xdr:row>
      <xdr:rowOff>83755</xdr:rowOff>
    </xdr:to>
    <xdr:graphicFrame macro="">
      <xdr:nvGraphicFramePr>
        <xdr:cNvPr id="1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1208812</xdr:colOff>
      <xdr:row>65</xdr:row>
      <xdr:rowOff>84859</xdr:rowOff>
    </xdr:from>
    <xdr:to>
      <xdr:col>9</xdr:col>
      <xdr:colOff>444631</xdr:colOff>
      <xdr:row>88</xdr:row>
      <xdr:rowOff>103909</xdr:rowOff>
    </xdr:to>
    <xdr:graphicFrame macro="">
      <xdr:nvGraphicFramePr>
        <xdr:cNvPr id="2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1101437</xdr:colOff>
      <xdr:row>65</xdr:row>
      <xdr:rowOff>110836</xdr:rowOff>
    </xdr:from>
    <xdr:to>
      <xdr:col>19</xdr:col>
      <xdr:colOff>1114408</xdr:colOff>
      <xdr:row>88</xdr:row>
      <xdr:rowOff>80290</xdr:rowOff>
    </xdr:to>
    <xdr:graphicFrame macro="">
      <xdr:nvGraphicFramePr>
        <xdr:cNvPr id="26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20</xdr:col>
      <xdr:colOff>340609</xdr:colOff>
      <xdr:row>65</xdr:row>
      <xdr:rowOff>121228</xdr:rowOff>
    </xdr:from>
    <xdr:to>
      <xdr:col>27</xdr:col>
      <xdr:colOff>440172</xdr:colOff>
      <xdr:row>88</xdr:row>
      <xdr:rowOff>90682</xdr:rowOff>
    </xdr:to>
    <xdr:graphicFrame macro="">
      <xdr:nvGraphicFramePr>
        <xdr:cNvPr id="27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20</xdr:row>
          <xdr:rowOff>161925</xdr:rowOff>
        </xdr:from>
        <xdr:to>
          <xdr:col>5</xdr:col>
          <xdr:colOff>1714500</xdr:colOff>
          <xdr:row>22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11</xdr:row>
      <xdr:rowOff>2940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690563"/>
          <a:ext cx="2667000" cy="9078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F29"/>
  <sheetViews>
    <sheetView showGridLines="0" workbookViewId="0">
      <selection activeCell="C5" sqref="C5"/>
    </sheetView>
  </sheetViews>
  <sheetFormatPr baseColWidth="10" defaultColWidth="9.140625" defaultRowHeight="12.75" x14ac:dyDescent="0.2"/>
  <cols>
    <col min="1" max="1" width="38.28515625" style="13" bestFit="1" customWidth="1"/>
    <col min="2" max="2" width="17.85546875" style="13" bestFit="1" customWidth="1"/>
    <col min="3" max="3" width="9.140625" style="13"/>
    <col min="4" max="4" width="27.7109375" style="13" hidden="1" customWidth="1"/>
    <col min="5" max="5" width="15.140625" style="13" bestFit="1" customWidth="1"/>
    <col min="6" max="16384" width="9.140625" style="13"/>
  </cols>
  <sheetData>
    <row r="1" spans="1:6" ht="18" x14ac:dyDescent="0.25">
      <c r="A1" s="11" t="s">
        <v>81</v>
      </c>
      <c r="B1" s="12"/>
    </row>
    <row r="2" spans="1:6" x14ac:dyDescent="0.2">
      <c r="A2" s="12"/>
      <c r="B2" s="12"/>
    </row>
    <row r="3" spans="1:6" ht="15.75" x14ac:dyDescent="0.25">
      <c r="A3" s="14" t="s">
        <v>5</v>
      </c>
      <c r="B3" s="12"/>
    </row>
    <row r="4" spans="1:6" x14ac:dyDescent="0.2">
      <c r="A4" s="15" t="s">
        <v>4</v>
      </c>
      <c r="B4" s="16" t="s">
        <v>127</v>
      </c>
    </row>
    <row r="5" spans="1:6" x14ac:dyDescent="0.2">
      <c r="A5" s="15" t="s">
        <v>7</v>
      </c>
      <c r="B5" s="17" t="str">
        <f>LEFT(Server,LEN(Server)-1)</f>
        <v>tango_core_model</v>
      </c>
    </row>
    <row r="6" spans="1:6" x14ac:dyDescent="0.2">
      <c r="A6" s="15" t="s">
        <v>3</v>
      </c>
      <c r="B6" s="17" t="s">
        <v>128</v>
      </c>
    </row>
    <row r="7" spans="1:6" x14ac:dyDescent="0.2">
      <c r="A7" s="15" t="s">
        <v>17</v>
      </c>
      <c r="B7" s="17">
        <v>0</v>
      </c>
    </row>
    <row r="8" spans="1:6" x14ac:dyDescent="0.2">
      <c r="A8" s="15" t="s">
        <v>28</v>
      </c>
      <c r="B8" s="17">
        <v>0</v>
      </c>
    </row>
    <row r="10" spans="1:6" ht="15.75" x14ac:dyDescent="0.25">
      <c r="A10" s="14" t="s">
        <v>6</v>
      </c>
    </row>
    <row r="11" spans="1:6" ht="13.5" customHeight="1" x14ac:dyDescent="0.2">
      <c r="A11" s="15" t="s">
        <v>13</v>
      </c>
      <c r="B11" s="17" t="s">
        <v>76</v>
      </c>
    </row>
    <row r="12" spans="1:6" ht="13.5" customHeight="1" x14ac:dyDescent="0.2">
      <c r="A12" s="15" t="s">
        <v>14</v>
      </c>
      <c r="B12" s="17" t="s">
        <v>77</v>
      </c>
      <c r="C12" s="83" t="s">
        <v>78</v>
      </c>
      <c r="D12" s="83" t="s">
        <v>79</v>
      </c>
      <c r="E12" s="83" t="s">
        <v>79</v>
      </c>
      <c r="F12" s="83" t="s">
        <v>80</v>
      </c>
    </row>
    <row r="13" spans="1:6" x14ac:dyDescent="0.2">
      <c r="A13" s="15" t="s">
        <v>9</v>
      </c>
      <c r="B13" s="17" t="str">
        <f ca="1">_xll.DBR(Server&amp;"z_Admin_Param","MONTH_CORPORATE","STR_VAR1")</f>
        <v>2013.03</v>
      </c>
      <c r="C13" s="82" t="str">
        <f ca="1">RIGHT($B$13,2)</f>
        <v>03</v>
      </c>
      <c r="D13" s="84">
        <f ca="1">IF($C$13="01","1",$C$13-1)</f>
        <v>2</v>
      </c>
      <c r="E13" s="13" t="str">
        <f ca="1">IF(OR($D$13= 10,$D$13= 11,$D$13= 12),$D$13,"0"&amp;D13)</f>
        <v>02</v>
      </c>
      <c r="F13" s="13" t="str">
        <f ca="1">LEFT($B$13,5)&amp;$E$13&amp;"_YTD"</f>
        <v>2013.02_YTD</v>
      </c>
    </row>
    <row r="14" spans="1:6" x14ac:dyDescent="0.2">
      <c r="A14" s="15" t="s">
        <v>18</v>
      </c>
      <c r="B14" s="17" t="str">
        <f ca="1">_xll.DBR(Server&amp;"z_Admin_Param","BUDGET_VERSION_BUDGET_FORECAST","STR_VAR1")</f>
        <v>VC</v>
      </c>
    </row>
    <row r="15" spans="1:6" x14ac:dyDescent="0.2">
      <c r="A15" s="15" t="s">
        <v>75</v>
      </c>
      <c r="B15" s="17" t="str">
        <f ca="1">_xll.DBR(Server&amp;"z_Admin_Param","FORECAST_VERSION_CORPORATE","STR_VAR1")</f>
        <v>Forecast2</v>
      </c>
    </row>
    <row r="16" spans="1:6" x14ac:dyDescent="0.2">
      <c r="A16" s="15" t="s">
        <v>2</v>
      </c>
      <c r="B16" s="18" t="str">
        <f ca="1">_xll.DBR(Server&amp;"z_Client_Properties","Language",_xll.TM1USER(xServer))</f>
        <v>English</v>
      </c>
      <c r="C16" s="13" t="str">
        <f ca="1">IF(LocalLanguage="French","Français",LocalLanguage)</f>
        <v>English</v>
      </c>
    </row>
    <row r="17" spans="1:6" x14ac:dyDescent="0.2">
      <c r="A17" s="235" t="s">
        <v>26</v>
      </c>
      <c r="B17" s="42" t="s">
        <v>1</v>
      </c>
    </row>
    <row r="18" spans="1:6" x14ac:dyDescent="0.2">
      <c r="A18" s="235"/>
      <c r="B18" s="42" t="s">
        <v>71</v>
      </c>
    </row>
    <row r="19" spans="1:6" x14ac:dyDescent="0.2">
      <c r="A19" s="235"/>
      <c r="B19" s="42" t="s">
        <v>10</v>
      </c>
    </row>
    <row r="20" spans="1:6" x14ac:dyDescent="0.2">
      <c r="A20" s="235"/>
      <c r="B20" s="42" t="s">
        <v>11</v>
      </c>
    </row>
    <row r="21" spans="1:6" x14ac:dyDescent="0.2">
      <c r="A21" s="235"/>
      <c r="B21" s="42" t="s">
        <v>12</v>
      </c>
    </row>
    <row r="22" spans="1:6" x14ac:dyDescent="0.2">
      <c r="A22" s="235" t="s">
        <v>27</v>
      </c>
      <c r="B22" s="42" t="s">
        <v>23</v>
      </c>
    </row>
    <row r="23" spans="1:6" x14ac:dyDescent="0.2">
      <c r="A23" s="235"/>
      <c r="B23" s="42" t="s">
        <v>24</v>
      </c>
    </row>
    <row r="24" spans="1:6" x14ac:dyDescent="0.2">
      <c r="A24" s="235"/>
      <c r="B24" s="42" t="s">
        <v>25</v>
      </c>
    </row>
    <row r="26" spans="1:6" ht="15.75" x14ac:dyDescent="0.25">
      <c r="A26" s="14" t="s">
        <v>19</v>
      </c>
      <c r="F26" s="13" t="s">
        <v>8</v>
      </c>
    </row>
    <row r="27" spans="1:6" ht="13.5" customHeight="1" x14ac:dyDescent="0.25">
      <c r="A27" s="13" t="s">
        <v>20</v>
      </c>
      <c r="B27" s="37"/>
    </row>
    <row r="28" spans="1:6" x14ac:dyDescent="0.2">
      <c r="A28" s="13" t="s">
        <v>21</v>
      </c>
      <c r="B28" s="39"/>
    </row>
    <row r="29" spans="1:6" x14ac:dyDescent="0.2">
      <c r="A29" s="13" t="s">
        <v>22</v>
      </c>
      <c r="B29" s="40"/>
    </row>
  </sheetData>
  <sheetProtection password="D70F" sheet="1" objects="1" scenarios="1" formatColumns="0" formatRows="0"/>
  <mergeCells count="2">
    <mergeCell ref="A17:A21"/>
    <mergeCell ref="A22:A24"/>
  </mergeCells>
  <phoneticPr fontId="57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BF168"/>
  <sheetViews>
    <sheetView showGridLines="0" tabSelected="1" topLeftCell="D7" zoomScale="55" zoomScaleNormal="55" zoomScaleSheetLayoutView="70" workbookViewId="0">
      <selection activeCell="I12" sqref="I12"/>
    </sheetView>
  </sheetViews>
  <sheetFormatPr baseColWidth="10" defaultColWidth="11.42578125" defaultRowHeight="18" customHeight="1" outlineLevelRow="1" x14ac:dyDescent="0.2"/>
  <cols>
    <col min="1" max="1" width="8.140625" style="19" hidden="1" customWidth="1"/>
    <col min="2" max="2" width="28.28515625" style="19" hidden="1" customWidth="1"/>
    <col min="3" max="3" width="33.7109375" style="19" hidden="1" customWidth="1"/>
    <col min="4" max="4" width="3.7109375" style="19" customWidth="1"/>
    <col min="5" max="5" width="40" style="2" customWidth="1"/>
    <col min="6" max="6" width="45.7109375" style="2" customWidth="1"/>
    <col min="7" max="7" width="12.7109375" style="2" hidden="1" customWidth="1"/>
    <col min="8" max="8" width="2.5703125" style="1" customWidth="1"/>
    <col min="9" max="11" width="17.140625" style="1" customWidth="1"/>
    <col min="12" max="13" width="17.140625" style="1" hidden="1" customWidth="1"/>
    <col min="14" max="14" width="2.5703125" style="3" customWidth="1"/>
    <col min="15" max="15" width="15.7109375" style="3" customWidth="1"/>
    <col min="16" max="16" width="15.7109375" style="3" hidden="1" customWidth="1"/>
    <col min="17" max="17" width="15.7109375" style="3" customWidth="1"/>
    <col min="18" max="18" width="15.7109375" style="3" hidden="1" customWidth="1"/>
    <col min="19" max="19" width="2.5703125" style="3" customWidth="1"/>
    <col min="20" max="22" width="17.140625" style="3" customWidth="1"/>
    <col min="23" max="24" width="17.140625" style="3" hidden="1" customWidth="1"/>
    <col min="25" max="25" width="2.5703125" style="3" customWidth="1"/>
    <col min="26" max="26" width="15.7109375" style="3" customWidth="1"/>
    <col min="27" max="27" width="15.7109375" style="3" hidden="1" customWidth="1"/>
    <col min="28" max="28" width="15.7109375" style="3" customWidth="1"/>
    <col min="29" max="29" width="5.42578125" style="3" hidden="1" customWidth="1"/>
    <col min="30" max="30" width="3.7109375" style="19" customWidth="1"/>
    <col min="31" max="32" width="14.28515625" style="19" hidden="1" customWidth="1"/>
    <col min="33" max="34" width="9" style="19" hidden="1" customWidth="1"/>
    <col min="35" max="35" width="13.5703125" style="19" hidden="1" customWidth="1"/>
    <col min="36" max="38" width="9" style="19" hidden="1" customWidth="1"/>
    <col min="39" max="39" width="24.85546875" style="19" hidden="1" customWidth="1"/>
    <col min="40" max="40" width="13.140625" style="19" hidden="1" customWidth="1"/>
    <col min="41" max="41" width="22" style="19" hidden="1" customWidth="1"/>
    <col min="42" max="42" width="25.28515625" style="19" hidden="1" customWidth="1"/>
    <col min="43" max="43" width="14.42578125" style="19" hidden="1" customWidth="1"/>
    <col min="44" max="44" width="16.28515625" style="19" hidden="1" customWidth="1"/>
    <col min="45" max="45" width="16.7109375" style="19" hidden="1" customWidth="1"/>
    <col min="46" max="46" width="43.7109375" style="19" hidden="1" customWidth="1"/>
    <col min="47" max="47" width="10.140625" style="19" hidden="1" customWidth="1"/>
    <col min="48" max="48" width="6.5703125" style="19" hidden="1" customWidth="1"/>
    <col min="49" max="49" width="6.140625" style="19" hidden="1" customWidth="1"/>
    <col min="50" max="50" width="6.5703125" style="19" hidden="1" customWidth="1"/>
    <col min="51" max="53" width="6.5703125" style="1" hidden="1" customWidth="1"/>
    <col min="54" max="57" width="6.5703125" style="1" customWidth="1"/>
    <col min="58" max="59" width="6.42578125" style="1" customWidth="1"/>
    <col min="60" max="61" width="11.42578125" style="1" customWidth="1"/>
    <col min="62" max="16384" width="11.42578125" style="1"/>
  </cols>
  <sheetData>
    <row r="1" spans="1:50" ht="22.5" hidden="1" customHeight="1" x14ac:dyDescent="0.25">
      <c r="E1" s="19"/>
      <c r="F1" s="37" t="s">
        <v>115</v>
      </c>
      <c r="G1" s="20" t="s">
        <v>0</v>
      </c>
      <c r="H1" s="21"/>
      <c r="I1" s="43"/>
      <c r="J1" s="38" t="s">
        <v>83</v>
      </c>
      <c r="K1" s="38" t="s">
        <v>82</v>
      </c>
      <c r="L1" s="137" t="s">
        <v>120</v>
      </c>
      <c r="M1" s="137" t="s">
        <v>121</v>
      </c>
      <c r="N1" s="19"/>
      <c r="O1" s="43"/>
      <c r="P1" s="43"/>
      <c r="Q1" s="43"/>
      <c r="R1" s="43"/>
      <c r="S1" s="43"/>
      <c r="T1" s="173"/>
      <c r="U1" s="89" t="s">
        <v>83</v>
      </c>
      <c r="V1" s="38" t="s">
        <v>82</v>
      </c>
      <c r="W1" s="137" t="s">
        <v>120</v>
      </c>
      <c r="X1" s="137" t="s">
        <v>121</v>
      </c>
      <c r="Y1" s="151"/>
      <c r="Z1" s="151"/>
      <c r="AA1" s="151"/>
      <c r="AB1" s="151"/>
      <c r="AC1" s="258" t="s">
        <v>116</v>
      </c>
      <c r="AD1" s="258"/>
      <c r="AE1" s="258"/>
      <c r="AF1" s="258"/>
    </row>
    <row r="2" spans="1:50" ht="22.5" hidden="1" customHeight="1" x14ac:dyDescent="0.25">
      <c r="E2" s="19"/>
      <c r="F2" s="48"/>
      <c r="G2" s="36" t="s">
        <v>56</v>
      </c>
      <c r="H2" s="85" t="str">
        <f ca="1">_xll.SUBNM(Server&amp;"Period","",$F$18,"")</f>
        <v>2013.03_YTD</v>
      </c>
      <c r="I2" s="36" t="s">
        <v>37</v>
      </c>
      <c r="J2" s="86" t="str">
        <f ca="1">LEFT(H2,4)</f>
        <v>2013</v>
      </c>
      <c r="N2" s="19"/>
      <c r="O2" s="43"/>
      <c r="P2" s="43"/>
      <c r="Q2" s="43"/>
      <c r="R2" s="43"/>
      <c r="S2" s="43"/>
      <c r="T2" s="43"/>
      <c r="U2" s="43"/>
      <c r="V2" s="43"/>
      <c r="W2" s="43"/>
      <c r="X2" s="21"/>
      <c r="Y2" s="21"/>
      <c r="Z2" s="21"/>
      <c r="AA2" s="21"/>
      <c r="AB2" s="21"/>
      <c r="AC2" s="153" t="str">
        <f ca="1">IF($H$5=$AM$23,"BUDG_TOT",IF($H$5=$AM$24,"FC_1_TOT","FC_2_TOT"))</f>
        <v>BUDG_TOT</v>
      </c>
      <c r="AD2" s="152"/>
      <c r="AE2" s="152"/>
      <c r="AF2" s="152"/>
    </row>
    <row r="3" spans="1:50" ht="22.5" hidden="1" customHeight="1" x14ac:dyDescent="0.25">
      <c r="A3" s="43"/>
      <c r="B3" s="43"/>
      <c r="C3" s="43"/>
      <c r="D3" s="43"/>
      <c r="E3" s="43"/>
      <c r="F3" s="48"/>
      <c r="G3" s="36" t="s">
        <v>122</v>
      </c>
      <c r="H3" s="85" t="str">
        <f ca="1">_xll.DBRA(Server&amp;$G$2,$H$2,"Prior Year")</f>
        <v>2012.03_YTD</v>
      </c>
      <c r="I3" s="36"/>
      <c r="J3" s="86" t="str">
        <f ca="1">_xll.DBRA(Server&amp;$G$2,$J$2,"Prior Year")</f>
        <v>2012</v>
      </c>
      <c r="N3" s="43"/>
      <c r="O3" s="43"/>
      <c r="P3" s="43"/>
      <c r="Q3" s="43"/>
      <c r="R3" s="43"/>
      <c r="S3" s="43"/>
      <c r="T3" s="43"/>
      <c r="U3" s="43"/>
      <c r="V3" s="43"/>
      <c r="W3" s="43"/>
      <c r="X3" s="21"/>
      <c r="Y3" s="21"/>
      <c r="Z3" s="21"/>
      <c r="AA3" s="21"/>
      <c r="AB3" s="21"/>
      <c r="AC3" s="172"/>
      <c r="AD3" s="152"/>
      <c r="AE3" s="152"/>
      <c r="AF3" s="152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</row>
    <row r="4" spans="1:50" ht="22.5" hidden="1" customHeight="1" x14ac:dyDescent="0.2">
      <c r="C4" s="43"/>
      <c r="E4" s="19"/>
      <c r="F4" s="19"/>
      <c r="G4" s="135" t="s">
        <v>117</v>
      </c>
      <c r="H4" s="85" t="s">
        <v>99</v>
      </c>
      <c r="I4" s="50"/>
      <c r="J4" s="43"/>
      <c r="K4" s="43"/>
      <c r="L4" s="43"/>
      <c r="M4" s="43"/>
      <c r="N4" s="19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</row>
    <row r="5" spans="1:50" ht="22.5" hidden="1" customHeight="1" x14ac:dyDescent="0.2">
      <c r="C5" s="43"/>
      <c r="D5" s="21"/>
      <c r="E5" s="21"/>
      <c r="G5" s="136" t="s">
        <v>118</v>
      </c>
      <c r="H5" s="21" t="str">
        <f ca="1">_xll.SUBNM(Server&amp;"z_translate_report","",F23,"")</f>
        <v>Budget</v>
      </c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</row>
    <row r="6" spans="1:50" ht="22.5" hidden="1" customHeight="1" thickBot="1" x14ac:dyDescent="0.3">
      <c r="B6" s="43"/>
      <c r="C6" s="43"/>
      <c r="D6" s="21"/>
      <c r="E6" s="224" t="s">
        <v>126</v>
      </c>
      <c r="F6" s="37" t="str">
        <f ca="1">IF($F$23=$AN$13,$AM$23,IF($F$23=$AN$14,$AM$24,$AM$25))</f>
        <v>Budget</v>
      </c>
      <c r="G6" s="22"/>
      <c r="H6" s="22"/>
      <c r="I6" s="22"/>
      <c r="J6" s="22"/>
      <c r="K6" s="22"/>
      <c r="L6" s="37" t="s">
        <v>124</v>
      </c>
      <c r="M6" s="22"/>
      <c r="N6" s="22"/>
      <c r="O6" s="22"/>
      <c r="P6" s="22"/>
      <c r="Q6" s="22"/>
      <c r="R6" s="22"/>
      <c r="S6" s="22"/>
      <c r="T6" s="22"/>
      <c r="U6" s="22"/>
      <c r="V6" s="22"/>
      <c r="W6" s="37" t="s">
        <v>125</v>
      </c>
      <c r="X6" s="22"/>
      <c r="Y6" s="22"/>
      <c r="Z6" s="22"/>
      <c r="AA6" s="22"/>
      <c r="AB6" s="22"/>
      <c r="AC6" s="22"/>
    </row>
    <row r="7" spans="1:50" ht="19.5" customHeight="1" x14ac:dyDescent="0.2">
      <c r="B7" s="43"/>
      <c r="C7" s="43"/>
      <c r="D7" s="185"/>
      <c r="E7" s="21"/>
      <c r="F7" s="21"/>
      <c r="G7" s="19"/>
      <c r="H7" s="21"/>
      <c r="I7" s="19"/>
      <c r="J7" s="21"/>
      <c r="K7" s="19"/>
      <c r="L7" s="43"/>
      <c r="M7" s="43"/>
      <c r="N7" s="19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</row>
    <row r="8" spans="1:50" ht="18" customHeight="1" x14ac:dyDescent="0.2">
      <c r="B8" s="43"/>
      <c r="C8" s="100"/>
      <c r="D8" s="21"/>
      <c r="E8" s="21"/>
      <c r="F8" s="21"/>
      <c r="G8" s="19"/>
      <c r="H8" s="21"/>
      <c r="I8" s="19"/>
      <c r="J8" s="21"/>
      <c r="K8" s="19"/>
      <c r="L8" s="43"/>
      <c r="M8" s="43"/>
      <c r="N8" s="19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P8" s="43"/>
      <c r="AQ8" s="43"/>
      <c r="AR8" s="43"/>
      <c r="AS8" s="43"/>
      <c r="AT8" s="43"/>
    </row>
    <row r="9" spans="1:50" ht="16.5" customHeight="1" thickBot="1" x14ac:dyDescent="0.25">
      <c r="B9" s="43"/>
      <c r="C9" s="100"/>
      <c r="D9" s="21"/>
      <c r="G9" s="23"/>
      <c r="AO9" s="43"/>
      <c r="AP9" s="43"/>
      <c r="AQ9" s="43"/>
      <c r="AR9" s="43"/>
      <c r="AS9" s="43"/>
      <c r="AT9" s="43"/>
    </row>
    <row r="10" spans="1:50" ht="41.25" customHeight="1" thickBot="1" x14ac:dyDescent="0.3">
      <c r="B10" s="43"/>
      <c r="C10" s="100"/>
      <c r="D10" s="21"/>
      <c r="E10" s="234"/>
      <c r="F10" s="262" t="str">
        <f ca="1">_xll.DBRA(Server&amp;$AM$12,AM28,$AM$11)</f>
        <v>Compte de résultat corporate (Synthèse)</v>
      </c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2"/>
      <c r="V10" s="234"/>
      <c r="W10" s="234"/>
      <c r="X10" s="234"/>
      <c r="Y10" s="261" t="str">
        <f ca="1">_xll.DBRA(Server&amp;$AM$12,AM29,$AM$11)</f>
        <v>Restitution</v>
      </c>
      <c r="Z10" s="261"/>
      <c r="AA10" s="261"/>
      <c r="AB10" s="261"/>
      <c r="AC10" s="55"/>
      <c r="AM10" s="78" t="s">
        <v>70</v>
      </c>
      <c r="AO10" s="43"/>
      <c r="AP10" s="43"/>
      <c r="AQ10" s="43"/>
      <c r="AR10" s="43"/>
      <c r="AS10" s="43"/>
      <c r="AT10" s="43"/>
    </row>
    <row r="11" spans="1:50" ht="30" customHeight="1" thickBot="1" x14ac:dyDescent="0.3">
      <c r="A11" s="43"/>
      <c r="B11" s="43"/>
      <c r="C11" s="100"/>
      <c r="D11" s="21"/>
      <c r="E11" s="234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2"/>
      <c r="S11" s="262"/>
      <c r="T11" s="262"/>
      <c r="U11" s="262"/>
      <c r="V11" s="234"/>
      <c r="W11" s="234"/>
      <c r="X11" s="234"/>
      <c r="Y11" s="261"/>
      <c r="Z11" s="261"/>
      <c r="AA11" s="261"/>
      <c r="AB11" s="261"/>
      <c r="AC11" s="98"/>
      <c r="AM11" s="79" t="str">
        <f>IF($F$16="Français","French","English")</f>
        <v>French</v>
      </c>
      <c r="AN11" s="77" t="s">
        <v>62</v>
      </c>
      <c r="AO11" s="43"/>
      <c r="AP11" s="43"/>
      <c r="AQ11" s="43"/>
      <c r="AR11" s="43"/>
      <c r="AS11" s="43"/>
      <c r="AT11" s="43"/>
    </row>
    <row r="12" spans="1:50" ht="18" customHeight="1" thickBot="1" x14ac:dyDescent="0.3">
      <c r="A12" s="43"/>
      <c r="B12" s="43"/>
      <c r="C12" s="100"/>
      <c r="D12" s="21"/>
      <c r="E12" s="1"/>
      <c r="F12" s="1"/>
      <c r="G12" s="23"/>
      <c r="H12" s="23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M12" s="61" t="s">
        <v>33</v>
      </c>
      <c r="AN12" s="221" t="s">
        <v>0</v>
      </c>
      <c r="AO12" s="222"/>
      <c r="AP12" s="21"/>
      <c r="AQ12" s="43"/>
      <c r="AR12" s="43"/>
      <c r="AS12" s="43"/>
      <c r="AT12" s="43"/>
    </row>
    <row r="13" spans="1:50" ht="23.25" customHeight="1" thickBot="1" x14ac:dyDescent="0.25">
      <c r="A13" s="43"/>
      <c r="B13" s="43"/>
      <c r="C13" s="100"/>
      <c r="D13" s="21"/>
      <c r="E13" s="225" t="str">
        <f ca="1">_xll.DBRA(Server&amp;$AM$12,AM13,$AM$11)</f>
        <v>Sélection du contexte</v>
      </c>
      <c r="F13" s="126"/>
      <c r="H13" s="23"/>
      <c r="I13" s="97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M13" s="62" t="s">
        <v>29</v>
      </c>
      <c r="AN13" s="99" t="str">
        <f ca="1">_xll.DBRA(Server&amp;$AM$12,$AM$23,$AM$11)</f>
        <v>Budget</v>
      </c>
      <c r="AO13" s="21"/>
      <c r="AP13" s="21"/>
      <c r="AQ13" s="43"/>
      <c r="AR13" s="43"/>
      <c r="AS13" s="43"/>
      <c r="AT13" s="43"/>
    </row>
    <row r="14" spans="1:50" ht="23.25" hidden="1" customHeight="1" outlineLevel="1" x14ac:dyDescent="0.25">
      <c r="A14" s="43"/>
      <c r="B14" s="130" t="s">
        <v>102</v>
      </c>
      <c r="C14" s="100" t="s">
        <v>103</v>
      </c>
      <c r="D14" s="21"/>
      <c r="E14" s="25" t="str">
        <f ca="1">_xll.DBRA(Server&amp;$AM$12,AM19,$AM$11)</f>
        <v>Gaap</v>
      </c>
      <c r="F14" s="51" t="str">
        <f ca="1">_xll.SUBNM(Server&amp;"GAAP","Corp_FR","Local_Gaap",$AM$11)</f>
        <v>Gaap local</v>
      </c>
      <c r="H14" s="23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43"/>
      <c r="AE14" s="43"/>
      <c r="AF14" s="43"/>
      <c r="AG14" s="43"/>
      <c r="AH14" s="43"/>
      <c r="AI14" s="43"/>
      <c r="AJ14" s="43"/>
      <c r="AK14" s="43"/>
      <c r="AL14" s="43"/>
      <c r="AM14" s="56" t="s">
        <v>56</v>
      </c>
      <c r="AN14" s="100" t="str">
        <f ca="1">_xll.DBRA(Server&amp;$AM$12,$AM$24,$AM$11)</f>
        <v>Estimé 1</v>
      </c>
      <c r="AO14" s="21"/>
      <c r="AP14" s="21"/>
      <c r="AQ14" s="43"/>
      <c r="AR14" s="43"/>
      <c r="AS14" s="43"/>
      <c r="AT14" s="43"/>
      <c r="AU14" s="43"/>
      <c r="AV14" s="43"/>
      <c r="AW14" s="43"/>
      <c r="AX14" s="43"/>
    </row>
    <row r="15" spans="1:50" ht="23.25" hidden="1" customHeight="1" outlineLevel="1" x14ac:dyDescent="0.25">
      <c r="A15" s="43"/>
      <c r="B15" s="130" t="s">
        <v>101</v>
      </c>
      <c r="C15" s="100" t="s">
        <v>104</v>
      </c>
      <c r="D15" s="21"/>
      <c r="E15" s="25" t="str">
        <f ca="1">_xll.DBRA(Server&amp;$AM$12,AM20,$AM$11)</f>
        <v>Taux d'intégration</v>
      </c>
      <c r="F15" s="51" t="str">
        <f ca="1">_xll.SUBNM(Server&amp;"Integration_Rate","Corp_FR","NO_APP",$AM$11)</f>
        <v>Données de liasse (Tx d'intégration No-APP)</v>
      </c>
      <c r="H15" s="23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43"/>
      <c r="AE15" s="43"/>
      <c r="AF15" s="43"/>
      <c r="AG15" s="43"/>
      <c r="AH15" s="43"/>
      <c r="AI15" s="43"/>
      <c r="AJ15" s="43"/>
      <c r="AK15" s="43"/>
      <c r="AL15" s="43"/>
      <c r="AM15" s="64" t="s">
        <v>30</v>
      </c>
      <c r="AN15" s="100" t="str">
        <f ca="1">_xll.DBRA(Server&amp;$AM$12,$AM$25,$AM$11)</f>
        <v>Estimé 2</v>
      </c>
      <c r="AO15" s="21"/>
      <c r="AP15" s="21"/>
      <c r="AQ15" s="43"/>
      <c r="AR15" s="43"/>
      <c r="AS15" s="43"/>
      <c r="AT15" s="43"/>
      <c r="AU15" s="43"/>
      <c r="AV15" s="43"/>
      <c r="AW15" s="43"/>
      <c r="AX15" s="43"/>
    </row>
    <row r="16" spans="1:50" ht="23.25" hidden="1" customHeight="1" outlineLevel="1" x14ac:dyDescent="0.2">
      <c r="A16" s="43"/>
      <c r="B16" s="43"/>
      <c r="C16" s="100"/>
      <c r="D16" s="21"/>
      <c r="E16" s="25" t="str">
        <f ca="1">_xll.DBRA(Server&amp;$AM$12,AM21,$AM$11)</f>
        <v>Langue</v>
      </c>
      <c r="F16" s="52" t="s">
        <v>71</v>
      </c>
      <c r="H16" s="23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43"/>
      <c r="AE16" s="43"/>
      <c r="AF16" s="43"/>
      <c r="AG16" s="43"/>
      <c r="AH16" s="43"/>
      <c r="AI16" s="43"/>
      <c r="AJ16" s="43"/>
      <c r="AK16" s="43"/>
      <c r="AL16" s="43"/>
      <c r="AM16" s="64" t="s">
        <v>31</v>
      </c>
      <c r="AN16" s="21"/>
      <c r="AO16" s="43"/>
      <c r="AP16" s="43"/>
      <c r="AQ16" s="43"/>
      <c r="AR16" s="43"/>
      <c r="AS16" s="43"/>
      <c r="AT16" s="43"/>
      <c r="AU16" s="43"/>
      <c r="AV16" s="43"/>
      <c r="AW16" s="43"/>
      <c r="AX16" s="43"/>
    </row>
    <row r="17" spans="1:58" ht="23.25" hidden="1" customHeight="1" outlineLevel="1" x14ac:dyDescent="0.2">
      <c r="A17" s="43"/>
      <c r="B17" s="43"/>
      <c r="C17" s="100"/>
      <c r="D17" s="21"/>
      <c r="E17" s="25" t="str">
        <f ca="1">_xll.DBRA(Server&amp;$AM$12,AM16,$AM$11)</f>
        <v>Organisation légale</v>
      </c>
      <c r="F17" s="51" t="str">
        <f ca="1">_xll.SUBNM(Server&amp;"Legal_Organization_Corp","Corp_FR",_xll.DBR(Server&amp;"z_Client_Properties","Default_Legal_Organization_Corp",_xll.TM1USER(xServer)),$F$16)</f>
        <v>VTD</v>
      </c>
      <c r="H17" s="23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43"/>
      <c r="AE17" s="43"/>
      <c r="AF17" s="43"/>
      <c r="AG17" s="43"/>
      <c r="AH17" s="43"/>
      <c r="AI17" s="43"/>
      <c r="AJ17" s="43"/>
      <c r="AK17" s="43"/>
      <c r="AL17" s="43"/>
      <c r="AM17" s="81" t="s">
        <v>72</v>
      </c>
      <c r="AN17" s="21"/>
      <c r="AO17" s="43"/>
      <c r="AP17" s="43"/>
      <c r="AQ17" s="43"/>
      <c r="AR17" s="43"/>
      <c r="AS17" s="43"/>
      <c r="AT17" s="43"/>
      <c r="AU17" s="43"/>
      <c r="AV17" s="43"/>
      <c r="AW17" s="43"/>
      <c r="AX17" s="43"/>
    </row>
    <row r="18" spans="1:58" ht="23.25" customHeight="1" collapsed="1" x14ac:dyDescent="0.2">
      <c r="A18" s="43"/>
      <c r="B18" s="43"/>
      <c r="C18" s="100"/>
      <c r="D18" s="21"/>
      <c r="E18" s="63" t="str">
        <f ca="1">_xll.DBRA(Server&amp;$AM$12,AM14,$AM$11)</f>
        <v>Période</v>
      </c>
      <c r="F18" s="52" t="str">
        <f ca="1">_xll.SUBNM(Server&amp;"Period","Corp_FR",ActualMonth&amp;"_YTD",$AM$11)</f>
        <v>Cumul Mars 2013</v>
      </c>
      <c r="H18" s="23"/>
      <c r="I18" s="259" t="str">
        <f ca="1">_xll.DBRA(Server&amp;$AM$12,AM31,$AM$11)</f>
        <v>A date</v>
      </c>
      <c r="J18" s="259"/>
      <c r="K18" s="259"/>
      <c r="L18" s="259"/>
      <c r="M18" s="259"/>
      <c r="N18" s="259"/>
      <c r="O18" s="259"/>
      <c r="P18" s="259"/>
      <c r="Q18" s="259"/>
      <c r="R18" s="213"/>
      <c r="S18" s="24"/>
      <c r="T18" s="259" t="str">
        <f ca="1">_xll.DBRA(Server&amp;$AM$12,AM30,$AM$11)</f>
        <v>Année pleine</v>
      </c>
      <c r="U18" s="259"/>
      <c r="V18" s="259"/>
      <c r="W18" s="259"/>
      <c r="X18" s="259"/>
      <c r="Y18" s="259"/>
      <c r="Z18" s="259"/>
      <c r="AA18" s="259"/>
      <c r="AB18" s="259"/>
      <c r="AC18" s="213"/>
      <c r="AD18" s="43"/>
      <c r="AE18" s="43"/>
      <c r="AF18" s="43"/>
      <c r="AG18" s="43"/>
      <c r="AH18" s="43"/>
      <c r="AI18" s="43"/>
      <c r="AJ18" s="43"/>
      <c r="AK18" s="43"/>
      <c r="AL18" s="43"/>
      <c r="AM18" s="64" t="s">
        <v>15</v>
      </c>
      <c r="AN18" s="21"/>
      <c r="AO18" s="43"/>
      <c r="AP18" s="43"/>
      <c r="AQ18" s="43"/>
      <c r="AR18" s="43"/>
      <c r="AS18" s="43"/>
      <c r="AT18" s="43"/>
      <c r="AU18" s="43"/>
      <c r="AV18" s="43"/>
      <c r="AW18" s="43"/>
      <c r="AX18" s="43"/>
    </row>
    <row r="19" spans="1:58" ht="23.25" customHeight="1" x14ac:dyDescent="0.2">
      <c r="A19" s="21"/>
      <c r="C19" s="100"/>
      <c r="D19" s="21"/>
      <c r="E19" s="25" t="str">
        <f ca="1">_xll.DBRA(Server&amp;$AM$12,$AM$15,$AM$11)</f>
        <v>Organisation managériale</v>
      </c>
      <c r="F19" s="52" t="str">
        <f ca="1">_xll.SUBNM(Server&amp;"Management_Organization_Corp","Corp_FR",_xll.DBR(Server&amp;"z_Client_Properties","Default_Management_Organization_Corp",_xll.TM1USER(xServer)),$F$16)</f>
        <v>VTD</v>
      </c>
      <c r="H19" s="23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43"/>
      <c r="AE19" s="43"/>
      <c r="AF19" s="43"/>
      <c r="AG19" s="43"/>
      <c r="AH19" s="43"/>
      <c r="AI19" s="43"/>
      <c r="AJ19" s="43"/>
      <c r="AK19" s="43"/>
      <c r="AL19" s="43"/>
      <c r="AM19" s="64" t="s">
        <v>16</v>
      </c>
      <c r="AN19" s="21"/>
      <c r="AO19" s="43"/>
      <c r="AP19"/>
      <c r="AQ19" s="43"/>
      <c r="AR19" s="43"/>
      <c r="AS19" s="43"/>
      <c r="AT19" s="43"/>
      <c r="AU19" s="43"/>
      <c r="AV19" s="43"/>
      <c r="AW19" s="43"/>
      <c r="AX19" s="43"/>
    </row>
    <row r="20" spans="1:58" ht="21.75" customHeight="1" x14ac:dyDescent="0.25">
      <c r="A20" s="21"/>
      <c r="B20" s="21"/>
      <c r="C20" s="100"/>
      <c r="D20" s="21"/>
      <c r="E20" s="25" t="str">
        <f ca="1">_xll.DBRA(Server&amp;$AM$12,AM17,$AM$11)</f>
        <v>Projets</v>
      </c>
      <c r="F20" s="51" t="str">
        <f ca="1">_xll.SUBNM(Server&amp;"Projets","Corp_FR","Tot_proj",$F$16)</f>
        <v>Total Projets</v>
      </c>
      <c r="H20" s="23"/>
      <c r="I20" s="259" t="str">
        <f ca="1">$F$18</f>
        <v>Cumul Mars 2013</v>
      </c>
      <c r="J20" s="259"/>
      <c r="K20" s="259"/>
      <c r="L20" s="259"/>
      <c r="M20" s="259"/>
      <c r="N20" s="24"/>
      <c r="O20" s="259" t="str">
        <f ca="1">_xll.DBRA(Server&amp;$AM$12,AM27,$AM$11)</f>
        <v>Variances</v>
      </c>
      <c r="P20" s="259"/>
      <c r="Q20" s="259"/>
      <c r="R20" s="259"/>
      <c r="S20" s="24"/>
      <c r="T20" s="259" t="str">
        <f ca="1">_xll.SUBNM(Server&amp;"Period","",$J$2,$AM$11)</f>
        <v>2013</v>
      </c>
      <c r="U20" s="259"/>
      <c r="V20" s="259"/>
      <c r="W20" s="259"/>
      <c r="X20" s="259"/>
      <c r="Y20" s="24"/>
      <c r="Z20" s="259" t="str">
        <f ca="1">_xll.DBRA(Server&amp;$AM$12,AM27,$AM$11)</f>
        <v>Variances</v>
      </c>
      <c r="AA20" s="259"/>
      <c r="AB20" s="259"/>
      <c r="AC20" s="259"/>
      <c r="AD20" s="41"/>
      <c r="AM20" s="64" t="s">
        <v>34</v>
      </c>
      <c r="AN20" s="21"/>
      <c r="AO20" s="43"/>
      <c r="AP20" s="43"/>
      <c r="AQ20" s="43"/>
      <c r="AR20" s="43"/>
      <c r="AS20" s="43"/>
      <c r="AT20" s="43"/>
    </row>
    <row r="21" spans="1:58" ht="26.25" customHeight="1" thickBot="1" x14ac:dyDescent="0.3">
      <c r="A21" s="43"/>
      <c r="B21" s="43"/>
      <c r="C21" s="100"/>
      <c r="D21" s="21"/>
      <c r="E21" s="25" t="str">
        <f ca="1">_xll.DBRA(Server&amp;$AM$12,AM18,$AM$11)</f>
        <v>Devise</v>
      </c>
      <c r="F21" s="51" t="str">
        <f ca="1">_xll.SUBNM(Server&amp;"Currency","Corp_FR","KEUR",$AM$11)</f>
        <v>K€</v>
      </c>
      <c r="H21" s="23"/>
      <c r="I21" s="260"/>
      <c r="J21" s="260"/>
      <c r="K21" s="260"/>
      <c r="L21" s="260"/>
      <c r="M21" s="260"/>
      <c r="N21" s="26"/>
      <c r="O21" s="260"/>
      <c r="P21" s="260"/>
      <c r="Q21" s="260"/>
      <c r="R21" s="260"/>
      <c r="S21" s="26"/>
      <c r="T21" s="260"/>
      <c r="U21" s="260"/>
      <c r="V21" s="260"/>
      <c r="W21" s="260"/>
      <c r="X21" s="260"/>
      <c r="Y21" s="24"/>
      <c r="Z21" s="260"/>
      <c r="AA21" s="260"/>
      <c r="AB21" s="260"/>
      <c r="AC21" s="260"/>
      <c r="AD21" s="41"/>
      <c r="AM21" s="58" t="s">
        <v>35</v>
      </c>
      <c r="AN21" s="21"/>
      <c r="AO21" s="43"/>
      <c r="AP21" s="71"/>
      <c r="AQ21" s="43"/>
      <c r="AR21" s="43"/>
      <c r="AS21" s="43"/>
      <c r="AT21" s="43"/>
    </row>
    <row r="22" spans="1:58" ht="19.5" customHeight="1" thickTop="1" x14ac:dyDescent="0.2">
      <c r="B22" s="43"/>
      <c r="C22" s="101"/>
      <c r="D22" s="21"/>
      <c r="E22" s="27"/>
      <c r="F22" s="27"/>
      <c r="H22" s="5"/>
      <c r="I22" s="240" t="str">
        <f ca="1">_xll.DBRA(Server&amp;AM12,AM26,AM11)</f>
        <v>Réalisé N-1</v>
      </c>
      <c r="J22" s="243" t="str">
        <f ca="1">_xll.DBRA(Server&amp;$G$1,$J$1,$AM$11)</f>
        <v>Réalisé</v>
      </c>
      <c r="K22" s="245" t="str">
        <f ca="1">_xll.DBRA(Server&amp;$G$1,$K$1,$AM$11)</f>
        <v>Budget</v>
      </c>
      <c r="L22" s="243" t="str">
        <f ca="1">_xll.DBRA(Server&amp;$G$1,$L$1,$AM$11)</f>
        <v>Estimé 1</v>
      </c>
      <c r="M22" s="245" t="str">
        <f ca="1">_xll.DBRA(Server&amp;$G$1,$M$1,$AM$11)</f>
        <v>Estimé 2</v>
      </c>
      <c r="N22" s="28"/>
      <c r="O22" s="239" t="str">
        <f ca="1">IF($F$23=$AN$13,$J$22&amp;" / "&amp;$K$22,IF($F$23=$AN$14,$J$22&amp;" / "&amp;$L$22,IF($F$23=$AN$15,$J$22&amp;" / "&amp;$M$22)))</f>
        <v>Réalisé / Budget</v>
      </c>
      <c r="P22" s="240"/>
      <c r="Q22" s="245" t="str">
        <f ca="1">$J$22&amp;" / "&amp;$I$22</f>
        <v>Réalisé / Réalisé N-1</v>
      </c>
      <c r="R22" s="239"/>
      <c r="S22" s="28"/>
      <c r="T22" s="240" t="str">
        <f ca="1">_xll.DBRA(Server&amp;AM12,AM26,AM11)</f>
        <v>Réalisé N-1</v>
      </c>
      <c r="U22" s="240" t="str">
        <f ca="1">_xll.DBRA(Server&amp;$G$1,$U$1,$AM$11)</f>
        <v>Réalisé</v>
      </c>
      <c r="V22" s="240" t="str">
        <f ca="1">_xll.DBRA(Server&amp;$G$1,$V$1,$AM$11)</f>
        <v>Budget</v>
      </c>
      <c r="W22" s="243" t="str">
        <f ca="1">_xll.DBRA(Server&amp;$G$1,$W$1,$AM$11)</f>
        <v>Estimé 1</v>
      </c>
      <c r="X22" s="245" t="str">
        <f ca="1">_xll.DBRA(Server&amp;$G$1,$X$1,$AM$11)</f>
        <v>Estimé 2</v>
      </c>
      <c r="Y22" s="24"/>
      <c r="Z22" s="239" t="str">
        <f ca="1">IF($F$23=$AN$13,$U$22&amp;" / "&amp;$V$22,IF($F$23=$AN$14,$U$22&amp;" / "&amp;$W$22,IF($F$23=$AN$15,$U$22&amp;" / "&amp;$X$22)))</f>
        <v>Réalisé / Budget</v>
      </c>
      <c r="AA22" s="240"/>
      <c r="AB22" s="239" t="str">
        <f ca="1">$U$22&amp;" / "&amp;$T$22</f>
        <v>Réalisé / Réalisé N-1</v>
      </c>
      <c r="AC22" s="239"/>
      <c r="AM22" s="56" t="s">
        <v>0</v>
      </c>
      <c r="AN22" s="21"/>
      <c r="AO22" s="43"/>
      <c r="AP22" s="71"/>
      <c r="AQ22" s="43"/>
      <c r="AR22" s="43"/>
      <c r="AS22" s="43"/>
      <c r="AT22" s="43"/>
      <c r="AY22" s="6"/>
      <c r="AZ22" s="6"/>
      <c r="BA22" s="6"/>
      <c r="BB22" s="6"/>
      <c r="BC22" s="6"/>
      <c r="BD22" s="6"/>
      <c r="BE22" s="6"/>
      <c r="BF22" s="6"/>
    </row>
    <row r="23" spans="1:58" s="7" customFormat="1" ht="36.75" customHeight="1" x14ac:dyDescent="0.2">
      <c r="A23" s="19"/>
      <c r="B23" s="43"/>
      <c r="C23" s="102"/>
      <c r="D23" s="1"/>
      <c r="E23" s="25" t="str">
        <f ca="1">_xll.DBRA(Server&amp;$AM$12,$AM$22,$AM$11)</f>
        <v>Phase</v>
      </c>
      <c r="F23" s="52" t="s">
        <v>57</v>
      </c>
      <c r="H23" s="29"/>
      <c r="I23" s="242"/>
      <c r="J23" s="244"/>
      <c r="K23" s="246"/>
      <c r="L23" s="244"/>
      <c r="M23" s="246"/>
      <c r="N23" s="30"/>
      <c r="O23" s="241"/>
      <c r="P23" s="242"/>
      <c r="Q23" s="246"/>
      <c r="R23" s="241"/>
      <c r="S23" s="30"/>
      <c r="T23" s="242"/>
      <c r="U23" s="242"/>
      <c r="V23" s="242"/>
      <c r="W23" s="244"/>
      <c r="X23" s="246"/>
      <c r="Y23" s="30"/>
      <c r="Z23" s="241"/>
      <c r="AA23" s="242"/>
      <c r="AB23" s="241"/>
      <c r="AC23" s="241"/>
      <c r="AD23" s="19"/>
      <c r="AE23" s="19"/>
      <c r="AF23" s="19"/>
      <c r="AG23" s="19"/>
      <c r="AH23" s="19"/>
      <c r="AI23" s="19"/>
      <c r="AJ23" s="19"/>
      <c r="AK23" s="19"/>
      <c r="AL23" s="19"/>
      <c r="AM23" s="57" t="s">
        <v>57</v>
      </c>
      <c r="AN23" s="1"/>
      <c r="AO23" s="43"/>
      <c r="AP23" s="72"/>
      <c r="AT23" s="43"/>
      <c r="AU23" s="19"/>
      <c r="AV23" s="19"/>
      <c r="AW23" s="19"/>
      <c r="AX23" s="19"/>
    </row>
    <row r="24" spans="1:58" s="7" customFormat="1" ht="17.25" customHeight="1" x14ac:dyDescent="0.25">
      <c r="A24" s="19"/>
      <c r="B24" s="43"/>
      <c r="C24" s="103" t="s">
        <v>90</v>
      </c>
      <c r="D24" s="1"/>
      <c r="G24" s="31"/>
      <c r="H24" s="32"/>
      <c r="I24" s="33"/>
      <c r="J24" s="33"/>
      <c r="K24" s="33"/>
      <c r="L24" s="33"/>
      <c r="M24" s="33"/>
      <c r="N24" s="30"/>
      <c r="O24" s="30"/>
      <c r="P24" s="30"/>
      <c r="Q24" s="30"/>
      <c r="R24" s="30"/>
      <c r="S24" s="30"/>
      <c r="T24" s="30"/>
      <c r="U24" s="30"/>
      <c r="V24" s="30"/>
      <c r="W24" s="33"/>
      <c r="X24" s="33"/>
      <c r="Y24" s="30"/>
      <c r="Z24" s="30"/>
      <c r="AA24" s="30"/>
      <c r="AB24" s="30"/>
      <c r="AC24" s="30"/>
      <c r="AD24" s="19"/>
      <c r="AE24" s="19"/>
      <c r="AF24" s="19"/>
      <c r="AG24" s="19"/>
      <c r="AH24" s="19"/>
      <c r="AI24" s="19"/>
      <c r="AJ24" s="19"/>
      <c r="AK24" s="19"/>
      <c r="AL24" s="19"/>
      <c r="AM24" s="57" t="s">
        <v>58</v>
      </c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</row>
    <row r="25" spans="1:58" s="8" customFormat="1" ht="28.5" customHeight="1" thickBot="1" x14ac:dyDescent="0.4">
      <c r="A25" s="19"/>
      <c r="B25" s="43"/>
      <c r="C25" s="104" t="s">
        <v>87</v>
      </c>
      <c r="D25" s="1"/>
      <c r="E25" s="236" t="str">
        <f ca="1">_xll.DBRA(Server&amp;$C$24,$C25,$F$16)</f>
        <v>PRODUITS OPERATIONNELS</v>
      </c>
      <c r="F25" s="236"/>
      <c r="G25" s="236"/>
      <c r="H25" s="34"/>
      <c r="I25" s="226">
        <f ca="1">_xll.DBRW(Server&amp;Cube1,$F$21,$F$14,$F$15,$F$20,$C$14,$F$17,$F$19,$C$15,$H$3,J$1,$C25)</f>
        <v>7695.38789</v>
      </c>
      <c r="J25" s="226">
        <f ca="1">_xll.DBRW(Server&amp;Cube1,$F$21,$F$14,$F$15,$F$20,$C$14,$F$17,$F$19,$C$15,$H$2,J$1,$C25)</f>
        <v>3288.1040499999999</v>
      </c>
      <c r="K25" s="227">
        <f ca="1">_xll.DBRW(Server&amp;Cube1,$F$21,$F$14,$F$15,$F$20,$C$14,$F$17,$F$19,$C$15,$H$2,K$1,$C25)</f>
        <v>4218.1194999999998</v>
      </c>
      <c r="L25" s="226">
        <f ca="1">IF($F$6="Budget",0,_xll.DBRW(Server&amp;Cube1,$F$21,$F$14,$F$15,$F$20,$C$14,$F$17,$F$19,$C$15,$H$2,L$1,$C25))</f>
        <v>0</v>
      </c>
      <c r="M25" s="227">
        <f ca="1">IF(OR($F$6="Forecast_1",$F$6="Budget"),0,_xll.DBRW(Server&amp;Cube1,$F$21,$F$14,$F$15,$F$20,$C$14,$F$17,$F$19,$C$15,$H$2,M$1,$C25))</f>
        <v>0</v>
      </c>
      <c r="N25" s="110"/>
      <c r="O25" s="228">
        <f ca="1">IF($F$23=$AN$13,$J25-$K25,IF($F$23=$AN$14,$J25-$L25,$J25-$M25))</f>
        <v>-930.01544999999987</v>
      </c>
      <c r="P25" s="201">
        <f ca="1">IF($F$23=$AN$13,IF(K25=0,0,IF(K25&lt;0,O25/-K25,O25/K25)),IF($F$23=$AN$14,IF(L25=0,0,IF(L25&lt;0,O25/-L25,O25/L25)),IF(M25=0,0,IF(M25&lt;0,O25/-M25,O25/M25))))</f>
        <v>-0.22048105796907838</v>
      </c>
      <c r="Q25" s="228">
        <f ca="1">$J25-$I25</f>
        <v>-4407.2838400000001</v>
      </c>
      <c r="R25" s="195">
        <f ca="1">IF(I25=0,0,O25/I25)</f>
        <v>-0.12085361560637327</v>
      </c>
      <c r="S25" s="115"/>
      <c r="T25" s="226">
        <f ca="1">_xll.DBRW(Server&amp;Cube1,$F$21,$F$14,$F$15,$F$20,$C$14,$F$17,$F$19,$C$15,$J$3,$U$1,$C25)</f>
        <v>25142.269079999995</v>
      </c>
      <c r="U25" s="226">
        <f ca="1">_xll.DBRW(Server&amp;Cube1,$F$21,$F$14,$F$15,$F$20,$C$14,$F$17,$F$19,$C$15,$J$2,$U$1,$C25)</f>
        <v>3288.1040499999999</v>
      </c>
      <c r="V25" s="227">
        <f ca="1">_xll.DBRW(Server&amp;Cube1,$F$21,$F$14,$F$15,$F$20,$C$14,$F$17,$F$19,$C$15,$J$2,$V$1,$C25)</f>
        <v>22153.589</v>
      </c>
      <c r="W25" s="226">
        <f ca="1">IF($F$6="Budget",0,_xll.DBRW(Server&amp;Cube1,$F$21,$F$14,$F$15,$F$20,$C$14,$F$17,$F$19,$C$15,$J$2,$W$1,$C25))</f>
        <v>0</v>
      </c>
      <c r="X25" s="227">
        <f ca="1">IF(OR($F$6="Forecast_1",$F$6="Budget"),0,_xll.DBRW(Server&amp;Cube1,$F$21,$F$14,$F$15,$F$20,$C$14,$F$17,$F$19,$C$15,$J$2,$X$1,$C25))</f>
        <v>0</v>
      </c>
      <c r="Y25" s="92"/>
      <c r="Z25" s="228">
        <f ca="1">IF($F$23=$AN$13,$U25-$V25,IF($F$23=$AN$14,$U25-$W25,$U25-$X25))</f>
        <v>-18865.484949999998</v>
      </c>
      <c r="AA25" s="201">
        <f ca="1">IF($F$23=$AN$13,IF(V25=0,0,IF(V25&lt;0,Z25/-V25,Z25/V25)),IF($F$23=$AN$14,IF(W25=0,0,IF(W25&lt;0,Z25/-W25,Z25/W25)),IF(X25=0,0,IF(X25&lt;0,Z25/-X25,Z25/X25))))</f>
        <v>-0.85157691379035683</v>
      </c>
      <c r="AB25" s="228">
        <f ca="1">$U25-$T25</f>
        <v>-21854.165029999996</v>
      </c>
      <c r="AC25" s="208">
        <f ca="1">IF(T25=0,0,Z25/T25)</f>
        <v>-0.75034933760242783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223" t="s">
        <v>59</v>
      </c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</row>
    <row r="26" spans="1:58" s="8" customFormat="1" ht="28.5" customHeight="1" thickBot="1" x14ac:dyDescent="0.4">
      <c r="A26" s="19"/>
      <c r="B26" s="43"/>
      <c r="C26" s="105" t="s">
        <v>36</v>
      </c>
      <c r="D26" s="1"/>
      <c r="E26" s="237" t="str">
        <f ca="1">_xll.DBRA(Server&amp;$C$24,$C26,$F$16)</f>
        <v>PRODUIT DES ACTIVITES ORDINAIRES</v>
      </c>
      <c r="F26" s="237"/>
      <c r="G26" s="237"/>
      <c r="H26" s="34"/>
      <c r="I26" s="187">
        <f ca="1">_xll.DBRW(Server&amp;Cube1,$F$21,$F$14,$F$15,$F$20,$C$14,$F$17,$F$19,$C$15,$H$3,J$1,$C26)</f>
        <v>7695.38789</v>
      </c>
      <c r="J26" s="187">
        <f ca="1">_xll.DBRW(Server&amp;Cube1,$F$21,$F$14,$F$15,$F$20,$C$14,$F$17,$F$19,$C$15,$H$2,J$1,$C26)</f>
        <v>3288.1040499999999</v>
      </c>
      <c r="K26" s="188">
        <f ca="1">_xll.DBRW(Server&amp;Cube1,$F$21,$F$14,$F$15,$F$20,$C$14,$F$17,$F$19,$C$15,$H$2,K$1,$C26)</f>
        <v>4218.1194999999998</v>
      </c>
      <c r="L26" s="187">
        <f ca="1">IF($F$6="Budget",0,_xll.DBRW(Server&amp;Cube1,$F$21,$F$14,$F$15,$F$20,$C$14,$F$17,$F$19,$C$15,$H$2,L$1,$C26))</f>
        <v>0</v>
      </c>
      <c r="M26" s="188">
        <f ca="1">IF(OR($F$6="Forecast_1",$F$6="Budget"),0,_xll.DBRW(Server&amp;Cube1,$F$21,$F$14,$F$15,$F$20,$C$14,$F$17,$F$19,$C$15,$H$2,M$1,$C26))</f>
        <v>0</v>
      </c>
      <c r="N26" s="111"/>
      <c r="O26" s="202">
        <f ca="1">IF($F$23=$AN$13,$J26-$K26,IF($F$23=$AN$14,$J26-$L26,$J26-$M26))</f>
        <v>-930.01544999999987</v>
      </c>
      <c r="P26" s="202">
        <f ca="1">IF($F$23=$AN$13,IF(K26=0,0,IF(K26&lt;0,O26/-K26,O26/K26)),IF($F$23=$AN$14,IF(L26=0,0,IF(L26&lt;0,O26/-L26,O26/L26)),IF(M26=0,0,IF(M26&lt;0,O26/-M26,O26/M26))))</f>
        <v>-0.22048105796907838</v>
      </c>
      <c r="Q26" s="202">
        <f t="shared" ref="Q26:Q44" ca="1" si="0">$J26-$I26</f>
        <v>-4407.2838400000001</v>
      </c>
      <c r="R26" s="196">
        <f t="shared" ref="R26:R44" ca="1" si="1">IF(I26=0,0,O26/I26)</f>
        <v>-0.12085361560637327</v>
      </c>
      <c r="S26" s="115"/>
      <c r="T26" s="187">
        <f ca="1">_xll.DBRW(Server&amp;Cube1,$F$21,$F$14,$F$15,$F$20,$C$14,$F$17,$F$19,$C$15,$J$3,$U$1,$C26)</f>
        <v>25142.269079999995</v>
      </c>
      <c r="U26" s="187">
        <f ca="1">_xll.DBRW(Server&amp;Cube1,$F$21,$F$14,$F$15,$F$20,$C$14,$F$17,$F$19,$C$15,$J$2,$U$1,$C26)</f>
        <v>3288.1040499999999</v>
      </c>
      <c r="V26" s="188">
        <f ca="1">_xll.DBRW(Server&amp;Cube1,$F$21,$F$14,$F$15,$F$20,$C$14,$F$17,$F$19,$C$15,$J$2,$V$1,$C26)</f>
        <v>22153.589</v>
      </c>
      <c r="W26" s="187">
        <f ca="1">IF($F$6="Budget",0,_xll.DBRW(Server&amp;Cube1,$F$21,$F$14,$F$15,$F$20,$C$14,$F$17,$F$19,$C$15,$J$2,$W$1,$C26))</f>
        <v>0</v>
      </c>
      <c r="X26" s="188">
        <f ca="1">IF(OR($F$6="Forecast_1",$F$6="Budget"),0,_xll.DBRW(Server&amp;Cube1,$F$21,$F$14,$F$15,$F$20,$C$14,$F$17,$F$19,$C$15,$J$2,$X$1,$C26))</f>
        <v>0</v>
      </c>
      <c r="Y26" s="93"/>
      <c r="Z26" s="202">
        <f ca="1">IF($F$23=$AN$13,$U26-$V26,IF($F$23=$AN$14,$U26-$W26,$U26-$X26))</f>
        <v>-18865.484949999998</v>
      </c>
      <c r="AA26" s="202">
        <f ca="1">IF($F$23=$AN$13,IF(V26=0,0,IF(V26&lt;0,Z26/-V26,Z26/V26)),IF($F$23=$AN$14,IF(W26=0,0,IF(W26&lt;0,Z26/-W26,Z26/W26)),IF(X26=0,0,IF(X26&lt;0,Z26/-X26,Z26/X26))))</f>
        <v>-0.85157691379035683</v>
      </c>
      <c r="AB26" s="202">
        <f t="shared" ref="AB26:AB44" ca="1" si="2">$U26-$T26</f>
        <v>-21854.165029999996</v>
      </c>
      <c r="AC26" s="209">
        <f t="shared" ref="AC26:AC28" ca="1" si="3">IF(T26=0,0,Z26/T26)</f>
        <v>-0.75034933760242783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66" t="s">
        <v>123</v>
      </c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</row>
    <row r="27" spans="1:58" s="8" customFormat="1" ht="28.5" customHeight="1" thickBot="1" x14ac:dyDescent="0.4">
      <c r="A27" s="19"/>
      <c r="B27" s="43"/>
      <c r="C27" s="105" t="s">
        <v>88</v>
      </c>
      <c r="D27" s="1"/>
      <c r="E27" s="238" t="str">
        <f ca="1">_xll.DBRA(Server&amp;$C$24,$C27,$F$16)</f>
        <v>Facturation PMAD</v>
      </c>
      <c r="F27" s="238"/>
      <c r="G27" s="238"/>
      <c r="H27" s="34"/>
      <c r="I27" s="189">
        <f ca="1">_xll.DBRW(Server&amp;Cube1,$F$21,$F$14,$F$15,$F$20,$C$14,$F$17,$F$19,$C$15,$H$3,J$1,$C27)</f>
        <v>5321.1188899999997</v>
      </c>
      <c r="J27" s="189">
        <f ca="1">_xll.DBRW(Server&amp;Cube1,$F$21,$F$14,$F$15,$F$20,$C$14,$F$17,$F$19,$C$15,$H$2,J$1,$C27)</f>
        <v>783.4</v>
      </c>
      <c r="K27" s="188">
        <f ca="1">_xll.DBRW(Server&amp;Cube1,$F$21,$F$14,$F$15,$F$20,$C$14,$F$17,$F$19,$C$15,$H$2,K$1,$C27)</f>
        <v>1683.5340000000001</v>
      </c>
      <c r="L27" s="189">
        <f ca="1">IF($F$6="Budget",0,_xll.DBRW(Server&amp;Cube1,$F$21,$F$14,$F$15,$F$20,$C$14,$F$17,$F$19,$C$15,$H$2,L$1,$C27))</f>
        <v>0</v>
      </c>
      <c r="M27" s="188">
        <f ca="1">IF(OR($F$6="Forecast_1",$F$6="Budget"),0,_xll.DBRW(Server&amp;Cube1,$F$21,$F$14,$F$15,$F$20,$C$14,$F$17,$F$19,$C$15,$H$2,M$1,$C27))</f>
        <v>0</v>
      </c>
      <c r="N27" s="112"/>
      <c r="O27" s="203">
        <f ca="1">IF($F$23=$AN$13,$J27-$K27,IF($F$23=$AN$14,$J27-$L27,$J27-$M27))</f>
        <v>-900.13400000000013</v>
      </c>
      <c r="P27" s="203">
        <f ca="1">IF($F$23=$AN$13,IF(K27=0,0,IF(K27&lt;0,O27/-K27,O27/K27)),IF($F$23=$AN$14,IF(L27=0,0,IF(L27&lt;0,O27/-L27,O27/L27)),IF(M27=0,0,IF(M27&lt;0,O27/-M27,O27/M27))))</f>
        <v>-0.5346693324874936</v>
      </c>
      <c r="Q27" s="203">
        <f ca="1">$J27-$I27</f>
        <v>-4537.7188900000001</v>
      </c>
      <c r="R27" s="197">
        <f t="shared" ca="1" si="1"/>
        <v>-0.16916254242911685</v>
      </c>
      <c r="S27" s="115"/>
      <c r="T27" s="189">
        <f ca="1">_xll.DBRW(Server&amp;Cube1,$F$21,$F$14,$F$15,$F$20,$C$14,$F$17,$F$19,$C$15,$J$3,$U$1,$C27)</f>
        <v>10017.854870000001</v>
      </c>
      <c r="U27" s="189">
        <f ca="1">_xll.DBRW(Server&amp;Cube1,$F$21,$F$14,$F$15,$F$20,$C$14,$F$17,$F$19,$C$15,$J$2,$U$1,$C27)</f>
        <v>783.4</v>
      </c>
      <c r="V27" s="188">
        <f ca="1">_xll.DBRW(Server&amp;Cube1,$F$21,$F$14,$F$15,$F$20,$C$14,$F$17,$F$19,$C$15,$J$2,$V$1,$C27)</f>
        <v>6734.1360000000004</v>
      </c>
      <c r="W27" s="189">
        <f ca="1">IF($F$6="Budget",0,_xll.DBRW(Server&amp;Cube1,$F$21,$F$14,$F$15,$F$20,$C$14,$F$17,$F$19,$C$15,$J$2,$W$1,$C27))</f>
        <v>0</v>
      </c>
      <c r="X27" s="188">
        <f ca="1">IF(OR($F$6="Forecast_1",$F$6="Budget"),0,_xll.DBRW(Server&amp;Cube1,$F$21,$F$14,$F$15,$F$20,$C$14,$F$17,$F$19,$C$15,$J$2,$X$1,$C27))</f>
        <v>0</v>
      </c>
      <c r="Y27" s="9"/>
      <c r="Z27" s="203">
        <f ca="1">IF($F$23=$AN$13,$U27-$V27,IF($F$23=$AN$14,$U27-$W27,$U27-$X27))</f>
        <v>-5950.7360000000008</v>
      </c>
      <c r="AA27" s="203">
        <f ca="1">IF($F$23=$AN$13,IF(V27=0,0,IF(V27&lt;0,Z27/-V27,Z27/V27)),IF($F$23=$AN$14,IF(W27=0,0,IF(W27&lt;0,Z27/-W27,Z27/W27)),IF(X27=0,0,IF(X27&lt;0,Z27/-X27,Z27/X27))))</f>
        <v>-0.8836673331218734</v>
      </c>
      <c r="AB27" s="203">
        <f t="shared" ca="1" si="2"/>
        <v>-9234.4548700000014</v>
      </c>
      <c r="AC27" s="210">
        <f t="shared" ca="1" si="3"/>
        <v>-0.59401299751510572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59" t="s">
        <v>32</v>
      </c>
      <c r="AN27" s="19"/>
      <c r="AO27" s="252" t="s">
        <v>63</v>
      </c>
      <c r="AP27" s="253"/>
      <c r="AQ27" s="254"/>
      <c r="AR27" s="19"/>
      <c r="AS27" s="19"/>
      <c r="AT27" s="19"/>
      <c r="AU27" s="19"/>
      <c r="AV27" s="19"/>
      <c r="AW27" s="19"/>
      <c r="AX27" s="19"/>
    </row>
    <row r="28" spans="1:58" s="8" customFormat="1" ht="28.5" customHeight="1" thickBot="1" x14ac:dyDescent="0.4">
      <c r="A28" s="19"/>
      <c r="B28" s="43"/>
      <c r="C28" s="105" t="s">
        <v>89</v>
      </c>
      <c r="D28" s="1"/>
      <c r="E28" s="238" t="str">
        <f ca="1">_xll.DBRA(Server&amp;$C$24,$C28,$F$16)</f>
        <v>Prestation de service</v>
      </c>
      <c r="F28" s="238"/>
      <c r="G28" s="238"/>
      <c r="H28" s="34"/>
      <c r="I28" s="189">
        <f ca="1">_xll.DBRW(Server&amp;Cube1,$F$21,$F$14,$F$15,$F$20,$C$14,$F$17,$F$19,$C$15,$H$3,J$1,$C28)</f>
        <v>2374.2690000000002</v>
      </c>
      <c r="J28" s="189">
        <f ca="1">_xll.DBRW(Server&amp;Cube1,$F$21,$F$14,$F$15,$F$20,$C$14,$F$17,$F$19,$C$15,$H$2,J$1,$C28)</f>
        <v>2504.7040499999998</v>
      </c>
      <c r="K28" s="188">
        <f ca="1">_xll.DBRW(Server&amp;Cube1,$F$21,$F$14,$F$15,$F$20,$C$14,$F$17,$F$19,$C$15,$H$2,K$1,$C28)</f>
        <v>2534.5855000000001</v>
      </c>
      <c r="L28" s="189">
        <f ca="1">IF($F$6="Budget",0,_xll.DBRW(Server&amp;Cube1,$F$21,$F$14,$F$15,$F$20,$C$14,$F$17,$F$19,$C$15,$H$2,L$1,$C28))</f>
        <v>0</v>
      </c>
      <c r="M28" s="188">
        <f ca="1">IF(OR($F$6="Forecast_1",$F$6="Budget"),0,_xll.DBRW(Server&amp;Cube1,$F$21,$F$14,$F$15,$F$20,$C$14,$F$17,$F$19,$C$15,$H$2,M$1,$C28))</f>
        <v>0</v>
      </c>
      <c r="N28" s="112"/>
      <c r="O28" s="203">
        <f ca="1">IF($F$23=$AN$13,$J28-$K28,IF($F$23=$AN$14,$J28-$L28,$J28-$M28))</f>
        <v>-29.881450000000314</v>
      </c>
      <c r="P28" s="203">
        <f ca="1">IF($F$23=$AN$13,IF(K28=0,0,IF(K28&lt;0,O28/-K28,O28/K28)),IF($F$23=$AN$14,IF(L28=0,0,IF(L28&lt;0,O28/-L28,O28/L28)),IF(M28=0,0,IF(M28&lt;0,O28/-M28,O28/M28))))</f>
        <v>-1.1789481948823708E-2</v>
      </c>
      <c r="Q28" s="203">
        <f t="shared" ca="1" si="0"/>
        <v>130.43504999999959</v>
      </c>
      <c r="R28" s="197">
        <f t="shared" ca="1" si="1"/>
        <v>-1.2585536853659089E-2</v>
      </c>
      <c r="S28" s="115"/>
      <c r="T28" s="189">
        <f ca="1">_xll.DBRW(Server&amp;Cube1,$F$21,$F$14,$F$15,$F$20,$C$14,$F$17,$F$19,$C$15,$J$3,$U$1,$C28)</f>
        <v>15124.414209999999</v>
      </c>
      <c r="U28" s="189">
        <f ca="1">_xll.DBRW(Server&amp;Cube1,$F$21,$F$14,$F$15,$F$20,$C$14,$F$17,$F$19,$C$15,$J$2,$U$1,$C28)</f>
        <v>2504.7040499999998</v>
      </c>
      <c r="V28" s="188">
        <f ca="1">_xll.DBRW(Server&amp;Cube1,$F$21,$F$14,$F$15,$F$20,$C$14,$F$17,$F$19,$C$15,$J$2,$V$1,$C28)</f>
        <v>15419.453</v>
      </c>
      <c r="W28" s="189">
        <f ca="1">IF($F$6="Budget",0,_xll.DBRW(Server&amp;Cube1,$F$21,$F$14,$F$15,$F$20,$C$14,$F$17,$F$19,$C$15,$J$2,$W$1,$C28))</f>
        <v>0</v>
      </c>
      <c r="X28" s="188">
        <f ca="1">IF(OR($F$6="Forecast_1",$F$6="Budget"),0,_xll.DBRW(Server&amp;Cube1,$F$21,$F$14,$F$15,$F$20,$C$14,$F$17,$F$19,$C$15,$J$2,$X$1,$C28))</f>
        <v>0</v>
      </c>
      <c r="Y28" s="9"/>
      <c r="Z28" s="203">
        <f ca="1">IF($F$23=$AN$13,$U28-$V28,IF($F$23=$AN$14,$U28-$W28,$U28-$X28))</f>
        <v>-12914.748949999999</v>
      </c>
      <c r="AA28" s="203">
        <f ca="1">IF($F$23=$AN$13,IF(V28=0,0,IF(V28&lt;0,Z28/-V28,Z28/V28)),IF($F$23=$AN$14,IF(W28=0,0,IF(W28&lt;0,Z28/-W28,Z28/W28)),IF(X28=0,0,IF(X28&lt;0,Z28/-X28,Z28/X28))))</f>
        <v>-0.83756206851176884</v>
      </c>
      <c r="AB28" s="203">
        <f t="shared" ca="1" si="2"/>
        <v>-12619.710159999999</v>
      </c>
      <c r="AC28" s="210">
        <f t="shared" ca="1" si="3"/>
        <v>-0.85390077067983183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56" t="s">
        <v>119</v>
      </c>
      <c r="AN28" s="19"/>
      <c r="AO28" s="73" t="s">
        <v>64</v>
      </c>
      <c r="AP28" s="73" t="s">
        <v>65</v>
      </c>
      <c r="AQ28" s="73" t="s">
        <v>66</v>
      </c>
      <c r="AR28" s="19"/>
      <c r="AS28" s="19"/>
      <c r="AT28" s="19"/>
      <c r="AU28" s="19"/>
      <c r="AV28" s="19"/>
      <c r="AW28" s="19"/>
      <c r="AX28" s="19"/>
    </row>
    <row r="29" spans="1:58" s="8" customFormat="1" ht="12" customHeight="1" thickBot="1" x14ac:dyDescent="0.4">
      <c r="A29" s="19"/>
      <c r="B29" s="43"/>
      <c r="C29" s="106"/>
      <c r="D29" s="90"/>
      <c r="E29" s="255"/>
      <c r="F29" s="255"/>
      <c r="G29" s="255"/>
      <c r="H29" s="91"/>
      <c r="I29" s="190"/>
      <c r="J29" s="190"/>
      <c r="K29" s="190"/>
      <c r="L29" s="190"/>
      <c r="M29" s="190"/>
      <c r="N29" s="113"/>
      <c r="O29" s="203"/>
      <c r="P29" s="217"/>
      <c r="Q29" s="203"/>
      <c r="R29" s="197"/>
      <c r="S29" s="113"/>
      <c r="T29" s="190"/>
      <c r="U29" s="190"/>
      <c r="V29" s="190"/>
      <c r="W29" s="190"/>
      <c r="X29" s="190"/>
      <c r="Y29" s="94"/>
      <c r="Z29" s="189"/>
      <c r="AA29" s="211"/>
      <c r="AB29" s="189"/>
      <c r="AC29" s="212"/>
      <c r="AD29" s="88"/>
      <c r="AE29" s="19"/>
      <c r="AF29" s="19"/>
      <c r="AG29" s="19"/>
      <c r="AH29" s="19"/>
      <c r="AI29" s="19"/>
      <c r="AJ29" s="19"/>
      <c r="AK29" s="19"/>
      <c r="AL29" s="19"/>
      <c r="AM29" s="59" t="s">
        <v>54</v>
      </c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</row>
    <row r="30" spans="1:58" s="8" customFormat="1" ht="28.5" customHeight="1" x14ac:dyDescent="0.35">
      <c r="A30" s="19"/>
      <c r="B30" s="43"/>
      <c r="C30" s="104" t="s">
        <v>91</v>
      </c>
      <c r="E30" s="236" t="str">
        <f ca="1">_xll.DBRA(Server&amp;$C$24,$C30,$F$16)</f>
        <v>CHARGES OPERATIONNELLES</v>
      </c>
      <c r="F30" s="236"/>
      <c r="G30" s="236"/>
      <c r="H30" s="34"/>
      <c r="I30" s="226">
        <f ca="1">_xll.DBRW(Server&amp;Cube1,$F$21,$F$14,$F$15,$F$20,$C$14,$F$17,$F$19,$C$15,$H$3,J$1,$C30)</f>
        <v>-23282.873549999993</v>
      </c>
      <c r="J30" s="226">
        <f ca="1">_xll.DBRW(Server&amp;Cube1,$F$21,$F$14,$F$15,$F$20,$C$14,$F$17,$F$19,$C$15,$H$2,J$1,$C30)</f>
        <v>-12028.108880000002</v>
      </c>
      <c r="K30" s="226">
        <f ca="1">_xll.DBRW(Server&amp;Cube1,$F$21,$F$14,$F$15,$F$20,$C$14,$F$17,$F$19,$C$15,$H$2,K$1,$C30)</f>
        <v>-22119.716625000001</v>
      </c>
      <c r="L30" s="226">
        <f ca="1">IF($F$6="Budget",0,_xll.DBRW(Server&amp;Cube1,$F$21,$F$14,$F$15,$F$20,$C$14,$F$17,$F$19,$C$15,$H$2,L$1,$C30))</f>
        <v>0</v>
      </c>
      <c r="M30" s="226">
        <f ca="1">IF(OR($F$6="Forecast_1",$F$6="Budget"),0,_xll.DBRW(Server&amp;Cube1,$F$21,$F$14,$F$15,$F$20,$C$14,$F$17,$F$19,$C$15,$H$2,M$1,$C30))</f>
        <v>0</v>
      </c>
      <c r="N30" s="110"/>
      <c r="O30" s="228">
        <f ca="1">IF($F$23=$AN$13,$J30-$K30,IF($F$23=$AN$14,$J30-$L30,$J30-$M30))</f>
        <v>10091.607744999999</v>
      </c>
      <c r="P30" s="201">
        <f ca="1">IF($F$23=$AN$13,IF(K30=0,0,IF(K30&lt;0,O30/-K30,O30/K30)),IF($F$23=$AN$14,IF(L30=0,0,IF(L30&lt;0,O30/-L30,O30/L30)),IF(M30=0,0,IF(M30&lt;0,O30/-M30,O30/M30))))</f>
        <v>0.45622680959639095</v>
      </c>
      <c r="Q30" s="228">
        <f t="shared" ca="1" si="0"/>
        <v>11254.764669999991</v>
      </c>
      <c r="R30" s="195">
        <f t="shared" ca="1" si="1"/>
        <v>-0.43343480448529098</v>
      </c>
      <c r="S30" s="115"/>
      <c r="T30" s="226">
        <f ca="1">_xll.DBRW(Server&amp;Cube1,$F$21,$F$14,$F$15,$F$20,$C$14,$F$17,$F$19,$C$15,$J$3,$U$1,$C30)</f>
        <v>-106508.035</v>
      </c>
      <c r="U30" s="226">
        <f ca="1">_xll.DBRW(Server&amp;Cube1,$F$21,$F$14,$F$15,$F$20,$C$14,$F$17,$F$19,$C$15,$J$2,$U$1,$C30)</f>
        <v>-12028.108880000003</v>
      </c>
      <c r="V30" s="226">
        <f ca="1">_xll.DBRW(Server&amp;Cube1,$F$21,$F$14,$F$15,$F$20,$C$14,$F$17,$F$19,$C$15,$J$2,$V$1,$C30)</f>
        <v>-124682.96416666667</v>
      </c>
      <c r="W30" s="226">
        <f ca="1">IF($F$6="Budget",0,_xll.DBRW(Server&amp;Cube1,$F$21,$F$14,$F$15,$F$20,$C$14,$F$17,$F$19,$C$15,$J$2,$W$1,$C30))</f>
        <v>0</v>
      </c>
      <c r="X30" s="226">
        <f ca="1">IF(OR($F$6="Forecast_1",$F$6="Budget"),0,_xll.DBRW(Server&amp;Cube1,$F$21,$F$14,$F$15,$F$20,$C$14,$F$17,$F$19,$C$15,$J$2,$X$1,$C30))</f>
        <v>0</v>
      </c>
      <c r="Y30" s="92"/>
      <c r="Z30" s="228">
        <f ca="1">IF($F$23=$AN$13,$U30-$V30,IF($F$23=$AN$14,$U30-$W30,$U30-$X30))</f>
        <v>112654.85528666667</v>
      </c>
      <c r="AA30" s="201">
        <f ca="1">IF($F$23=$AN$13,IF(V30=0,0,IF(V30&lt;0,Z30/-V30,Z30/V30)),IF($F$23=$AN$14,IF(W30=0,0,IF(W30&lt;0,Z30/-W30,Z30/W30)),IF(X30=0,0,IF(X30&lt;0,Z30/-X30,Z30/X30))))</f>
        <v>0.90353045453810565</v>
      </c>
      <c r="AB30" s="228">
        <f t="shared" ca="1" si="2"/>
        <v>94479.926120000004</v>
      </c>
      <c r="AC30" s="195">
        <f ca="1">IF(T30=0,0,Z30/T30)</f>
        <v>-1.0577122682496833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67" t="s">
        <v>73</v>
      </c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</row>
    <row r="31" spans="1:58" s="8" customFormat="1" ht="28.5" customHeight="1" thickBot="1" x14ac:dyDescent="0.4">
      <c r="A31" s="19"/>
      <c r="B31" s="43"/>
      <c r="C31" s="104" t="s">
        <v>92</v>
      </c>
      <c r="E31" s="256" t="str">
        <f ca="1">_xll.DBRA(Server&amp;$C$24,$C31,$F$16)</f>
        <v>Coûts externes</v>
      </c>
      <c r="F31" s="256"/>
      <c r="G31" s="256"/>
      <c r="H31" s="34"/>
      <c r="I31" s="230">
        <f ca="1">_xll.DBRW(Server&amp;Cube1,$F$21,$F$14,$F$15,$F$20,$C$14,$F$17,$F$19,$C$15,$H$3,J$1,$C31)</f>
        <v>-6788.0775600000015</v>
      </c>
      <c r="J31" s="230">
        <f ca="1">_xll.DBRW(Server&amp;Cube1,$F$21,$F$14,$F$15,$F$20,$C$14,$F$17,$F$19,$C$15,$H$2,J$1,$C31)</f>
        <v>-2764.5980799999993</v>
      </c>
      <c r="K31" s="230">
        <f ca="1">_xll.DBRW(Server&amp;Cube1,$F$21,$F$14,$F$15,$F$20,$C$14,$F$17,$F$19,$C$15,$H$2,K$1,$C31)</f>
        <v>-7823.3502500000004</v>
      </c>
      <c r="L31" s="230">
        <f ca="1">IF($F$6="Budget",0,_xll.DBRW(Server&amp;Cube1,$F$21,$F$14,$F$15,$F$20,$C$14,$F$17,$F$19,$C$15,$H$2,L$1,$C31))</f>
        <v>0</v>
      </c>
      <c r="M31" s="230">
        <f ca="1">IF(OR($F$6="Forecast_1",$F$6="Budget"),0,_xll.DBRW(Server&amp;Cube1,$F$21,$F$14,$F$15,$F$20,$C$14,$F$17,$F$19,$C$15,$H$2,M$1,$C31))</f>
        <v>0</v>
      </c>
      <c r="N31" s="114"/>
      <c r="O31" s="231">
        <f ca="1">IF($F$23=$AN$13,$J31-$K31,IF($F$23=$AN$14,$J31-$L31,$J31-$M31))</f>
        <v>5058.7521700000016</v>
      </c>
      <c r="P31" s="229">
        <f ca="1">IF($F$23=$AN$13,IF(K31=0,0,IF(K31&lt;0,O31/-K31,O31/K31)),IF($F$23=$AN$14,IF(L31=0,0,IF(L31&lt;0,O31/-L31,O31/L31)),IF(M31=0,0,IF(M31&lt;0,O31/-M31,O31/M31))))</f>
        <v>0.646622228117679</v>
      </c>
      <c r="Q31" s="231">
        <f t="shared" ca="1" si="0"/>
        <v>4023.4794800000022</v>
      </c>
      <c r="R31" s="198">
        <f t="shared" ca="1" si="1"/>
        <v>-0.74524077329487681</v>
      </c>
      <c r="S31" s="115"/>
      <c r="T31" s="230">
        <f ca="1">_xll.DBRW(Server&amp;Cube1,$F$21,$F$14,$F$15,$F$20,$C$14,$F$17,$F$19,$C$15,$J$3,$U$1,$C31)</f>
        <v>-39349.406360000008</v>
      </c>
      <c r="U31" s="230">
        <f ca="1">_xll.DBRW(Server&amp;Cube1,$F$21,$F$14,$F$15,$F$20,$C$14,$F$17,$F$19,$C$15,$J$2,$U$1,$C31)</f>
        <v>-2764.5980799999993</v>
      </c>
      <c r="V31" s="230">
        <f ca="1">_xll.DBRW(Server&amp;Cube1,$F$21,$F$14,$F$15,$F$20,$C$14,$F$17,$F$19,$C$15,$J$2,$V$1,$C31)</f>
        <v>-63733.455000000002</v>
      </c>
      <c r="W31" s="230">
        <f ca="1">IF($F$6="Budget",0,_xll.DBRW(Server&amp;Cube1,$F$21,$F$14,$F$15,$F$20,$C$14,$F$17,$F$19,$C$15,$J$2,$W$1,$C31))</f>
        <v>0</v>
      </c>
      <c r="X31" s="230">
        <f ca="1">IF(OR($F$6="Forecast_1",$F$6="Budget"),0,_xll.DBRW(Server&amp;Cube1,$F$21,$F$14,$F$15,$F$20,$C$14,$F$17,$F$19,$C$15,$J$2,$X$1,$C31))</f>
        <v>0</v>
      </c>
      <c r="Y31" s="114"/>
      <c r="Z31" s="231">
        <f ca="1">IF($F$23=$AN$13,$U31-$V31,IF($F$23=$AN$14,$U31-$W31,$U31-$X31))</f>
        <v>60968.856920000006</v>
      </c>
      <c r="AA31" s="229">
        <f ca="1">IF($F$23=$AN$13,IF(V31=0,0,IF(V31&lt;0,Z31/-V31,Z31/V31)),IF($F$23=$AN$14,IF(W31=0,0,IF(W31&lt;0,Z31/-W31,Z31/W31)),IF(X31=0,0,IF(X31&lt;0,Z31/-X31,Z31/X31))))</f>
        <v>0.95662249787023168</v>
      </c>
      <c r="AB31" s="231">
        <f t="shared" ca="1" si="2"/>
        <v>36584.808280000012</v>
      </c>
      <c r="AC31" s="204">
        <f t="shared" ref="AC31:AC44" ca="1" si="4">IF(T31=0,0,Z31/T31)</f>
        <v>-1.5494225341599281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67" t="s">
        <v>74</v>
      </c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</row>
    <row r="32" spans="1:58" s="8" customFormat="1" ht="28.5" customHeight="1" thickBot="1" x14ac:dyDescent="0.4">
      <c r="A32" s="19"/>
      <c r="B32" s="43"/>
      <c r="C32" s="104" t="s">
        <v>93</v>
      </c>
      <c r="E32" s="256" t="str">
        <f ca="1">_xll.DBRA(Server&amp;$C$24,$C32,$F$16)</f>
        <v>Frais de personnel et Assimilés</v>
      </c>
      <c r="F32" s="256"/>
      <c r="G32" s="256"/>
      <c r="H32" s="34"/>
      <c r="I32" s="230">
        <f ca="1">_xll.DBRW(Server&amp;Cube1,$F$21,$F$14,$F$15,$F$20,$C$14,$F$17,$F$19,$C$15,$H$3,J$1,$C32)</f>
        <v>-13836.617000000004</v>
      </c>
      <c r="J32" s="230">
        <f ca="1">_xll.DBRW(Server&amp;Cube1,$F$21,$F$14,$F$15,$F$20,$C$14,$F$17,$F$19,$C$15,$H$2,J$1,$C32)</f>
        <v>-6782.3541100000002</v>
      </c>
      <c r="K32" s="230">
        <f ca="1">_xll.DBRW(Server&amp;Cube1,$F$21,$F$14,$F$15,$F$20,$C$14,$F$17,$F$19,$C$15,$H$2,K$1,$C32)</f>
        <v>-10521.806375</v>
      </c>
      <c r="L32" s="230">
        <f ca="1">IF($F$6="Budget",0,_xll.DBRW(Server&amp;Cube1,$F$21,$F$14,$F$15,$F$20,$C$14,$F$17,$F$19,$C$15,$H$2,L$1,$C32))</f>
        <v>0</v>
      </c>
      <c r="M32" s="230">
        <f ca="1">IF(OR($F$6="Forecast_1",$F$6="Budget"),0,_xll.DBRW(Server&amp;Cube1,$F$21,$F$14,$F$15,$F$20,$C$14,$F$17,$F$19,$C$15,$H$2,M$1,$C32))</f>
        <v>0</v>
      </c>
      <c r="N32" s="114"/>
      <c r="O32" s="231">
        <f ca="1">IF($F$23=$AN$13,$J32-$K32,IF($F$23=$AN$14,$J32-$L32,$J32-$M32))</f>
        <v>3739.4522649999999</v>
      </c>
      <c r="P32" s="229">
        <f ca="1">IF($F$23=$AN$13,IF(K32=0,0,IF(K32&lt;0,O32/-K32,O32/K32)),IF($F$23=$AN$14,IF(L32=0,0,IF(L32&lt;0,O32/-L32,O32/L32)),IF(M32=0,0,IF(M32&lt;0,O32/-M32,O32/M32))))</f>
        <v>0.35540021662867749</v>
      </c>
      <c r="Q32" s="231">
        <f t="shared" ca="1" si="0"/>
        <v>7054.2628900000036</v>
      </c>
      <c r="R32" s="198">
        <f t="shared" ca="1" si="1"/>
        <v>-0.27025769846776843</v>
      </c>
      <c r="S32" s="115"/>
      <c r="T32" s="230">
        <f ca="1">_xll.DBRW(Server&amp;Cube1,$F$21,$F$14,$F$15,$F$20,$C$14,$F$17,$F$19,$C$15,$J$3,$U$1,$C32)</f>
        <v>-52277.028170000005</v>
      </c>
      <c r="U32" s="230">
        <f ca="1">_xll.DBRW(Server&amp;Cube1,$F$21,$F$14,$F$15,$F$20,$C$14,$F$17,$F$19,$C$15,$J$2,$U$1,$C32)</f>
        <v>-6782.3541100000002</v>
      </c>
      <c r="V32" s="230">
        <f ca="1">_xll.DBRW(Server&amp;Cube1,$F$21,$F$14,$F$15,$F$20,$C$14,$F$17,$F$19,$C$15,$J$2,$V$1,$C32)</f>
        <v>-44417.2255</v>
      </c>
      <c r="W32" s="230">
        <f ca="1">IF($F$6="Budget",0,_xll.DBRW(Server&amp;Cube1,$F$21,$F$14,$F$15,$F$20,$C$14,$F$17,$F$19,$C$15,$J$2,$W$1,$C32))</f>
        <v>0</v>
      </c>
      <c r="X32" s="230">
        <f ca="1">IF(OR($F$6="Forecast_1",$F$6="Budget"),0,_xll.DBRW(Server&amp;Cube1,$F$21,$F$14,$F$15,$F$20,$C$14,$F$17,$F$19,$C$15,$J$2,$X$1,$C32))</f>
        <v>0</v>
      </c>
      <c r="Y32" s="114"/>
      <c r="Z32" s="231">
        <f ca="1">IF($F$23=$AN$13,$U32-$V32,IF($F$23=$AN$14,$U32-$W32,$U32-$X32))</f>
        <v>37634.87139</v>
      </c>
      <c r="AA32" s="229">
        <f ca="1">IF($F$23=$AN$13,IF(V32=0,0,IF(V32&lt;0,Z32/-V32,Z32/V32)),IF($F$23=$AN$14,IF(W32=0,0,IF(W32&lt;0,Z32/-W32,Z32/W32)),IF(X32=0,0,IF(X32&lt;0,Z32/-X32,Z32/X32))))</f>
        <v>0.84730351719064489</v>
      </c>
      <c r="AB32" s="231">
        <f t="shared" ca="1" si="2"/>
        <v>45494.674060000005</v>
      </c>
      <c r="AC32" s="204">
        <f t="shared" ca="1" si="4"/>
        <v>-0.71991221971560659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87" t="s">
        <v>84</v>
      </c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</row>
    <row r="33" spans="1:50" s="8" customFormat="1" ht="28.5" customHeight="1" thickBot="1" x14ac:dyDescent="0.4">
      <c r="A33" s="19"/>
      <c r="B33" s="43"/>
      <c r="C33" s="104" t="s">
        <v>94</v>
      </c>
      <c r="E33" s="256" t="str">
        <f ca="1">_xll.DBRA(Server&amp;$C$24,$C33,$F$16)</f>
        <v>Frais de déplacement</v>
      </c>
      <c r="F33" s="256"/>
      <c r="G33" s="256"/>
      <c r="H33" s="34"/>
      <c r="I33" s="230">
        <f ca="1">_xll.DBRW(Server&amp;Cube1,$F$21,$F$14,$F$15,$F$20,$C$14,$F$17,$F$19,$C$15,$H$3,J$1,$C33)</f>
        <v>-283.43849000000006</v>
      </c>
      <c r="J33" s="230">
        <f ca="1">_xll.DBRW(Server&amp;Cube1,$F$21,$F$14,$F$15,$F$20,$C$14,$F$17,$F$19,$C$15,$H$2,J$1,$C33)</f>
        <v>-255.62477000000021</v>
      </c>
      <c r="K33" s="230">
        <f ca="1">_xll.DBRW(Server&amp;Cube1,$F$21,$F$14,$F$15,$F$20,$C$14,$F$17,$F$19,$C$15,$H$2,K$1,$C33)</f>
        <v>-699.38499999999999</v>
      </c>
      <c r="L33" s="230">
        <f ca="1">IF($F$6="Budget",0,_xll.DBRW(Server&amp;Cube1,$F$21,$F$14,$F$15,$F$20,$C$14,$F$17,$F$19,$C$15,$H$2,L$1,$C33))</f>
        <v>0</v>
      </c>
      <c r="M33" s="230">
        <f ca="1">IF(OR($F$6="Forecast_1",$F$6="Budget"),0,_xll.DBRW(Server&amp;Cube1,$F$21,$F$14,$F$15,$F$20,$C$14,$F$17,$F$19,$C$15,$H$2,M$1,$C33))</f>
        <v>0</v>
      </c>
      <c r="N33" s="114"/>
      <c r="O33" s="231">
        <f ca="1">IF($F$23=$AN$13,$J33-$K33,IF($F$23=$AN$14,$J33-$L33,$J33-$M33))</f>
        <v>443.76022999999975</v>
      </c>
      <c r="P33" s="229">
        <f ca="1">IF($F$23=$AN$13,IF(K33=0,0,IF(K33&lt;0,O33/-K33,O33/K33)),IF($F$23=$AN$14,IF(L33=0,0,IF(L33&lt;0,O33/-L33,O33/L33)),IF(M33=0,0,IF(M33&lt;0,O33/-M33,O33/M33))))</f>
        <v>0.63450063984786598</v>
      </c>
      <c r="Q33" s="231">
        <f t="shared" ca="1" si="0"/>
        <v>27.813719999999847</v>
      </c>
      <c r="R33" s="198">
        <f t="shared" ca="1" si="1"/>
        <v>-1.5656315061514745</v>
      </c>
      <c r="S33" s="115"/>
      <c r="T33" s="230">
        <f ca="1">_xll.DBRW(Server&amp;Cube1,$F$21,$F$14,$F$15,$F$20,$C$14,$F$17,$F$19,$C$15,$J$3,$U$1,$C33)</f>
        <v>-1688.2333400000005</v>
      </c>
      <c r="U33" s="230">
        <f ca="1">_xll.DBRW(Server&amp;Cube1,$F$21,$F$14,$F$15,$F$20,$C$14,$F$17,$F$19,$C$15,$J$2,$U$1,$C33)</f>
        <v>-255.62477000000021</v>
      </c>
      <c r="V33" s="230">
        <f ca="1">_xll.DBRW(Server&amp;Cube1,$F$21,$F$14,$F$15,$F$20,$C$14,$F$17,$F$19,$C$15,$J$2,$V$1,$C33)</f>
        <v>-2797.54</v>
      </c>
      <c r="W33" s="230">
        <f ca="1">IF($F$6="Budget",0,_xll.DBRW(Server&amp;Cube1,$F$21,$F$14,$F$15,$F$20,$C$14,$F$17,$F$19,$C$15,$J$2,$W$1,$C33))</f>
        <v>0</v>
      </c>
      <c r="X33" s="230">
        <f ca="1">IF(OR($F$6="Forecast_1",$F$6="Budget"),0,_xll.DBRW(Server&amp;Cube1,$F$21,$F$14,$F$15,$F$20,$C$14,$F$17,$F$19,$C$15,$J$2,$X$1,$C33))</f>
        <v>0</v>
      </c>
      <c r="Y33" s="114"/>
      <c r="Z33" s="231">
        <f ca="1">IF($F$23=$AN$13,$U33-$V33,IF($F$23=$AN$14,$U33-$W33,$U33-$X33))</f>
        <v>2541.9152299999996</v>
      </c>
      <c r="AA33" s="229">
        <f ca="1">IF($F$23=$AN$13,IF(V33=0,0,IF(V33&lt;0,Z33/-V33,Z33/V33)),IF($F$23=$AN$14,IF(W33=0,0,IF(W33&lt;0,Z33/-W33,Z33/W33)),IF(X33=0,0,IF(X33&lt;0,Z33/-X33,Z33/X33))))</f>
        <v>0.90862515996196647</v>
      </c>
      <c r="AB33" s="231">
        <f t="shared" ca="1" si="2"/>
        <v>1432.6085700000003</v>
      </c>
      <c r="AC33" s="204">
        <f t="shared" ca="1" si="4"/>
        <v>-1.50566581631423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67" t="s">
        <v>85</v>
      </c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</row>
    <row r="34" spans="1:50" s="8" customFormat="1" ht="28.5" customHeight="1" thickBot="1" x14ac:dyDescent="0.4">
      <c r="A34" s="19"/>
      <c r="B34" s="154"/>
      <c r="C34" s="104" t="s">
        <v>95</v>
      </c>
      <c r="E34" s="256" t="str">
        <f ca="1">_xll.DBRA(Server&amp;$C$24,$C34,$F$16)</f>
        <v>Coûts d'environnement, Taxes et dotations</v>
      </c>
      <c r="F34" s="256"/>
      <c r="G34" s="256"/>
      <c r="H34" s="34"/>
      <c r="I34" s="230">
        <f ca="1">_xll.DBRW(Server&amp;Cube1,$F$21,$F$14,$F$15,$F$20,$C$14,$F$17,$F$19,$C$15,$H$3,J$1,$C34)</f>
        <v>-2374.7404999999999</v>
      </c>
      <c r="J34" s="230">
        <f ca="1">_xll.DBRW(Server&amp;Cube1,$F$21,$F$14,$F$15,$F$20,$C$14,$F$17,$F$19,$C$15,$H$2,J$1,$C34)</f>
        <v>-2225.5319199999999</v>
      </c>
      <c r="K34" s="230">
        <f ca="1">_xll.DBRW(Server&amp;Cube1,$F$21,$F$14,$F$15,$F$20,$C$14,$F$17,$F$19,$C$15,$H$2,K$1,$C34)</f>
        <v>-3075.1750000000002</v>
      </c>
      <c r="L34" s="230">
        <f ca="1">IF($F$6="Budget",0,_xll.DBRW(Server&amp;Cube1,$F$21,$F$14,$F$15,$F$20,$C$14,$F$17,$F$19,$C$15,$H$2,L$1,$C34))</f>
        <v>0</v>
      </c>
      <c r="M34" s="230">
        <f ca="1">IF(OR($F$6="Forecast_1",$F$6="Budget"),0,_xll.DBRW(Server&amp;Cube1,$F$21,$F$14,$F$15,$F$20,$C$14,$F$17,$F$19,$C$15,$H$2,M$1,$C34))</f>
        <v>0</v>
      </c>
      <c r="N34" s="114"/>
      <c r="O34" s="231">
        <f ca="1">IF($F$23=$AN$13,$J34-$K34,IF($F$23=$AN$14,$J34-$L34,$J34-$M34))</f>
        <v>849.64308000000028</v>
      </c>
      <c r="P34" s="229">
        <f ca="1">IF($F$23=$AN$13,IF(K34=0,0,IF(K34&lt;0,O34/-K34,O34/K34)),IF($F$23=$AN$14,IF(L34=0,0,IF(L34&lt;0,O34/-L34,O34/L34)),IF(M34=0,0,IF(M34&lt;0,O34/-M34,O34/M34))))</f>
        <v>0.27629096880665338</v>
      </c>
      <c r="Q34" s="231">
        <f t="shared" ca="1" si="0"/>
        <v>149.20857999999998</v>
      </c>
      <c r="R34" s="198">
        <f t="shared" ca="1" si="1"/>
        <v>-0.35778354729706269</v>
      </c>
      <c r="S34" s="115"/>
      <c r="T34" s="230">
        <f ca="1">_xll.DBRW(Server&amp;Cube1,$F$21,$F$14,$F$15,$F$20,$C$14,$F$17,$F$19,$C$15,$J$3,$U$1,$C34)</f>
        <v>-13193.367130000001</v>
      </c>
      <c r="U34" s="230">
        <f ca="1">_xll.DBRW(Server&amp;Cube1,$F$21,$F$14,$F$15,$F$20,$C$14,$F$17,$F$19,$C$15,$J$2,$U$1,$C34)</f>
        <v>-2225.5319200000017</v>
      </c>
      <c r="V34" s="230">
        <f ca="1">_xll.DBRW(Server&amp;Cube1,$F$21,$F$14,$F$15,$F$20,$C$14,$F$17,$F$19,$C$15,$J$2,$V$1,$C34)</f>
        <v>-13734.743666666671</v>
      </c>
      <c r="W34" s="230">
        <f ca="1">IF($F$6="Budget",0,_xll.DBRW(Server&amp;Cube1,$F$21,$F$14,$F$15,$F$20,$C$14,$F$17,$F$19,$C$15,$J$2,$W$1,$C34))</f>
        <v>0</v>
      </c>
      <c r="X34" s="230">
        <f ca="1">IF(OR($F$6="Forecast_1",$F$6="Budget"),0,_xll.DBRW(Server&amp;Cube1,$F$21,$F$14,$F$15,$F$20,$C$14,$F$17,$F$19,$C$15,$J$2,$X$1,$C34))</f>
        <v>0</v>
      </c>
      <c r="Y34" s="114"/>
      <c r="Z34" s="231">
        <f ca="1">IF($F$23=$AN$13,$U34-$V34,IF($F$23=$AN$14,$U34-$W34,$U34-$X34))</f>
        <v>11509.21174666667</v>
      </c>
      <c r="AA34" s="229">
        <f ca="1">IF($F$23=$AN$13,IF(V34=0,0,IF(V34&lt;0,Z34/-V34,Z34/V34)),IF($F$23=$AN$14,IF(W34=0,0,IF(W34&lt;0,Z34/-W34,Z34/W34)),IF(X34=0,0,IF(X34&lt;0,Z34/-X34,Z34/X34))))</f>
        <v>0.83796334507492687</v>
      </c>
      <c r="AB34" s="231">
        <f t="shared" ca="1" si="2"/>
        <v>10967.835209999999</v>
      </c>
      <c r="AC34" s="204">
        <f t="shared" ca="1" si="4"/>
        <v>-0.87234832725121547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68" t="s">
        <v>86</v>
      </c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</row>
    <row r="35" spans="1:50" s="8" customFormat="1" ht="12" customHeight="1" thickBot="1" x14ac:dyDescent="0.4">
      <c r="A35" s="19"/>
      <c r="B35" s="88"/>
      <c r="C35" s="154"/>
      <c r="D35" s="90"/>
      <c r="E35" s="247"/>
      <c r="F35" s="247"/>
      <c r="G35" s="247"/>
      <c r="H35" s="91"/>
      <c r="I35" s="191"/>
      <c r="J35" s="214"/>
      <c r="K35" s="215"/>
      <c r="L35" s="214"/>
      <c r="M35" s="215"/>
      <c r="N35" s="142"/>
      <c r="O35" s="218"/>
      <c r="P35" s="217"/>
      <c r="Q35" s="216"/>
      <c r="R35" s="197"/>
      <c r="S35" s="150"/>
      <c r="T35" s="206"/>
      <c r="U35" s="214"/>
      <c r="V35" s="214"/>
      <c r="W35" s="214"/>
      <c r="X35" s="215"/>
      <c r="Y35" s="142"/>
      <c r="Z35" s="216"/>
      <c r="AA35" s="217"/>
      <c r="AB35" s="216"/>
      <c r="AC35" s="192"/>
      <c r="AD35" s="19"/>
      <c r="AE35" s="19"/>
      <c r="AF35" s="19"/>
      <c r="AG35" s="19"/>
      <c r="AH35" s="19"/>
      <c r="AI35" s="19"/>
      <c r="AJ35" s="19"/>
      <c r="AK35" s="19"/>
      <c r="AL35" s="19"/>
      <c r="AM35" s="56" t="s">
        <v>52</v>
      </c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</row>
    <row r="36" spans="1:50" ht="27" customHeight="1" thickBot="1" x14ac:dyDescent="0.35">
      <c r="B36" s="43"/>
      <c r="C36" s="104" t="s">
        <v>97</v>
      </c>
      <c r="D36" s="21"/>
      <c r="E36" s="249" t="str">
        <f ca="1">_xll.DBRA(Server&amp;$C$24,$C36,$F$16)</f>
        <v>RESULTAT OPERATIONNEL AVANT MF</v>
      </c>
      <c r="F36" s="249"/>
      <c r="G36" s="249"/>
      <c r="H36" s="49"/>
      <c r="I36" s="232">
        <f ca="1">_xll.DBRW(Server&amp;Cube1,$F$21,$F$14,$F$15,$F$20,$C$14,$F$17,$F$19,$C$15,$H$3,J$1,$C36)</f>
        <v>-15587.485659999997</v>
      </c>
      <c r="J36" s="232">
        <f ca="1">_xll.DBRW(Server&amp;Cube1,$F$21,$F$14,$F$15,$F$20,$C$14,$F$17,$F$19,$C$15,$H$2,J$1,$C36)</f>
        <v>-8740.004829999998</v>
      </c>
      <c r="K36" s="232">
        <f ca="1">_xll.DBRW(Server&amp;Cube1,$F$21,$F$14,$F$15,$F$20,$C$14,$F$17,$F$19,$C$15,$H$2,K$1,$C36)</f>
        <v>-17901.597125</v>
      </c>
      <c r="L36" s="232">
        <f ca="1">IF($F$6="Budget",0,_xll.DBRW(Server&amp;Cube1,$F$21,$F$14,$F$15,$F$20,$C$14,$F$17,$F$19,$C$15,$H$2,L$1,$C36))</f>
        <v>0</v>
      </c>
      <c r="M36" s="232">
        <f ca="1">IF(OR($F$6="Forecast_1",$F$6="Budget"),0,_xll.DBRW(Server&amp;Cube1,$F$21,$F$14,$F$15,$F$20,$C$14,$F$17,$F$19,$C$15,$H$2,M$1,$C36))</f>
        <v>0</v>
      </c>
      <c r="N36" s="111"/>
      <c r="O36" s="233">
        <f ca="1">IF($F$23=$AN$13,$J36-$K36,IF($F$23=$AN$14,$J36-$L36,$J36-$M36))</f>
        <v>9161.5922950000022</v>
      </c>
      <c r="P36" s="233">
        <f ca="1">IF($F$23=$AN$13,IF(K36=0,0,IF(K36&lt;0,O36/-K36,O36/K36)),IF($F$23=$AN$14,IF(L36=0,0,IF(L36&lt;0,O36/-L36,O36/L36)),IF(M36=0,0,IF(M36&lt;0,O36/-M36,O36/M36))))</f>
        <v>0.51177513553836063</v>
      </c>
      <c r="Q36" s="233">
        <f t="shared" ca="1" si="0"/>
        <v>6847.4808299999986</v>
      </c>
      <c r="R36" s="199">
        <f t="shared" ca="1" si="1"/>
        <v>-0.58775305362494268</v>
      </c>
      <c r="S36" s="116"/>
      <c r="T36" s="232">
        <f ca="1">_xll.DBRW(Server&amp;Cube1,$F$21,$F$14,$F$15,$F$20,$C$14,$F$17,$F$19,$C$15,$J$3,$U$1,$C36)</f>
        <v>-81365.765919999962</v>
      </c>
      <c r="U36" s="232">
        <f ca="1">_xll.DBRW(Server&amp;Cube1,$F$21,$F$14,$F$15,$F$20,$C$14,$F$17,$F$19,$C$15,$J$2,$U$1,$C36)</f>
        <v>-8740.0048299999999</v>
      </c>
      <c r="V36" s="232">
        <f ca="1">_xll.DBRW(Server&amp;Cube1,$F$21,$F$14,$F$15,$F$20,$C$14,$F$17,$F$19,$C$15,$J$2,$V$1,$C36)</f>
        <v>-102529.37516666666</v>
      </c>
      <c r="W36" s="232">
        <f ca="1">IF($F$6="Budget",0,_xll.DBRW(Server&amp;Cube1,$F$21,$F$14,$F$15,$F$20,$C$14,$F$17,$F$19,$C$15,$J$2,$W$1,$C36))</f>
        <v>0</v>
      </c>
      <c r="X36" s="232">
        <f ca="1">IF(OR($F$6="Forecast_1",$F$6="Budget"),0,_xll.DBRW(Server&amp;Cube1,$F$21,$F$14,$F$15,$F$20,$C$14,$F$17,$F$19,$C$15,$J$2,$X$1,$C36))</f>
        <v>0</v>
      </c>
      <c r="Y36" s="111"/>
      <c r="Z36" s="233">
        <f ca="1">IF($F$23=$AN$13,$U36-$V36,IF($F$23=$AN$14,$U36-$W36,$U36-$X36))</f>
        <v>93789.37033666666</v>
      </c>
      <c r="AA36" s="233">
        <f ca="1">IF($F$23=$AN$13,IF(V36=0,0,IF(V36&lt;0,Z36/-V36,Z36/V36)),IF($F$23=$AN$14,IF(W36=0,0,IF(W36&lt;0,Z36/-W36,Z36/W36)),IF(X36=0,0,IF(X36&lt;0,Z36/-X36,Z36/X36))))</f>
        <v>0.91475608999086666</v>
      </c>
      <c r="AB36" s="233">
        <f t="shared" ca="1" si="2"/>
        <v>72625.761089999956</v>
      </c>
      <c r="AC36" s="205">
        <f t="shared" ca="1" si="4"/>
        <v>-1.1526883484250829</v>
      </c>
      <c r="AM36" s="58" t="s">
        <v>53</v>
      </c>
    </row>
    <row r="37" spans="1:50" ht="12" customHeight="1" thickBot="1" x14ac:dyDescent="0.35">
      <c r="A37" s="43"/>
      <c r="B37" s="43"/>
      <c r="C37" s="154"/>
      <c r="D37" s="157"/>
      <c r="E37" s="247"/>
      <c r="F37" s="247"/>
      <c r="G37" s="247"/>
      <c r="H37" s="138"/>
      <c r="I37" s="192"/>
      <c r="J37" s="192"/>
      <c r="K37" s="193"/>
      <c r="L37" s="192"/>
      <c r="M37" s="193"/>
      <c r="N37" s="142"/>
      <c r="O37" s="219"/>
      <c r="P37" s="217"/>
      <c r="Q37" s="203"/>
      <c r="R37" s="197"/>
      <c r="S37" s="150"/>
      <c r="T37" s="192"/>
      <c r="U37" s="192"/>
      <c r="V37" s="192"/>
      <c r="W37" s="192"/>
      <c r="X37" s="193"/>
      <c r="Y37" s="156"/>
      <c r="Z37" s="203"/>
      <c r="AA37" s="211"/>
      <c r="AB37" s="189"/>
      <c r="AC37" s="155"/>
      <c r="AD37" s="43"/>
      <c r="AE37" s="43"/>
      <c r="AF37" s="43"/>
      <c r="AG37" s="43"/>
      <c r="AH37" s="43"/>
      <c r="AI37" s="43"/>
      <c r="AJ37" s="43"/>
      <c r="AK37" s="43"/>
      <c r="AL37" s="43"/>
      <c r="AM37" s="59" t="s">
        <v>105</v>
      </c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</row>
    <row r="38" spans="1:50" s="8" customFormat="1" ht="24.95" customHeight="1" x14ac:dyDescent="0.35">
      <c r="A38" s="43"/>
      <c r="B38" s="43"/>
      <c r="C38" s="104" t="s">
        <v>98</v>
      </c>
      <c r="E38" s="257" t="str">
        <f ca="1">_xll.DBRA(Server&amp;$C$24,$C38,$F$16)</f>
        <v>Management fees - Refacturation de MF</v>
      </c>
      <c r="F38" s="257"/>
      <c r="G38" s="257"/>
      <c r="H38" s="34"/>
      <c r="I38" s="194">
        <f ca="1">_xll.DBRW(Server&amp;Cube1,$F$21,$F$14,$F$15,$F$20,$C$14,$F$17,$F$19,$C$15,$H$3,J$1,$C38)</f>
        <v>19412.294000000002</v>
      </c>
      <c r="J38" s="194">
        <f ca="1">_xll.DBRW(Server&amp;Cube1,$F$21,$F$14,$F$15,$F$20,$C$14,$F$17,$F$19,$C$15,$H$2,J$1,$C38)</f>
        <v>9984.8320000000003</v>
      </c>
      <c r="K38" s="188">
        <f ca="1">_xll.DBRW(Server&amp;Cube1,$F$21,$F$14,$F$15,$F$20,$C$14,$F$17,$F$19,$C$15,$H$2,K$1,$C38)</f>
        <v>17336.685000000001</v>
      </c>
      <c r="L38" s="194">
        <f ca="1">IF($F$6="Budget",0,_xll.DBRW(Server&amp;Cube1,$F$21,$F$14,$F$15,$F$20,$C$14,$F$17,$F$19,$C$15,$H$2,L$1,$C38))</f>
        <v>0</v>
      </c>
      <c r="M38" s="188">
        <f ca="1">IF(OR($F$6="Forecast_1",$F$6="Budget"),0,_xll.DBRW(Server&amp;Cube1,$F$21,$F$14,$F$15,$F$20,$C$14,$F$17,$F$19,$C$15,$H$2,M$1,$C38))</f>
        <v>0</v>
      </c>
      <c r="N38" s="111"/>
      <c r="O38" s="207">
        <f ca="1">IF($F$23=$AN$13,$J38-$K38,IF($F$23=$AN$14,$J38-$L38,$J38-$M38))</f>
        <v>-7351.853000000001</v>
      </c>
      <c r="P38" s="207">
        <f ca="1">IF($F$23=$AN$13,IF(K38=0,0,IF(K38&lt;0,O38/-K38,O38/K38)),IF($F$23=$AN$14,IF(L38=0,0,IF(L38&lt;0,O38/-L38,O38/L38)),IF(M38=0,0,IF(M38&lt;0,O38/-M38,O38/M38))))</f>
        <v>-0.42406336620870716</v>
      </c>
      <c r="Q38" s="203">
        <f t="shared" ca="1" si="0"/>
        <v>-9427.4620000000014</v>
      </c>
      <c r="R38" s="200">
        <f t="shared" ca="1" si="1"/>
        <v>-0.37872149473936467</v>
      </c>
      <c r="S38" s="116"/>
      <c r="T38" s="194">
        <f ca="1">_xll.DBRW(Server&amp;Cube1,$F$21,$F$14,$F$15,$F$20,$C$14,$F$17,$F$19,$C$15,$J$3,$U$1,$C38)</f>
        <v>60045.565000000002</v>
      </c>
      <c r="U38" s="194">
        <f ca="1">_xll.DBRW(Server&amp;Cube1,$F$21,$F$14,$F$15,$F$20,$C$14,$F$17,$F$19,$C$15,$J$2,$U$1,$C38)</f>
        <v>9984.8320000000003</v>
      </c>
      <c r="V38" s="188">
        <f ca="1">_xll.DBRW(Server&amp;Cube1,$F$21,$F$14,$F$15,$F$20,$C$14,$F$17,$F$19,$C$15,$J$2,$V$1,$C38)</f>
        <v>69346.740000000005</v>
      </c>
      <c r="W38" s="194">
        <f ca="1">IF($F$6="Budget",0,_xll.DBRW(Server&amp;Cube1,$F$21,$F$14,$F$15,$F$20,$C$14,$F$17,$F$19,$C$15,$J$2,$W$1,$C38))</f>
        <v>0</v>
      </c>
      <c r="X38" s="188">
        <f ca="1">IF(OR($F$6="Forecast_1",$F$6="Budget"),0,_xll.DBRW(Server&amp;Cube1,$F$21,$F$14,$F$15,$F$20,$C$14,$F$17,$F$19,$C$15,$J$2,$X$1,$C38))</f>
        <v>0</v>
      </c>
      <c r="Y38" s="93"/>
      <c r="Z38" s="207">
        <f ca="1">IF($F$23=$AN$13,$U38-$V38,IF($F$23=$AN$14,$U38-$W38,$U38-$X38))</f>
        <v>-59361.908000000003</v>
      </c>
      <c r="AA38" s="207">
        <f ca="1">IF($F$23=$AN$13,IF(V38=0,0,IF(V38&lt;0,Z38/-V38,Z38/V38)),IF($F$23=$AN$14,IF(W38=0,0,IF(W38&lt;0,Z38/-W38,Z38/W38)),IF(X38=0,0,IF(X38&lt;0,Z38/-X38,Z38/X38))))</f>
        <v>-0.8560158415521768</v>
      </c>
      <c r="AB38" s="203">
        <f t="shared" ca="1" si="2"/>
        <v>-50060.733</v>
      </c>
      <c r="AC38" s="200">
        <f t="shared" ca="1" si="4"/>
        <v>-0.98861436310908224</v>
      </c>
      <c r="AD38" s="43"/>
      <c r="AE38" s="43"/>
      <c r="AF38" s="43"/>
      <c r="AG38" s="43"/>
      <c r="AH38" s="43"/>
      <c r="AI38" s="43"/>
      <c r="AJ38" s="43"/>
      <c r="AK38" s="43"/>
      <c r="AL38" s="43"/>
      <c r="AM38" s="60" t="s">
        <v>39</v>
      </c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</row>
    <row r="39" spans="1:50" s="8" customFormat="1" ht="12" customHeight="1" thickBot="1" x14ac:dyDescent="0.4">
      <c r="A39" s="43"/>
      <c r="B39" s="43"/>
      <c r="C39" s="154"/>
      <c r="D39" s="90"/>
      <c r="E39" s="247"/>
      <c r="F39" s="247"/>
      <c r="G39" s="247"/>
      <c r="H39" s="91"/>
      <c r="I39" s="192"/>
      <c r="J39" s="192"/>
      <c r="K39" s="193"/>
      <c r="L39" s="192"/>
      <c r="M39" s="193"/>
      <c r="N39" s="142"/>
      <c r="O39" s="207"/>
      <c r="P39" s="217"/>
      <c r="Q39" s="203"/>
      <c r="R39" s="197"/>
      <c r="S39" s="150"/>
      <c r="T39" s="192"/>
      <c r="U39" s="192"/>
      <c r="V39" s="192"/>
      <c r="W39" s="192"/>
      <c r="X39" s="193"/>
      <c r="Y39" s="156"/>
      <c r="Z39" s="203"/>
      <c r="AA39" s="189"/>
      <c r="AB39" s="189"/>
      <c r="AC39" s="155"/>
      <c r="AD39" s="43"/>
      <c r="AE39" s="43"/>
      <c r="AF39" s="43"/>
      <c r="AG39" s="43"/>
      <c r="AH39" s="43"/>
      <c r="AI39" s="43"/>
      <c r="AJ39" s="43"/>
      <c r="AK39" s="43"/>
      <c r="AL39" s="43"/>
      <c r="AM39" s="69" t="s">
        <v>40</v>
      </c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</row>
    <row r="40" spans="1:50" s="8" customFormat="1" ht="24.95" customHeight="1" thickBot="1" x14ac:dyDescent="0.35">
      <c r="A40" s="43"/>
      <c r="B40" s="43"/>
      <c r="C40" s="104" t="s">
        <v>99</v>
      </c>
      <c r="D40" s="159"/>
      <c r="E40" s="249" t="str">
        <f ca="1">_xll.DBRA(Server&amp;$C$24,$C40,$F$16)</f>
        <v>RESULTAT OPERATIONNEL APRES MF</v>
      </c>
      <c r="F40" s="249"/>
      <c r="G40" s="249"/>
      <c r="H40" s="49"/>
      <c r="I40" s="232">
        <f ca="1">_xll.DBRW(Server&amp;Cube1,$F$21,$F$14,$F$15,$F$20,$C$14,$F$17,$F$19,$C$15,$H$3,J$1,$C40)</f>
        <v>3824.8083400000005</v>
      </c>
      <c r="J40" s="232">
        <f ca="1">_xll.DBRW(Server&amp;Cube1,$F$21,$F$14,$F$15,$F$20,$C$14,$F$17,$F$19,$C$15,$H$2,J$1,$C40)</f>
        <v>1244.8271700000023</v>
      </c>
      <c r="K40" s="232">
        <f ca="1">_xll.DBRW(Server&amp;Cube1,$F$21,$F$14,$F$15,$F$20,$C$14,$F$17,$F$19,$C$15,$H$2,K$1,$C40)</f>
        <v>-564.91212500000029</v>
      </c>
      <c r="L40" s="232">
        <f ca="1">IF($F$6="Budget",0,_xll.DBRW(Server&amp;Cube1,$F$21,$F$14,$F$15,$F$20,$C$14,$F$17,$F$19,$C$15,$H$2,L$1,$C40))</f>
        <v>0</v>
      </c>
      <c r="M40" s="232">
        <f ca="1">IF(OR($F$6="Forecast_1",$F$6="Budget"),0,_xll.DBRW(Server&amp;Cube1,$F$21,$F$14,$F$15,$F$20,$C$14,$F$17,$F$19,$C$15,$H$2,M$1,$C40))</f>
        <v>0</v>
      </c>
      <c r="N40" s="111"/>
      <c r="O40" s="233">
        <f ca="1">IF($F$23=$AN$13,$J40-$K40,IF($F$23=$AN$14,$J40-$L40,$J40-$M40))</f>
        <v>1809.7392950000026</v>
      </c>
      <c r="P40" s="233">
        <f ca="1">IF($F$23=$AN$13,IF(K40=0,0,IF(K40&lt;0,O40/-K40,O40/K40)),IF($F$23=$AN$14,IF(L40=0,0,IF(L40&lt;0,O40/-L40,O40/L40)),IF(M40=0,0,IF(M40&lt;0,O40/-M40,O40/M40))))</f>
        <v>3.2035766536255559</v>
      </c>
      <c r="Q40" s="233">
        <f t="shared" ca="1" si="0"/>
        <v>-2579.9811699999982</v>
      </c>
      <c r="R40" s="199">
        <f t="shared" ca="1" si="1"/>
        <v>0.47315816483499989</v>
      </c>
      <c r="S40" s="116"/>
      <c r="T40" s="232">
        <f ca="1">_xll.DBRW(Server&amp;Cube1,$F$21,$F$14,$F$15,$F$20,$C$14,$F$17,$F$19,$C$15,$J$3,$U$1,$C40)</f>
        <v>-21320.200919999996</v>
      </c>
      <c r="U40" s="232">
        <f ca="1">_xll.DBRW(Server&amp;Cube1,$F$21,$F$14,$F$15,$F$20,$C$14,$F$17,$F$19,$C$15,$J$2,$U$1,$C40)</f>
        <v>1244.8271700000007</v>
      </c>
      <c r="V40" s="232">
        <f ca="1">_xll.DBRW(Server&amp;Cube1,$F$21,$F$14,$F$15,$F$20,$C$14,$F$17,$F$19,$C$15,$J$2,$V$1,$C40)</f>
        <v>-33182.635166666667</v>
      </c>
      <c r="W40" s="232">
        <f ca="1">IF($F$6="Budget",0,_xll.DBRW(Server&amp;Cube1,$F$21,$F$14,$F$15,$F$20,$C$14,$F$17,$F$19,$C$15,$J$2,$W$1,$C40))</f>
        <v>0</v>
      </c>
      <c r="X40" s="232">
        <f ca="1">IF(OR($F$6="Forecast_1",$F$6="Budget"),0,_xll.DBRW(Server&amp;Cube1,$F$21,$F$14,$F$15,$F$20,$C$14,$F$17,$F$19,$C$15,$J$2,$X$1,$C40))</f>
        <v>0</v>
      </c>
      <c r="Y40" s="111"/>
      <c r="Z40" s="233">
        <f ca="1">IF($F$23=$AN$13,$U40-$V40,IF($F$23=$AN$14,$U40-$W40,$U40-$X40))</f>
        <v>34427.462336666671</v>
      </c>
      <c r="AA40" s="233">
        <f ca="1">IF($F$23=$AN$13,IF(V40=0,0,IF(V40&lt;0,Z40/-V40,Z40/V40)),IF($F$23=$AN$14,IF(W40=0,0,IF(W40&lt;0,Z40/-W40,Z40/W40)),IF(X40=0,0,IF(X40&lt;0,Z40/-X40,Z40/X40))))</f>
        <v>1.0375144157101328</v>
      </c>
      <c r="AB40" s="233">
        <f t="shared" ca="1" si="2"/>
        <v>22565.028089999996</v>
      </c>
      <c r="AC40" s="205">
        <f t="shared" ca="1" si="4"/>
        <v>-1.6147813271483316</v>
      </c>
      <c r="AD40" s="43"/>
      <c r="AE40" s="43"/>
      <c r="AF40" s="43"/>
      <c r="AG40" s="43"/>
      <c r="AH40" s="43"/>
      <c r="AI40" s="43"/>
      <c r="AJ40" s="43"/>
      <c r="AK40" s="43"/>
      <c r="AL40" s="43"/>
      <c r="AM40" s="69" t="s">
        <v>41</v>
      </c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</row>
    <row r="41" spans="1:50" s="8" customFormat="1" ht="12" customHeight="1" thickBot="1" x14ac:dyDescent="0.4">
      <c r="A41" s="43"/>
      <c r="B41" s="43"/>
      <c r="C41" s="154"/>
      <c r="D41" s="90"/>
      <c r="E41" s="247"/>
      <c r="F41" s="247"/>
      <c r="G41" s="247"/>
      <c r="H41" s="91"/>
      <c r="I41" s="214"/>
      <c r="J41" s="214"/>
      <c r="K41" s="215"/>
      <c r="L41" s="214"/>
      <c r="M41" s="215"/>
      <c r="N41" s="142"/>
      <c r="O41" s="220"/>
      <c r="P41" s="217"/>
      <c r="Q41" s="216"/>
      <c r="R41" s="197"/>
      <c r="S41" s="150"/>
      <c r="T41" s="214"/>
      <c r="U41" s="214"/>
      <c r="V41" s="214"/>
      <c r="W41" s="214"/>
      <c r="X41" s="215"/>
      <c r="Y41" s="142"/>
      <c r="Z41" s="216"/>
      <c r="AA41" s="217"/>
      <c r="AB41" s="216"/>
      <c r="AC41" s="145"/>
      <c r="AD41" s="43"/>
      <c r="AE41" s="43"/>
      <c r="AF41" s="43"/>
      <c r="AG41" s="43"/>
      <c r="AH41" s="43"/>
      <c r="AI41" s="43"/>
      <c r="AJ41" s="43"/>
      <c r="AK41" s="43"/>
      <c r="AL41" s="43"/>
      <c r="AM41" s="69" t="s">
        <v>42</v>
      </c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</row>
    <row r="42" spans="1:50" ht="26.25" customHeight="1" thickBot="1" x14ac:dyDescent="0.35">
      <c r="B42" s="43"/>
      <c r="C42" s="104" t="s">
        <v>100</v>
      </c>
      <c r="D42" s="21"/>
      <c r="E42" s="249" t="str">
        <f ca="1">_xll.DBRA(Server&amp;$C$24,$C42,$F$16)</f>
        <v>Total CAPEX</v>
      </c>
      <c r="F42" s="249"/>
      <c r="G42" s="249"/>
      <c r="H42" s="49"/>
      <c r="I42" s="232">
        <f ca="1">_xll.DBRW(Server&amp;Cube1,$F$21,$F$14,$F$15,$F$20,$C$14,$F$17,$F$19,$C$15,$H$3,J$1,$C42)</f>
        <v>6598.4134699999986</v>
      </c>
      <c r="J42" s="232">
        <f ca="1">_xll.DBRW(Server&amp;Cube1,$F$21,$F$14,$F$15,$F$20,$C$14,$F$17,$F$19,$C$15,$H$2,J$1,$C42)</f>
        <v>146.69160000000002</v>
      </c>
      <c r="K42" s="232">
        <f ca="1">_xll.DBRW(Server&amp;Cube1,$F$21,$F$14,$F$15,$F$20,$C$14,$F$17,$F$19,$C$15,$H$2,K$1,$C42)</f>
        <v>2395.75</v>
      </c>
      <c r="L42" s="232">
        <f ca="1">IF($F$6="Budget",0,_xll.DBRW(Server&amp;Cube1,$F$21,$F$14,$F$15,$F$20,$C$14,$F$17,$F$19,$C$15,$H$2,L$1,$C42))</f>
        <v>0</v>
      </c>
      <c r="M42" s="232">
        <f ca="1">IF(OR($F$6="Forecast_1",$F$6="Budget"),0,_xll.DBRW(Server&amp;Cube1,$F$21,$F$14,$F$15,$F$20,$C$14,$F$17,$F$19,$C$15,$H$2,M$1,$C42))</f>
        <v>0</v>
      </c>
      <c r="N42" s="111"/>
      <c r="O42" s="233">
        <f ca="1">IF($F$23=$AN$13,$J42-$K42,IF($F$23=$AN$14,$J42-$L42,$J42-$M42))</f>
        <v>-2249.0583999999999</v>
      </c>
      <c r="P42" s="233">
        <f ca="1">IF($F$23=$AN$13,IF(K42=0,0,IF(K42&lt;0,O42/-K42,O42/K42)),IF($F$23=$AN$14,IF(L42=0,0,IF(L42&lt;0,O42/-L42,O42/L42)),IF(M42=0,0,IF(M42&lt;0,O42/-M42,O42/M42))))</f>
        <v>-0.9387700720025044</v>
      </c>
      <c r="Q42" s="233">
        <f t="shared" ca="1" si="0"/>
        <v>-6451.7218699999985</v>
      </c>
      <c r="R42" s="199">
        <f t="shared" ca="1" si="1"/>
        <v>-0.3408483585070034</v>
      </c>
      <c r="S42" s="116"/>
      <c r="T42" s="232">
        <f ca="1">_xll.DBRW(Server&amp;Cube1,$F$21,$F$14,$F$15,$F$20,$C$14,$F$17,$F$19,$C$15,$J$3,$U$1,$C42)</f>
        <v>14343.283680000002</v>
      </c>
      <c r="U42" s="232">
        <f ca="1">_xll.DBRW(Server&amp;Cube1,$F$21,$F$14,$F$15,$F$20,$C$14,$F$17,$F$19,$C$15,$J$2,$U$1,$C42)</f>
        <v>146.69160000000002</v>
      </c>
      <c r="V42" s="232">
        <f ca="1">_xll.DBRW(Server&amp;Cube1,$F$21,$F$14,$F$15,$F$20,$C$14,$F$17,$F$19,$C$15,$J$2,$V$1,$C42)</f>
        <v>8386.0000000000018</v>
      </c>
      <c r="W42" s="232">
        <f ca="1">IF($F$6="Budget",0,_xll.DBRW(Server&amp;Cube1,$F$21,$F$14,$F$15,$F$20,$C$14,$F$17,$F$19,$C$15,$J$2,$W$1,$C42))</f>
        <v>0</v>
      </c>
      <c r="X42" s="232">
        <f ca="1">IF(OR($F$6="Forecast_1",$F$6="Budget"),0,_xll.DBRW(Server&amp;Cube1,$F$21,$F$14,$F$15,$F$20,$C$14,$F$17,$F$19,$C$15,$J$2,$X$1,$C42))</f>
        <v>0</v>
      </c>
      <c r="Y42" s="111"/>
      <c r="Z42" s="233">
        <f ca="1">IF($F$23=$AN$13,$U42-$V42,IF($F$23=$AN$14,$U42-$W42,$U42-$X42))</f>
        <v>-8239.3084000000017</v>
      </c>
      <c r="AA42" s="233">
        <f ca="1">IF($F$23=$AN$13,IF(V42=0,0,IF(V42&lt;0,Z42/-V42,Z42/V42)),IF($F$23=$AN$14,IF(W42=0,0,IF(W42&lt;0,Z42/-W42,Z42/W42)),IF(X42=0,0,IF(X42&lt;0,Z42/-X42,Z42/X42))))</f>
        <v>-0.98250756021941332</v>
      </c>
      <c r="AB42" s="233">
        <f t="shared" ca="1" si="2"/>
        <v>-14196.592080000002</v>
      </c>
      <c r="AC42" s="205">
        <f t="shared" ca="1" si="4"/>
        <v>-0.57443668993932917</v>
      </c>
      <c r="AM42" s="69" t="s">
        <v>43</v>
      </c>
    </row>
    <row r="43" spans="1:50" s="8" customFormat="1" ht="12" customHeight="1" thickBot="1" x14ac:dyDescent="0.4">
      <c r="A43" s="43"/>
      <c r="B43" s="43"/>
      <c r="C43" s="154"/>
      <c r="D43" s="90"/>
      <c r="E43" s="247"/>
      <c r="F43" s="247"/>
      <c r="G43" s="247"/>
      <c r="H43" s="91"/>
      <c r="I43" s="214"/>
      <c r="J43" s="214"/>
      <c r="K43" s="215"/>
      <c r="L43" s="214"/>
      <c r="M43" s="215"/>
      <c r="N43" s="142"/>
      <c r="O43" s="220"/>
      <c r="P43" s="217"/>
      <c r="Q43" s="216"/>
      <c r="R43" s="197"/>
      <c r="S43" s="150"/>
      <c r="T43" s="214"/>
      <c r="U43" s="214"/>
      <c r="V43" s="214"/>
      <c r="W43" s="214"/>
      <c r="X43" s="215"/>
      <c r="Y43" s="142"/>
      <c r="Z43" s="216"/>
      <c r="AA43" s="217"/>
      <c r="AB43" s="216"/>
      <c r="AC43" s="192"/>
      <c r="AD43" s="43"/>
      <c r="AE43" s="43"/>
      <c r="AF43" s="43"/>
      <c r="AG43" s="43"/>
      <c r="AH43" s="43"/>
      <c r="AI43" s="43"/>
      <c r="AJ43" s="43"/>
      <c r="AK43" s="43"/>
      <c r="AL43" s="43"/>
      <c r="AM43" s="69" t="s">
        <v>44</v>
      </c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</row>
    <row r="44" spans="1:50" s="8" customFormat="1" ht="24.75" customHeight="1" thickBot="1" x14ac:dyDescent="0.35">
      <c r="A44" s="43"/>
      <c r="B44" s="43"/>
      <c r="C44" s="158" t="s">
        <v>96</v>
      </c>
      <c r="E44" s="249" t="str">
        <f ca="1">_xll.DBRA(Server&amp;$C$24,$C44,$F$16)</f>
        <v>CAFOP</v>
      </c>
      <c r="F44" s="249"/>
      <c r="G44" s="249"/>
      <c r="H44" s="49"/>
      <c r="I44" s="232">
        <f ca="1">_xll.DBRW(Server&amp;Cube1,$F$21,$F$14,$F$15,$F$20,$C$14,$F$17,$F$19,$C$15,$H$3,J$1,$C44)</f>
        <v>4097.2943800000003</v>
      </c>
      <c r="J44" s="232">
        <f ca="1">_xll.DBRW(Server&amp;Cube1,$F$21,$F$14,$F$15,$F$20,$C$14,$F$17,$F$19,$C$15,$H$2,J$1,$C44)</f>
        <v>2123.5695500000024</v>
      </c>
      <c r="K44" s="232">
        <f ca="1">_xll.DBRW(Server&amp;Cube1,$F$21,$F$14,$F$15,$F$20,$C$14,$F$17,$F$19,$C$15,$H$2,K$1,$C44)</f>
        <v>380.90787499999999</v>
      </c>
      <c r="L44" s="232">
        <f ca="1">IF($F$6="Budget",0,_xll.DBRW(Server&amp;Cube1,$F$21,$F$14,$F$15,$F$20,$C$14,$F$17,$F$19,$C$15,$H$2,L$1,$C44))</f>
        <v>0</v>
      </c>
      <c r="M44" s="232">
        <f ca="1">IF(OR($F$6="Forecast_1",$F$6="Budget"),0,_xll.DBRW(Server&amp;Cube1,$F$21,$F$14,$F$15,$F$20,$C$14,$F$17,$F$19,$C$15,$H$2,M$1,$C44))</f>
        <v>0</v>
      </c>
      <c r="N44" s="111"/>
      <c r="O44" s="233">
        <f ca="1">IF($F$23=$AN$13,$J44-$K44,IF($F$23=$AN$14,$J44-$L44,$J44-$M44))</f>
        <v>1742.6616750000026</v>
      </c>
      <c r="P44" s="233">
        <f ca="1">IF($F$23=$AN$13,IF(K44=0,0,IF(K44&lt;0,O44/-K44,O44/K44)),IF($F$23=$AN$14,IF(L44=0,0,IF(L44&lt;0,O44/-L44,O44/L44)),IF(M44=0,0,IF(M44&lt;0,O44/-M44,O44/M44))))</f>
        <v>4.5750213880456068</v>
      </c>
      <c r="Q44" s="233">
        <f t="shared" ca="1" si="0"/>
        <v>-1973.7248299999978</v>
      </c>
      <c r="R44" s="199">
        <f t="shared" ca="1" si="1"/>
        <v>0.42532010477606991</v>
      </c>
      <c r="S44" s="116"/>
      <c r="T44" s="232">
        <f ca="1">_xll.DBRW(Server&amp;Cube1,$F$21,$F$14,$F$15,$F$20,$C$14,$F$17,$F$19,$C$15,$J$3,$U$1,$C44)</f>
        <v>-19639.878449999997</v>
      </c>
      <c r="U44" s="232">
        <f ca="1">_xll.DBRW(Server&amp;Cube1,$F$21,$F$14,$F$15,$F$20,$C$14,$F$17,$F$19,$C$15,$J$2,$U$1,$C44)</f>
        <v>2123.5695500000006</v>
      </c>
      <c r="V44" s="232">
        <f ca="1">_xll.DBRW(Server&amp;Cube1,$F$21,$F$14,$F$15,$F$20,$C$14,$F$17,$F$19,$C$15,$J$2,$V$1,$C44)</f>
        <v>-28416.322166666665</v>
      </c>
      <c r="W44" s="232">
        <f ca="1">IF($F$6="Budget",0,_xll.DBRW(Server&amp;Cube1,$F$21,$F$14,$F$15,$F$20,$C$14,$F$17,$F$19,$C$15,$J$2,$W$1,$C44))</f>
        <v>0</v>
      </c>
      <c r="X44" s="232">
        <f ca="1">IF(OR($F$6="Forecast_1",$F$6="Budget"),0,_xll.DBRW(Server&amp;Cube1,$F$21,$F$14,$F$15,$F$20,$C$14,$F$17,$F$19,$C$15,$J$2,$X$1,$C44))</f>
        <v>0</v>
      </c>
      <c r="Y44" s="111"/>
      <c r="Z44" s="233">
        <f ca="1">IF($F$23=$AN$13,$U44-$V44,IF($F$23=$AN$14,$U44-$W44,$U44-$X44))</f>
        <v>30539.891716666665</v>
      </c>
      <c r="AA44" s="233">
        <f ca="1">IF($F$23=$AN$13,IF(V44=0,0,IF(V44&lt;0,Z44/-V44,Z44/V44)),IF($F$23=$AN$14,IF(W44=0,0,IF(W44&lt;0,Z44/-W44,Z44/W44)),IF(X44=0,0,IF(X44&lt;0,Z44/-X44,Z44/X44))))</f>
        <v>1.0747306262064773</v>
      </c>
      <c r="AB44" s="233">
        <f t="shared" ca="1" si="2"/>
        <v>21763.447999999997</v>
      </c>
      <c r="AC44" s="205">
        <f t="shared" ca="1" si="4"/>
        <v>-1.5549939269948319</v>
      </c>
      <c r="AD44" s="43"/>
      <c r="AE44" s="43"/>
      <c r="AF44" s="43"/>
      <c r="AG44" s="43"/>
      <c r="AH44" s="43"/>
      <c r="AI44" s="43"/>
      <c r="AJ44" s="43"/>
      <c r="AK44" s="43"/>
      <c r="AL44" s="43"/>
      <c r="AM44" s="69" t="s">
        <v>45</v>
      </c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</row>
    <row r="45" spans="1:50" s="8" customFormat="1" ht="24.95" hidden="1" customHeight="1" x14ac:dyDescent="0.35">
      <c r="A45" s="43"/>
      <c r="B45" s="43"/>
      <c r="C45" s="167"/>
      <c r="D45" s="186"/>
      <c r="E45" s="247"/>
      <c r="F45" s="247"/>
      <c r="G45" s="247"/>
      <c r="H45" s="91"/>
      <c r="I45" s="145"/>
      <c r="J45" s="145"/>
      <c r="K45" s="146"/>
      <c r="L45" s="146"/>
      <c r="M45" s="146"/>
      <c r="N45" s="142"/>
      <c r="O45" s="147"/>
      <c r="P45" s="148"/>
      <c r="Q45" s="149"/>
      <c r="R45" s="147"/>
      <c r="S45" s="150"/>
      <c r="T45" s="145"/>
      <c r="U45" s="145"/>
      <c r="V45" s="145"/>
      <c r="W45" s="145"/>
      <c r="X45" s="155"/>
      <c r="Y45" s="156"/>
      <c r="Z45" s="145"/>
      <c r="AA45" s="145"/>
      <c r="AB45" s="145"/>
      <c r="AC45" s="155"/>
      <c r="AD45" s="43"/>
      <c r="AE45" s="43"/>
      <c r="AF45" s="43"/>
      <c r="AG45" s="43"/>
      <c r="AH45" s="43"/>
      <c r="AI45" s="43"/>
      <c r="AJ45" s="43"/>
      <c r="AK45" s="43"/>
      <c r="AL45" s="43"/>
      <c r="AM45" s="69" t="s">
        <v>46</v>
      </c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</row>
    <row r="46" spans="1:50" s="8" customFormat="1" ht="24.95" hidden="1" customHeight="1" x14ac:dyDescent="0.35">
      <c r="A46" s="43"/>
      <c r="B46" s="43"/>
      <c r="C46" s="167"/>
      <c r="D46" s="186"/>
      <c r="E46" s="247"/>
      <c r="F46" s="247"/>
      <c r="G46" s="247"/>
      <c r="H46" s="91"/>
      <c r="I46" s="145"/>
      <c r="J46" s="145"/>
      <c r="K46" s="146"/>
      <c r="L46" s="146"/>
      <c r="M46" s="146"/>
      <c r="N46" s="142"/>
      <c r="O46" s="147"/>
      <c r="P46" s="148"/>
      <c r="Q46" s="149"/>
      <c r="R46" s="147"/>
      <c r="S46" s="150"/>
      <c r="T46" s="145"/>
      <c r="U46" s="145"/>
      <c r="V46" s="145"/>
      <c r="W46" s="145"/>
      <c r="X46" s="155"/>
      <c r="Y46" s="156"/>
      <c r="Z46" s="145"/>
      <c r="AA46" s="145"/>
      <c r="AB46" s="145"/>
      <c r="AC46" s="155"/>
      <c r="AD46" s="43"/>
      <c r="AE46" s="43"/>
      <c r="AF46" s="43"/>
      <c r="AG46" s="43"/>
      <c r="AH46" s="43"/>
      <c r="AI46" s="43"/>
      <c r="AJ46" s="43"/>
      <c r="AK46" s="43"/>
      <c r="AL46" s="43"/>
      <c r="AM46" s="69" t="s">
        <v>47</v>
      </c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</row>
    <row r="47" spans="1:50" s="8" customFormat="1" ht="24.95" hidden="1" customHeight="1" x14ac:dyDescent="0.35">
      <c r="A47" s="43"/>
      <c r="B47" s="43"/>
      <c r="C47" s="167"/>
      <c r="D47" s="186"/>
      <c r="E47" s="247"/>
      <c r="F47" s="247"/>
      <c r="G47" s="247"/>
      <c r="H47" s="91"/>
      <c r="I47" s="145"/>
      <c r="J47" s="145"/>
      <c r="K47" s="146"/>
      <c r="L47" s="146"/>
      <c r="M47" s="146"/>
      <c r="N47" s="142"/>
      <c r="O47" s="147"/>
      <c r="P47" s="148"/>
      <c r="Q47" s="149"/>
      <c r="R47" s="147"/>
      <c r="S47" s="150"/>
      <c r="T47" s="145"/>
      <c r="U47" s="145"/>
      <c r="V47" s="145"/>
      <c r="W47" s="145"/>
      <c r="X47" s="155"/>
      <c r="Y47" s="156"/>
      <c r="Z47" s="145"/>
      <c r="AA47" s="145"/>
      <c r="AB47" s="145"/>
      <c r="AC47" s="155"/>
      <c r="AD47" s="43"/>
      <c r="AE47" s="43"/>
      <c r="AF47" s="43"/>
      <c r="AG47" s="43"/>
      <c r="AH47" s="43"/>
      <c r="AI47" s="43"/>
      <c r="AJ47" s="43"/>
      <c r="AK47" s="43"/>
      <c r="AL47" s="43"/>
      <c r="AM47" s="69" t="s">
        <v>48</v>
      </c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</row>
    <row r="48" spans="1:50" s="8" customFormat="1" ht="24.95" hidden="1" customHeight="1" x14ac:dyDescent="0.35">
      <c r="A48" s="43"/>
      <c r="B48" s="43"/>
      <c r="C48" s="168"/>
      <c r="D48" s="186"/>
      <c r="E48" s="251"/>
      <c r="F48" s="251"/>
      <c r="G48" s="251"/>
      <c r="H48" s="91"/>
      <c r="I48" s="160"/>
      <c r="J48" s="160"/>
      <c r="K48" s="160"/>
      <c r="L48" s="160"/>
      <c r="M48" s="160"/>
      <c r="N48" s="139"/>
      <c r="O48" s="169"/>
      <c r="P48" s="170"/>
      <c r="Q48" s="149"/>
      <c r="R48" s="169"/>
      <c r="S48" s="161"/>
      <c r="T48" s="160"/>
      <c r="U48" s="160"/>
      <c r="V48" s="160"/>
      <c r="W48" s="160"/>
      <c r="X48" s="166"/>
      <c r="Y48" s="140"/>
      <c r="Z48" s="160"/>
      <c r="AA48" s="160"/>
      <c r="AB48" s="160"/>
      <c r="AC48" s="166"/>
      <c r="AD48" s="43"/>
      <c r="AE48" s="43"/>
      <c r="AF48" s="43"/>
      <c r="AG48" s="43"/>
      <c r="AH48" s="43"/>
      <c r="AI48" s="43"/>
      <c r="AJ48" s="43"/>
      <c r="AK48" s="43"/>
      <c r="AL48" s="43"/>
      <c r="AM48" s="69" t="s">
        <v>49</v>
      </c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</row>
    <row r="49" spans="1:50" s="8" customFormat="1" ht="24" hidden="1" customHeight="1" x14ac:dyDescent="0.35">
      <c r="A49" s="43"/>
      <c r="B49" s="43"/>
      <c r="C49" s="167"/>
      <c r="D49" s="186"/>
      <c r="E49" s="247"/>
      <c r="F49" s="247"/>
      <c r="G49" s="247"/>
      <c r="H49" s="91"/>
      <c r="I49" s="145"/>
      <c r="J49" s="145"/>
      <c r="K49" s="146"/>
      <c r="L49" s="146"/>
      <c r="M49" s="146"/>
      <c r="N49" s="141"/>
      <c r="O49" s="147"/>
      <c r="P49" s="148"/>
      <c r="Q49" s="149"/>
      <c r="R49" s="147"/>
      <c r="S49" s="150"/>
      <c r="T49" s="145"/>
      <c r="U49" s="145"/>
      <c r="V49" s="145"/>
      <c r="W49" s="145"/>
      <c r="X49" s="155"/>
      <c r="Y49" s="143"/>
      <c r="Z49" s="145"/>
      <c r="AA49" s="145"/>
      <c r="AB49" s="145"/>
      <c r="AC49" s="155"/>
      <c r="AD49" s="43"/>
      <c r="AE49" s="43"/>
      <c r="AF49" s="43"/>
      <c r="AG49" s="43"/>
      <c r="AH49" s="43"/>
      <c r="AI49" s="43"/>
      <c r="AJ49" s="43"/>
      <c r="AK49" s="43"/>
      <c r="AL49" s="43"/>
      <c r="AM49" s="69" t="s">
        <v>50</v>
      </c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</row>
    <row r="50" spans="1:50" s="8" customFormat="1" ht="24" hidden="1" customHeight="1" thickBot="1" x14ac:dyDescent="0.4">
      <c r="A50" s="43"/>
      <c r="B50" s="43"/>
      <c r="C50" s="167"/>
      <c r="D50" s="186"/>
      <c r="E50" s="247"/>
      <c r="F50" s="247"/>
      <c r="G50" s="247"/>
      <c r="H50" s="91"/>
      <c r="I50" s="145"/>
      <c r="J50" s="145"/>
      <c r="K50" s="146"/>
      <c r="L50" s="146"/>
      <c r="M50" s="146"/>
      <c r="N50" s="141"/>
      <c r="O50" s="147"/>
      <c r="P50" s="148"/>
      <c r="Q50" s="149"/>
      <c r="R50" s="147"/>
      <c r="S50" s="150"/>
      <c r="T50" s="145"/>
      <c r="U50" s="145"/>
      <c r="V50" s="145"/>
      <c r="W50" s="145"/>
      <c r="X50" s="155"/>
      <c r="Y50" s="143"/>
      <c r="Z50" s="145"/>
      <c r="AA50" s="145"/>
      <c r="AB50" s="145"/>
      <c r="AC50" s="155"/>
      <c r="AD50" s="43"/>
      <c r="AE50" s="43"/>
      <c r="AF50" s="43"/>
      <c r="AG50" s="43"/>
      <c r="AH50" s="43"/>
      <c r="AI50" s="43"/>
      <c r="AJ50" s="43"/>
      <c r="AK50" s="43"/>
      <c r="AL50" s="43"/>
      <c r="AM50" s="70" t="s">
        <v>51</v>
      </c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</row>
    <row r="51" spans="1:50" s="8" customFormat="1" ht="24" hidden="1" customHeight="1" x14ac:dyDescent="0.35">
      <c r="A51" s="43"/>
      <c r="B51" s="43"/>
      <c r="C51" s="167"/>
      <c r="D51" s="186"/>
      <c r="E51" s="247"/>
      <c r="F51" s="247"/>
      <c r="G51" s="247"/>
      <c r="H51" s="91"/>
      <c r="I51" s="145"/>
      <c r="J51" s="145"/>
      <c r="K51" s="146"/>
      <c r="L51" s="146"/>
      <c r="M51" s="146"/>
      <c r="N51" s="141"/>
      <c r="O51" s="147"/>
      <c r="P51" s="148"/>
      <c r="Q51" s="149"/>
      <c r="R51" s="147"/>
      <c r="S51" s="150"/>
      <c r="T51" s="145"/>
      <c r="U51" s="145"/>
      <c r="V51" s="145"/>
      <c r="W51" s="145"/>
      <c r="X51" s="155"/>
      <c r="Y51" s="143"/>
      <c r="Z51" s="145"/>
      <c r="AA51" s="145"/>
      <c r="AB51" s="145"/>
      <c r="AC51" s="155"/>
      <c r="AD51" s="43"/>
      <c r="AE51" s="43"/>
      <c r="AF51" s="43"/>
      <c r="AG51" s="43"/>
      <c r="AH51" s="43"/>
      <c r="AI51" s="43"/>
      <c r="AJ51" s="43"/>
      <c r="AK51" s="43"/>
      <c r="AL51" s="43"/>
      <c r="AM51" s="60" t="s">
        <v>55</v>
      </c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</row>
    <row r="52" spans="1:50" s="8" customFormat="1" ht="24" hidden="1" customHeight="1" x14ac:dyDescent="0.35">
      <c r="A52" s="43"/>
      <c r="B52" s="43"/>
      <c r="C52" s="168"/>
      <c r="D52" s="186"/>
      <c r="E52" s="251"/>
      <c r="F52" s="251"/>
      <c r="G52" s="251"/>
      <c r="H52" s="91"/>
      <c r="I52" s="160"/>
      <c r="J52" s="160"/>
      <c r="K52" s="160"/>
      <c r="L52" s="160"/>
      <c r="M52" s="160"/>
      <c r="N52" s="139"/>
      <c r="O52" s="169"/>
      <c r="P52" s="170"/>
      <c r="Q52" s="149"/>
      <c r="R52" s="169"/>
      <c r="S52" s="161"/>
      <c r="T52" s="160"/>
      <c r="U52" s="160"/>
      <c r="V52" s="160"/>
      <c r="W52" s="160"/>
      <c r="X52" s="166"/>
      <c r="Y52" s="140"/>
      <c r="Z52" s="160"/>
      <c r="AA52" s="160"/>
      <c r="AB52" s="160"/>
      <c r="AC52" s="166"/>
      <c r="AD52" s="43"/>
      <c r="AE52" s="43"/>
      <c r="AF52" s="43"/>
      <c r="AG52" s="43"/>
      <c r="AH52" s="43"/>
      <c r="AI52" s="43"/>
      <c r="AJ52" s="43"/>
      <c r="AK52" s="43"/>
      <c r="AL52" s="43"/>
      <c r="AM52" s="67" t="s">
        <v>60</v>
      </c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</row>
    <row r="53" spans="1:50" s="8" customFormat="1" ht="24" hidden="1" customHeight="1" thickBot="1" x14ac:dyDescent="0.4">
      <c r="A53" s="43"/>
      <c r="B53" s="43"/>
      <c r="C53" s="167"/>
      <c r="D53" s="186"/>
      <c r="E53" s="247"/>
      <c r="F53" s="247"/>
      <c r="G53" s="247"/>
      <c r="H53" s="91"/>
      <c r="I53" s="145"/>
      <c r="J53" s="145"/>
      <c r="K53" s="146"/>
      <c r="L53" s="146"/>
      <c r="M53" s="146"/>
      <c r="N53" s="141"/>
      <c r="O53" s="147"/>
      <c r="P53" s="148"/>
      <c r="Q53" s="149"/>
      <c r="R53" s="147"/>
      <c r="S53" s="150"/>
      <c r="T53" s="145"/>
      <c r="U53" s="145"/>
      <c r="V53" s="145"/>
      <c r="W53" s="145"/>
      <c r="X53" s="155"/>
      <c r="Y53" s="143"/>
      <c r="Z53" s="145"/>
      <c r="AA53" s="145"/>
      <c r="AB53" s="145"/>
      <c r="AC53" s="155"/>
      <c r="AD53" s="43"/>
      <c r="AE53" s="43"/>
      <c r="AF53" s="43"/>
      <c r="AG53" s="43"/>
      <c r="AH53" s="43"/>
      <c r="AI53" s="43"/>
      <c r="AJ53" s="43"/>
      <c r="AK53" s="43"/>
      <c r="AL53" s="43"/>
      <c r="AM53" s="68" t="s">
        <v>61</v>
      </c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</row>
    <row r="54" spans="1:50" s="8" customFormat="1" ht="24" hidden="1" customHeight="1" x14ac:dyDescent="0.35">
      <c r="A54" s="43"/>
      <c r="B54" s="43"/>
      <c r="C54" s="167"/>
      <c r="D54" s="186"/>
      <c r="E54" s="247"/>
      <c r="F54" s="247"/>
      <c r="G54" s="247"/>
      <c r="H54" s="91"/>
      <c r="I54" s="145"/>
      <c r="J54" s="145"/>
      <c r="K54" s="146"/>
      <c r="L54" s="146"/>
      <c r="M54" s="146"/>
      <c r="N54" s="141"/>
      <c r="O54" s="147"/>
      <c r="P54" s="148"/>
      <c r="Q54" s="149"/>
      <c r="R54" s="147"/>
      <c r="S54" s="150"/>
      <c r="T54" s="145"/>
      <c r="U54" s="145"/>
      <c r="V54" s="145"/>
      <c r="W54" s="145"/>
      <c r="X54" s="155"/>
      <c r="Y54" s="143"/>
      <c r="Z54" s="145"/>
      <c r="AA54" s="145"/>
      <c r="AB54" s="145"/>
      <c r="AC54" s="155"/>
      <c r="AD54" s="43"/>
      <c r="AE54" s="43"/>
      <c r="AF54" s="43"/>
      <c r="AG54" s="43"/>
      <c r="AH54" s="43"/>
      <c r="AI54" s="43"/>
      <c r="AJ54" s="43"/>
      <c r="AK54" s="43"/>
      <c r="AL54" s="43"/>
      <c r="AM54" s="75" t="s">
        <v>67</v>
      </c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</row>
    <row r="55" spans="1:50" s="8" customFormat="1" ht="24" hidden="1" customHeight="1" x14ac:dyDescent="0.35">
      <c r="A55" s="43"/>
      <c r="B55" s="43"/>
      <c r="C55" s="168"/>
      <c r="D55" s="186"/>
      <c r="E55" s="251"/>
      <c r="F55" s="251"/>
      <c r="G55" s="251"/>
      <c r="H55" s="91"/>
      <c r="I55" s="160"/>
      <c r="J55" s="160"/>
      <c r="K55" s="160"/>
      <c r="L55" s="160"/>
      <c r="M55" s="160"/>
      <c r="N55" s="139"/>
      <c r="O55" s="169"/>
      <c r="P55" s="170"/>
      <c r="Q55" s="149"/>
      <c r="R55" s="169"/>
      <c r="S55" s="161"/>
      <c r="T55" s="160"/>
      <c r="U55" s="160"/>
      <c r="V55" s="160"/>
      <c r="W55" s="160"/>
      <c r="X55" s="166"/>
      <c r="Y55" s="140"/>
      <c r="Z55" s="160"/>
      <c r="AA55" s="160"/>
      <c r="AB55" s="160"/>
      <c r="AC55" s="166"/>
      <c r="AD55" s="43"/>
      <c r="AE55" s="43"/>
      <c r="AF55" s="43"/>
      <c r="AG55" s="43"/>
      <c r="AH55" s="43"/>
      <c r="AI55" s="43"/>
      <c r="AJ55" s="43"/>
      <c r="AK55" s="43"/>
      <c r="AL55" s="43"/>
      <c r="AM55" s="76" t="s">
        <v>68</v>
      </c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</row>
    <row r="56" spans="1:50" s="8" customFormat="1" ht="24" hidden="1" customHeight="1" thickBot="1" x14ac:dyDescent="0.4">
      <c r="A56" s="43"/>
      <c r="B56" s="43"/>
      <c r="C56" s="171"/>
      <c r="D56" s="186"/>
      <c r="E56" s="248"/>
      <c r="F56" s="248"/>
      <c r="G56" s="248"/>
      <c r="H56" s="91"/>
      <c r="I56" s="162"/>
      <c r="J56" s="162"/>
      <c r="K56" s="146"/>
      <c r="L56" s="146"/>
      <c r="M56" s="146"/>
      <c r="N56" s="142"/>
      <c r="O56" s="163"/>
      <c r="P56" s="164"/>
      <c r="Q56" s="149"/>
      <c r="R56" s="163"/>
      <c r="S56" s="150"/>
      <c r="T56" s="162"/>
      <c r="U56" s="162"/>
      <c r="V56" s="162"/>
      <c r="W56" s="162"/>
      <c r="X56" s="165"/>
      <c r="Y56" s="156"/>
      <c r="Z56" s="162"/>
      <c r="AA56" s="162"/>
      <c r="AB56" s="162"/>
      <c r="AC56" s="165"/>
      <c r="AD56" s="43"/>
      <c r="AE56" s="43"/>
      <c r="AF56" s="43"/>
      <c r="AG56" s="43"/>
      <c r="AH56" s="43"/>
      <c r="AI56" s="43"/>
      <c r="AJ56" s="43"/>
      <c r="AK56" s="43"/>
      <c r="AL56" s="43"/>
      <c r="AM56" s="65" t="s">
        <v>69</v>
      </c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</row>
    <row r="57" spans="1:50" s="8" customFormat="1" ht="24" customHeight="1" x14ac:dyDescent="0.35">
      <c r="A57" s="43"/>
      <c r="B57" s="43"/>
      <c r="C57" s="167"/>
      <c r="D57" s="90"/>
      <c r="E57" s="247"/>
      <c r="F57" s="247"/>
      <c r="G57" s="247"/>
      <c r="H57" s="91"/>
      <c r="I57" s="145"/>
      <c r="J57" s="145"/>
      <c r="K57" s="146"/>
      <c r="L57" s="146"/>
      <c r="M57" s="146"/>
      <c r="N57" s="142"/>
      <c r="O57" s="147"/>
      <c r="P57" s="148"/>
      <c r="Q57" s="149"/>
      <c r="R57" s="147"/>
      <c r="S57" s="150"/>
      <c r="T57" s="145"/>
      <c r="U57" s="145"/>
      <c r="V57" s="145"/>
      <c r="W57" s="145"/>
      <c r="X57" s="155"/>
      <c r="Y57" s="156"/>
      <c r="Z57" s="145"/>
      <c r="AA57" s="145"/>
      <c r="AB57" s="145"/>
      <c r="AC57" s="155"/>
      <c r="AD57" s="43"/>
      <c r="AE57" s="43"/>
      <c r="AF57" s="43"/>
      <c r="AG57" s="43"/>
      <c r="AH57" s="43"/>
      <c r="AI57" s="43"/>
      <c r="AJ57" s="43"/>
      <c r="AK57" s="43"/>
      <c r="AL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</row>
    <row r="58" spans="1:50" ht="24" hidden="1" customHeight="1" x14ac:dyDescent="0.25">
      <c r="A58" s="109" t="s">
        <v>106</v>
      </c>
      <c r="B58" s="131" t="s">
        <v>107</v>
      </c>
      <c r="C58" s="104"/>
      <c r="D58" s="50"/>
      <c r="E58" s="145"/>
      <c r="F58" s="145"/>
      <c r="G58" s="145"/>
      <c r="H58" s="144"/>
      <c r="I58" s="145"/>
      <c r="J58" s="145"/>
      <c r="K58" s="146"/>
      <c r="L58" s="146"/>
      <c r="M58" s="146"/>
      <c r="N58" s="141"/>
      <c r="O58" s="147"/>
      <c r="P58" s="148"/>
      <c r="Q58" s="149"/>
      <c r="R58" s="147"/>
      <c r="S58" s="150"/>
      <c r="T58" s="145"/>
      <c r="U58" s="145"/>
      <c r="V58" s="145"/>
      <c r="W58" s="145"/>
      <c r="X58" s="143"/>
      <c r="Y58" s="143"/>
      <c r="Z58" s="143"/>
      <c r="AA58" s="143"/>
      <c r="AB58" s="143"/>
      <c r="AC58" s="9"/>
      <c r="AD58" s="43"/>
      <c r="AE58" s="43"/>
      <c r="AF58" s="43"/>
      <c r="AG58" s="43"/>
      <c r="AH58" s="43"/>
      <c r="AI58" s="127" t="s">
        <v>111</v>
      </c>
      <c r="AJ58" s="43" t="str">
        <f ca="1">LEFT(H2,7)</f>
        <v>2013.03</v>
      </c>
      <c r="AK58" s="127" t="s">
        <v>110</v>
      </c>
      <c r="AL58" s="43"/>
      <c r="AM58" s="128" t="str">
        <f ca="1">IF(LEN($AJ$58)=4,"NO",RIGHT(AJ58,2))</f>
        <v>03</v>
      </c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</row>
    <row r="59" spans="1:50" ht="24" hidden="1" customHeight="1" x14ac:dyDescent="0.25">
      <c r="A59" s="109" t="s">
        <v>15</v>
      </c>
      <c r="B59" s="131" t="s">
        <v>108</v>
      </c>
      <c r="C59" s="104"/>
      <c r="D59" s="50"/>
      <c r="E59" s="145"/>
      <c r="F59" s="145"/>
      <c r="G59" s="145"/>
      <c r="H59" s="144"/>
      <c r="I59" s="145"/>
      <c r="J59" s="145"/>
      <c r="K59" s="146"/>
      <c r="L59" s="146"/>
      <c r="M59" s="146"/>
      <c r="N59" s="141"/>
      <c r="O59" s="147"/>
      <c r="P59" s="148"/>
      <c r="Q59" s="149"/>
      <c r="R59" s="147"/>
      <c r="S59" s="150"/>
      <c r="T59" s="145"/>
      <c r="U59" s="145"/>
      <c r="V59" s="145"/>
      <c r="W59" s="145"/>
      <c r="X59" s="143"/>
      <c r="Y59" s="143"/>
      <c r="Z59" s="143"/>
      <c r="AA59" s="143"/>
      <c r="AB59" s="143"/>
      <c r="AC59" s="9"/>
      <c r="AD59" s="43"/>
      <c r="AE59" s="43"/>
      <c r="AF59" s="43"/>
      <c r="AG59" s="43"/>
      <c r="AH59" s="43"/>
      <c r="AI59" s="127" t="s">
        <v>112</v>
      </c>
      <c r="AJ59" s="43"/>
      <c r="AK59" s="48" t="str">
        <f ca="1">IF(OR($AM$58="S1",$AM$58="Q1",$AM$58="Q2"),"YES",IF(ISERROR(VALUE($AM$58))=TRUE,"NO",IF(VALUE($AM$58)&lt;7,"YES","NO")))</f>
        <v>YES</v>
      </c>
      <c r="AL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</row>
    <row r="60" spans="1:50" ht="24" hidden="1" customHeight="1" x14ac:dyDescent="0.25">
      <c r="A60" s="109" t="s">
        <v>16</v>
      </c>
      <c r="B60" s="131" t="s">
        <v>109</v>
      </c>
      <c r="C60" s="104"/>
      <c r="D60" s="50"/>
      <c r="E60" s="145"/>
      <c r="F60" s="145"/>
      <c r="G60" s="145"/>
      <c r="H60" s="144"/>
      <c r="I60" s="145"/>
      <c r="J60" s="145"/>
      <c r="K60" s="146"/>
      <c r="L60" s="146"/>
      <c r="M60" s="146"/>
      <c r="N60" s="141"/>
      <c r="O60" s="147"/>
      <c r="P60" s="148"/>
      <c r="Q60" s="149"/>
      <c r="R60" s="147"/>
      <c r="S60" s="150"/>
      <c r="T60" s="145"/>
      <c r="U60" s="145"/>
      <c r="V60" s="145"/>
      <c r="W60" s="145"/>
      <c r="X60" s="143"/>
      <c r="Y60" s="143"/>
      <c r="Z60" s="143"/>
      <c r="AA60" s="143"/>
      <c r="AB60" s="143"/>
      <c r="AC60" s="9"/>
      <c r="AD60" s="43"/>
      <c r="AE60" s="43"/>
      <c r="AF60" s="43"/>
      <c r="AG60" s="43"/>
      <c r="AH60" s="43"/>
      <c r="AI60" s="127" t="s">
        <v>113</v>
      </c>
      <c r="AJ60" s="43"/>
      <c r="AK60" s="43" t="str">
        <f ca="1">IF(OR($AM$58="S2",$AM$58="Q4",$AM$58="NO",$AM$58="12"),"YES","NO")</f>
        <v>NO</v>
      </c>
      <c r="AL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</row>
    <row r="61" spans="1:50" ht="24" hidden="1" customHeight="1" x14ac:dyDescent="0.25">
      <c r="A61" s="43"/>
      <c r="B61" s="43"/>
      <c r="C61" s="104"/>
      <c r="D61" s="50"/>
      <c r="E61" s="145"/>
      <c r="F61" s="145"/>
      <c r="G61" s="145"/>
      <c r="H61" s="144"/>
      <c r="I61" s="145"/>
      <c r="J61" s="145"/>
      <c r="K61" s="146"/>
      <c r="L61" s="146"/>
      <c r="M61" s="146"/>
      <c r="N61" s="141"/>
      <c r="O61" s="147"/>
      <c r="P61" s="148"/>
      <c r="Q61" s="149"/>
      <c r="R61" s="147"/>
      <c r="S61" s="150"/>
      <c r="T61" s="145"/>
      <c r="U61" s="145"/>
      <c r="V61" s="145"/>
      <c r="W61" s="145"/>
      <c r="X61" s="140"/>
      <c r="Y61" s="140"/>
      <c r="Z61" s="140"/>
      <c r="AA61" s="140"/>
      <c r="AB61" s="140"/>
      <c r="AC61" s="10"/>
      <c r="AD61" s="43"/>
      <c r="AE61" s="43"/>
      <c r="AF61" s="43"/>
      <c r="AG61" s="43"/>
      <c r="AH61" s="43"/>
      <c r="AI61" s="127" t="s">
        <v>114</v>
      </c>
      <c r="AJ61" s="43"/>
      <c r="AK61" s="43" t="str">
        <f ca="1">IF(OR($AM$58="Q3",$AM$58="09"),"YES","NO")</f>
        <v>NO</v>
      </c>
      <c r="AL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</row>
    <row r="62" spans="1:50" ht="24" hidden="1" customHeight="1" x14ac:dyDescent="0.2">
      <c r="A62" s="43"/>
      <c r="B62" s="43"/>
      <c r="C62" s="104"/>
      <c r="D62" s="50"/>
      <c r="E62" s="145"/>
      <c r="F62" s="145"/>
      <c r="G62" s="145"/>
      <c r="H62" s="144"/>
      <c r="I62" s="145"/>
      <c r="J62" s="145"/>
      <c r="K62" s="146"/>
      <c r="L62" s="146"/>
      <c r="M62" s="146"/>
      <c r="N62" s="141"/>
      <c r="O62" s="147"/>
      <c r="P62" s="148"/>
      <c r="Q62" s="149"/>
      <c r="R62" s="147"/>
      <c r="S62" s="150"/>
      <c r="T62" s="145"/>
      <c r="U62" s="145"/>
      <c r="V62" s="145"/>
      <c r="W62" s="145"/>
      <c r="X62" s="143"/>
      <c r="Y62" s="143"/>
      <c r="Z62" s="143"/>
      <c r="AA62" s="143"/>
      <c r="AB62" s="143"/>
      <c r="AC62" s="9"/>
      <c r="AD62" s="43"/>
      <c r="AE62" s="43"/>
      <c r="AF62" s="43"/>
      <c r="AG62" s="43"/>
      <c r="AI62" s="4"/>
      <c r="AJ62" s="44"/>
      <c r="AK62" s="45"/>
      <c r="AL62" s="46" t="s">
        <v>38</v>
      </c>
      <c r="AM62" s="4"/>
      <c r="AN62" s="45" t="str">
        <f ca="1">IF(RIGHT(_xll.SUBNM(Server&amp;"Period","",$F$18,""),3)="YTD","Yes","No")</f>
        <v>Yes</v>
      </c>
      <c r="AO62" s="4"/>
      <c r="AP62" s="4"/>
      <c r="AQ62" s="4"/>
      <c r="AR62" s="4"/>
      <c r="AS62" s="4"/>
      <c r="AT62" s="4"/>
      <c r="AU62" s="4"/>
      <c r="AV62" s="1"/>
    </row>
    <row r="63" spans="1:50" ht="23.25" hidden="1" x14ac:dyDescent="0.35">
      <c r="A63" s="43"/>
      <c r="B63" s="43"/>
      <c r="C63" s="107"/>
      <c r="D63" s="50"/>
      <c r="E63" s="95"/>
      <c r="F63" s="95"/>
      <c r="G63" s="95"/>
      <c r="H63" s="34"/>
      <c r="I63" s="96"/>
      <c r="J63" s="96"/>
      <c r="K63" s="96"/>
      <c r="L63" s="96"/>
      <c r="M63" s="96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43"/>
      <c r="AE63" s="43"/>
      <c r="AF63" s="43"/>
      <c r="AG63" s="43"/>
      <c r="AI63" s="44" t="s">
        <v>37</v>
      </c>
      <c r="AJ63" s="45" t="str">
        <f ca="1">$J$2</f>
        <v>2013</v>
      </c>
      <c r="AK63" s="19" t="str">
        <f ca="1">IF($AK$59="YES",$AJ$63&amp;".01",IF($AK$60="YES",$AJ$63&amp;".07",IF($AK$61="YES",$AJ$63&amp;".04",IF($AM$58="07",$AJ$63&amp;".02",IF($AM$58="08",$AJ$63&amp;".03",IF($AM$58="10",$AJ$63&amp;".05",$AJ$63&amp;".06"))))))</f>
        <v>2013.01</v>
      </c>
      <c r="AL63" s="43" t="str">
        <f ca="1">IF($AK$59="YES",$AJ$63&amp;".02",IF($AK$60="YES",$AJ$63&amp;".08",IF($AK$61="YES",$AJ$63&amp;".05",IF($AM$58="07",$AJ$63&amp;".03",IF($AM$58="08",$AJ$63&amp;".04",IF($AM$58="10",$AJ$63&amp;".06",$AJ$63&amp;".07"))))))</f>
        <v>2013.02</v>
      </c>
      <c r="AM63" s="43" t="str">
        <f ca="1">IF($AK$59="YES",$AJ$63&amp;".03",IF($AK$60="YES",$AJ$63&amp;".09",IF($AK$61="YES",$AJ$63&amp;".06",IF($AM$58="07",$AJ$63&amp;".04",IF($AM$58="08",$AJ$63&amp;".05",IF($AM$58="10",$AJ$63&amp;".07",$AJ$63&amp;".08"))))))</f>
        <v>2013.03</v>
      </c>
      <c r="AN63" s="43" t="str">
        <f ca="1">IF($AK$59="YES",$AJ$63&amp;".04",IF($AK$60="YES",$AJ$63&amp;".10",IF($AK$61="YES",$AJ$63&amp;".07",IF($AM$58="07",$AJ$63&amp;".05",IF($AM$58="08",$AJ$63&amp;".06",IF($AM$58="10",$AJ$63&amp;".08",$AJ$63&amp;".09"))))))</f>
        <v>2013.04</v>
      </c>
      <c r="AO63" s="43" t="str">
        <f ca="1">IF($AK$59="YES",$AJ$63&amp;".05",IF($AK$60="YES",$AJ$63&amp;".11",IF($AK$61="YES",$AJ$63&amp;".08",IF($AM$58="07",$AJ$63&amp;".06",IF($AM$58="08",$AJ$63&amp;".07",IF($AM$58="10",$AJ$63&amp;".09",$AJ$63&amp;".10"))))))</f>
        <v>2013.05</v>
      </c>
      <c r="AP63" s="43" t="str">
        <f ca="1">IF($AK$59="YES",$AJ$63&amp;".06",IF($AK$60="YES",$AJ$63&amp;".12",IF($AK$61="YES",$AJ$63&amp;".09",IF($AM$58="07",$AJ$63&amp;".07",IF($AM$58="08",$AJ$63&amp;".08",IF($AM$58="10",$AJ$63&amp;".10",$AJ$63&amp;".11"))))))</f>
        <v>2013.06</v>
      </c>
    </row>
    <row r="64" spans="1:50" ht="23.25" hidden="1" x14ac:dyDescent="0.35">
      <c r="A64" s="43"/>
      <c r="B64" s="43"/>
      <c r="C64" s="108"/>
      <c r="D64" s="50"/>
      <c r="E64" s="80"/>
      <c r="F64" s="80"/>
      <c r="G64" s="80"/>
      <c r="H64" s="34"/>
      <c r="I64" s="96"/>
      <c r="J64" s="96"/>
      <c r="K64" s="96"/>
      <c r="L64" s="96"/>
      <c r="M64" s="96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43"/>
      <c r="AE64" s="43"/>
      <c r="AF64" s="43"/>
      <c r="AG64" s="43"/>
      <c r="AH64" s="74"/>
      <c r="AK64" s="47" t="str">
        <f t="shared" ref="AK64:AP64" ca="1" si="5">IF($AN$62="No",AK$63,AK$63&amp;"_YTD")</f>
        <v>2013.01_YTD</v>
      </c>
      <c r="AL64" s="47" t="str">
        <f t="shared" ca="1" si="5"/>
        <v>2013.02_YTD</v>
      </c>
      <c r="AM64" s="47" t="str">
        <f t="shared" ca="1" si="5"/>
        <v>2013.03_YTD</v>
      </c>
      <c r="AN64" s="47" t="str">
        <f t="shared" ca="1" si="5"/>
        <v>2013.04_YTD</v>
      </c>
      <c r="AO64" s="47" t="str">
        <f t="shared" ca="1" si="5"/>
        <v>2013.05_YTD</v>
      </c>
      <c r="AP64" s="47" t="str">
        <f t="shared" ca="1" si="5"/>
        <v>2013.06_YTD</v>
      </c>
      <c r="AQ64" s="4"/>
      <c r="AR64" s="4"/>
      <c r="AS64" s="4"/>
      <c r="AT64" s="4"/>
      <c r="AU64" s="4"/>
      <c r="AV64" s="1"/>
      <c r="AW64" s="43"/>
      <c r="AX64" s="43"/>
    </row>
    <row r="65" spans="1:50" ht="15.75" x14ac:dyDescent="0.25">
      <c r="A65" s="43"/>
      <c r="B65" s="43"/>
      <c r="C65" s="108"/>
      <c r="D65" s="47"/>
      <c r="E65" s="117"/>
      <c r="F65" s="117"/>
      <c r="G65" s="53"/>
      <c r="H65" s="53"/>
      <c r="I65" s="53"/>
      <c r="J65" s="53"/>
      <c r="K65" s="118"/>
      <c r="L65" s="118"/>
      <c r="M65" s="118"/>
      <c r="N65" s="119"/>
      <c r="O65" s="119"/>
      <c r="P65" s="119"/>
      <c r="Q65" s="119"/>
      <c r="R65" s="119"/>
      <c r="S65" s="53"/>
      <c r="T65" s="53"/>
      <c r="U65" s="53"/>
      <c r="V65" s="53"/>
      <c r="W65" s="53"/>
      <c r="X65" s="118"/>
      <c r="Y65" s="118"/>
      <c r="Z65" s="118"/>
      <c r="AA65" s="118"/>
      <c r="AB65" s="118"/>
      <c r="AC65" s="118"/>
      <c r="AD65" s="43"/>
      <c r="AE65" s="43"/>
      <c r="AF65" s="43"/>
      <c r="AG65" s="43"/>
      <c r="AI65" s="125" t="str">
        <f ca="1">IF($AN$62="No",_xll.DBRA(Server&amp;$C$24,$AJ65,$F$16),_xll.DBRA(Server&amp;$C$24,$AJ65,$F$16)&amp; " ("&amp;_xll.DBRA(Server&amp;$AM$12,$AM$38,$AM$11)&amp;")")</f>
        <v>PRODUIT DES ACTIVITES ORDINAIRES (Cumulé)</v>
      </c>
      <c r="AJ65" s="124" t="s">
        <v>36</v>
      </c>
      <c r="AK65" s="129" t="str">
        <f ca="1">IF($AK$59="YES",_xll.DBRA(Server&amp;$AM$12,$AM$39,$AM$11),IF($AK$60="YES",_xll.DBRA(Server&amp;$AM$12,$AM$45,$AM$11),IF($AK$61="YES",_xll.DBRA(Server&amp;$AM$12,$AM$42,$AM$11),IF($AM$58="07",_xll.DBRA(Server&amp;$AM$12,$AM$40,$AM$11),IF($AM$58="08",_xll.DBRA(Server&amp;$AM$12,$AM$41,$AM$11),IF($AM$58="10",_xll.DBRA(Server&amp;$AM$12,$AM$43,$AM$11),_xll.DBRA(Server&amp;$AM$12,$AM$44,$AM$11)))))))</f>
        <v>Jan</v>
      </c>
      <c r="AL65" s="129" t="str">
        <f ca="1">IF($AK$59="YES",_xll.DBRA(Server&amp;$AM$12,$AM$40,$AM$11),IF($AK$60="YES",_xll.DBRA(Server&amp;$AM$12,$AM$46,$AM$11),IF($AK$61="YES",_xll.DBRA(Server&amp;$AM$12,$AM$43,$AM$11),IF($AM$58="07",_xll.DBRA(Server&amp;$AM$12,$AM$41,$AM$11),IF($AM$58="08",_xll.DBRA(Server&amp;$AM$12,$AM$42,$AM$11),IF($AM$58="10",_xll.DBRA(Server&amp;$AM$12,$AM$44,$AM$11),_xll.DBRA(Server&amp;$AM$12,$AM$45,$AM$11)))))))</f>
        <v>Fév</v>
      </c>
      <c r="AM65" s="129" t="str">
        <f ca="1">IF($AK$59="YES",_xll.DBRA(Server&amp;$AM$12,$AM$41,$AM$11),IF($AK$60="YES",_xll.DBRA(Server&amp;$AM$12,$AM$47,$AM$11),IF($AK$61="YES",_xll.DBRA(Server&amp;$AM$12,$AM$44,$AM$11),IF($AM$58="07",_xll.DBRA(Server&amp;$AM$12,$AM$42,$AM$11),IF($AM$58="08",_xll.DBRA(Server&amp;$AM$12,$AM$43,$AM$11),IF($AM$58="10",_xll.DBRA(Server&amp;$AM$12,$AM$45,$AM$11),_xll.DBRA(Server&amp;$AM$12,$AM$46,$AM$11)))))))</f>
        <v>Mars</v>
      </c>
      <c r="AN65" s="129" t="str">
        <f ca="1">IF($AK$59="YES",_xll.DBRA(Server&amp;$AM$12,$AM$42,$AM$11),IF($AK$60="YES",_xll.DBRA(Server&amp;$AM$12,$AM$48,$AM$11),IF($AK$61="YES",_xll.DBRA(Server&amp;$AM$12,$AM$45,$AM$11),IF($AM$58="07",_xll.DBRA(Server&amp;$AM$12,$AM$43,$AM$11),IF($AM$58="08",_xll.DBRA(Server&amp;$AM$12,$AM$44,$AM$11),IF($AM$58="10",_xll.DBRA(Server&amp;$AM$12,$AM$46,$AM$11),_xll.DBRA(Server&amp;$AM$12,$AM$47,$AM$11)))))))</f>
        <v>Avril</v>
      </c>
      <c r="AO65" s="129" t="str">
        <f ca="1">IF($AK$59="YES",_xll.DBRA(Server&amp;$AM$12,$AM$43,$AM$11),IF($AK$60="YES",_xll.DBRA(Server&amp;$AM$12,$AM$49,$AM$11),IF($AK$61="YES",_xll.DBRA(Server&amp;$AM$12,$AM$46,$AM$11),IF($AM$58="07",_xll.DBRA(Server&amp;$AM$12,$AM$44,$AM$11),IF($AM$58="08",_xll.DBRA(Server&amp;$AM$12,$AM$45,$AM$11),IF($AM$58="10",_xll.DBRA(Server&amp;$AM$12,$AM$47,$AM$11),_xll.DBRA(Server&amp;$AM$12,$AM$48,$AM$11)))))))</f>
        <v>Mai</v>
      </c>
      <c r="AP65" s="129" t="str">
        <f ca="1">IF($AK$59="YES",_xll.DBRA(Server&amp;$AM$12,$AM$44,$AM$11),IF($AK$60="YES",$AM$50,IF($AK$61="YES",_xll.DBRA(Server&amp;$AM$12,$AM$47,$AM$11),IF($AM$58="07",_xll.DBRA(Server&amp;$AM$12,$AM$45,$AM$11),IF($AM$58="08",_xll.DBRA(Server&amp;$AM$12,$AM$46,$AM$11),IF($AM$58="10",_xll.DBRA(Server&amp;$AM$12,$AM$48,$AM$11),_xll.DBRA(Server&amp;$AM$12,$AM$49,$AM$11)))))))</f>
        <v>Juin</v>
      </c>
      <c r="AQ65" s="43"/>
      <c r="AR65" s="43"/>
      <c r="AS65" s="43"/>
      <c r="AT65" s="43"/>
      <c r="AU65" s="43"/>
      <c r="AV65" s="43"/>
      <c r="AW65" s="43"/>
    </row>
    <row r="66" spans="1:50" ht="15.75" x14ac:dyDescent="0.25">
      <c r="A66" s="43"/>
      <c r="B66" s="43"/>
      <c r="C66" s="108"/>
      <c r="D66" s="47"/>
      <c r="E66" s="53"/>
      <c r="F66" s="53"/>
      <c r="G66" s="53"/>
      <c r="H66" s="53"/>
      <c r="I66" s="53"/>
      <c r="J66" s="53"/>
      <c r="K66" s="118"/>
      <c r="L66" s="118"/>
      <c r="M66" s="118"/>
      <c r="N66" s="119"/>
      <c r="O66" s="119"/>
      <c r="P66" s="119"/>
      <c r="Q66" s="119"/>
      <c r="R66" s="119"/>
      <c r="S66" s="53"/>
      <c r="T66" s="53"/>
      <c r="U66" s="53"/>
      <c r="V66" s="53"/>
      <c r="W66" s="53"/>
      <c r="X66" s="118"/>
      <c r="Y66" s="118"/>
      <c r="Z66" s="118"/>
      <c r="AA66" s="118"/>
      <c r="AB66" s="118"/>
      <c r="AC66" s="118"/>
      <c r="AD66" s="43"/>
      <c r="AE66" s="43"/>
      <c r="AF66" s="43"/>
      <c r="AG66" s="43"/>
      <c r="AH66" s="43"/>
      <c r="AI66" s="44" t="str">
        <f ca="1">_xll.DBRA(Server&amp;$G$1,$AJ$66,$AM$11)</f>
        <v>Réalisé</v>
      </c>
      <c r="AJ66" s="2" t="str">
        <f>$J$1</f>
        <v>ACT_TOT</v>
      </c>
      <c r="AK66" s="132">
        <f ca="1">IF(AK$91="yes",#N/A,_xll.DBRW(Server&amp;Cube1,$F$21,$F$14,$F$15,$F$20,$C$14,$F$17,$F$19,$C$15,AK$64,$AJ66,$AJ$65))</f>
        <v>3.0000000000000001E-5</v>
      </c>
      <c r="AL66" s="132">
        <f ca="1">IF(AL$91="yes",#N/A,_xll.DBRW(Server&amp;Cube1,$F$21,$F$14,$F$15,$F$20,$C$14,$F$17,$F$19,$C$15,AL$64,$AJ66,$AJ$65))</f>
        <v>3288.1040499999999</v>
      </c>
      <c r="AM66" s="132">
        <f ca="1">IF(AM$91="yes",#N/A,_xll.DBRW(Server&amp;Cube1,$F$21,$F$14,$F$15,$F$20,$C$14,$F$17,$F$19,$C$15,AM$64,$AJ66,$AJ$65))</f>
        <v>3288.1040499999999</v>
      </c>
      <c r="AN66" s="132" t="e">
        <f ca="1">IF(AN$91="yes",#N/A,_xll.DBRW(Server&amp;Cube1,$F$21,$F$14,$F$15,$F$20,$C$14,$F$17,$F$19,$C$15,AN$64,$AJ66,$AJ$65))</f>
        <v>#N/A</v>
      </c>
      <c r="AO66" s="132" t="e">
        <f ca="1">IF(AO$91="yes",#N/A,_xll.DBRW(Server&amp;Cube1,$F$21,$F$14,$F$15,$F$20,$C$14,$F$17,$F$19,$C$15,AO$64,$AJ66,$AJ$65))</f>
        <v>#N/A</v>
      </c>
      <c r="AP66" s="132" t="e">
        <f ca="1">IF(AP$91="yes",#N/A,_xll.DBRW(Server&amp;Cube1,$F$21,$F$14,$F$15,$F$20,$C$14,$F$17,$F$19,$C$15,AP$64,$AJ66,$AJ$65))</f>
        <v>#N/A</v>
      </c>
      <c r="AQ66" s="4"/>
      <c r="AR66" s="4"/>
      <c r="AS66" s="4"/>
      <c r="AT66" s="4"/>
      <c r="AU66" s="4"/>
      <c r="AV66" s="1"/>
      <c r="AW66" s="43"/>
      <c r="AX66" s="43"/>
    </row>
    <row r="67" spans="1:50" ht="15.75" x14ac:dyDescent="0.25">
      <c r="A67" s="43"/>
      <c r="B67" s="43"/>
      <c r="C67" s="108"/>
      <c r="D67" s="47"/>
      <c r="E67" s="54"/>
      <c r="F67" s="54"/>
      <c r="G67" s="54"/>
      <c r="H67" s="54"/>
      <c r="I67" s="54"/>
      <c r="J67" s="54"/>
      <c r="K67" s="120"/>
      <c r="L67" s="120"/>
      <c r="M67" s="120"/>
      <c r="N67" s="121"/>
      <c r="O67" s="121"/>
      <c r="P67" s="121"/>
      <c r="Q67" s="121"/>
      <c r="R67" s="121"/>
      <c r="S67" s="54"/>
      <c r="T67" s="54"/>
      <c r="U67" s="54"/>
      <c r="V67" s="54"/>
      <c r="W67" s="54"/>
      <c r="X67" s="120"/>
      <c r="Y67" s="120"/>
      <c r="Z67" s="120"/>
      <c r="AA67" s="120"/>
      <c r="AB67" s="120"/>
      <c r="AC67" s="120"/>
      <c r="AD67" s="43"/>
      <c r="AE67" s="43"/>
      <c r="AF67" s="43"/>
      <c r="AG67" s="43"/>
      <c r="AH67" s="43"/>
      <c r="AI67" s="44" t="str">
        <f ca="1">_xll.DBRA(Server&amp;$G$1,$AJ$67,$AM$11)</f>
        <v>Budget</v>
      </c>
      <c r="AJ67" s="2" t="str">
        <f>$K$1</f>
        <v>BUDG_TOT</v>
      </c>
      <c r="AK67" s="132">
        <f ca="1">_xll.DBRW(Server&amp;Cube1,$F$21,$F$14,$F$15,$F$20,$C$14,$F$17,$F$19,$C$15,AK$64,$AJ67,$AJ$65)</f>
        <v>1406.039833333333</v>
      </c>
      <c r="AL67" s="132">
        <f ca="1">_xll.DBRW(Server&amp;Cube1,$F$21,$F$14,$F$15,$F$20,$C$14,$F$17,$F$19,$C$15,AL$64,$AJ67,$AJ$65)</f>
        <v>2812.0796666666661</v>
      </c>
      <c r="AM67" s="132">
        <f ca="1">_xll.DBRW(Server&amp;Cube1,$F$21,$F$14,$F$15,$F$20,$C$14,$F$17,$F$19,$C$15,AM$64,$AJ67,$AJ$65)</f>
        <v>4218.1194999999998</v>
      </c>
      <c r="AN67" s="132">
        <f ca="1">_xll.DBRW(Server&amp;Cube1,$F$21,$F$14,$F$15,$F$20,$C$14,$F$17,$F$19,$C$15,AN$64,$AJ67,$AJ$65)</f>
        <v>5624.1593333333321</v>
      </c>
      <c r="AO67" s="132">
        <f ca="1">_xll.DBRW(Server&amp;Cube1,$F$21,$F$14,$F$15,$F$20,$C$14,$F$17,$F$19,$C$15,AO$64,$AJ67,$AJ$65)</f>
        <v>7030.1991666666681</v>
      </c>
      <c r="AP67" s="132">
        <f ca="1">_xll.DBRW(Server&amp;Cube1,$F$21,$F$14,$F$15,$F$20,$C$14,$F$17,$F$19,$C$15,AP$64,$AJ67,$AJ$65)</f>
        <v>11076.7945</v>
      </c>
      <c r="AQ67" s="43"/>
      <c r="AR67" s="43"/>
      <c r="AS67" s="43"/>
      <c r="AT67" s="43"/>
      <c r="AU67" s="43"/>
      <c r="AV67" s="43"/>
      <c r="AW67" s="43"/>
      <c r="AX67" s="43"/>
    </row>
    <row r="68" spans="1:50" ht="15.75" x14ac:dyDescent="0.25">
      <c r="A68" s="43"/>
      <c r="B68" s="43"/>
      <c r="C68" s="108"/>
      <c r="D68" s="47"/>
      <c r="E68" s="122"/>
      <c r="F68" s="122"/>
      <c r="G68" s="54"/>
      <c r="H68" s="54"/>
      <c r="I68" s="54"/>
      <c r="J68" s="54"/>
      <c r="K68" s="120"/>
      <c r="L68" s="120"/>
      <c r="M68" s="120"/>
      <c r="N68" s="121"/>
      <c r="O68" s="121"/>
      <c r="P68" s="121"/>
      <c r="Q68" s="121"/>
      <c r="R68" s="121"/>
      <c r="S68" s="54"/>
      <c r="T68" s="54"/>
      <c r="U68" s="54"/>
      <c r="V68" s="54"/>
      <c r="W68" s="54"/>
      <c r="X68" s="120"/>
      <c r="Y68" s="120"/>
      <c r="Z68" s="120"/>
      <c r="AA68" s="120"/>
      <c r="AB68" s="120"/>
      <c r="AC68" s="120"/>
      <c r="AD68" s="43"/>
      <c r="AF68" s="43"/>
      <c r="AG68" s="43"/>
      <c r="AI68" s="44" t="str">
        <f ca="1">_xll.DBRA(Server&amp;$G$1,$AJ68,$AM$11)</f>
        <v>Estimé 1</v>
      </c>
      <c r="AJ68" s="2" t="str">
        <f>$L$1</f>
        <v>FC_1_TOT</v>
      </c>
      <c r="AK68" s="132" t="e">
        <f ca="1">IF($F$6="Budget",#N/A,_xll.DBRW(Server&amp;Cube1,$F$21,$F$14,$F$15,$F$20,$C$14,$F$17,$F$19,$C$15,AK$64,$AJ68,$AJ$65))</f>
        <v>#N/A</v>
      </c>
      <c r="AL68" s="132" t="e">
        <f ca="1">IF($F$6="Budget",#N/A,_xll.DBRW(Server&amp;Cube1,$F$21,$F$14,$F$15,$F$20,$C$14,$F$17,$F$19,$C$15,AL$64,$AJ68,$AJ$65))</f>
        <v>#N/A</v>
      </c>
      <c r="AM68" s="132" t="e">
        <f ca="1">IF($F$6="Budget",#N/A,_xll.DBRW(Server&amp;Cube1,$F$21,$F$14,$F$15,$F$20,$C$14,$F$17,$F$19,$C$15,AM$64,$AJ68,$AJ$65))</f>
        <v>#N/A</v>
      </c>
      <c r="AN68" s="132" t="e">
        <f ca="1">IF($F$6="Budget",#N/A,_xll.DBRW(Server&amp;Cube1,$F$21,$F$14,$F$15,$F$20,$C$14,$F$17,$F$19,$C$15,AN$64,$AJ68,$AJ$65))</f>
        <v>#N/A</v>
      </c>
      <c r="AO68" s="132" t="e">
        <f ca="1">IF($F$6="Budget",#N/A,_xll.DBRW(Server&amp;Cube1,$F$21,$F$14,$F$15,$F$20,$C$14,$F$17,$F$19,$C$15,AO$64,$AJ68,$AJ$65))</f>
        <v>#N/A</v>
      </c>
      <c r="AP68" s="132" t="e">
        <f ca="1">IF($F$6="Budget",#N/A,_xll.DBRW(Server&amp;Cube1,$F$21,$F$14,$F$15,$F$20,$C$14,$F$17,$F$19,$C$15,AP$64,$AJ68,$AJ$65))</f>
        <v>#N/A</v>
      </c>
      <c r="AQ68" s="4"/>
      <c r="AR68" s="4"/>
      <c r="AS68" s="4"/>
      <c r="AT68" s="4"/>
      <c r="AU68" s="4"/>
      <c r="AV68" s="1"/>
      <c r="AW68" s="43"/>
    </row>
    <row r="69" spans="1:50" ht="15.75" x14ac:dyDescent="0.25">
      <c r="A69" s="43"/>
      <c r="B69" s="43"/>
      <c r="C69" s="108"/>
      <c r="D69" s="47"/>
      <c r="E69" s="117"/>
      <c r="F69" s="117"/>
      <c r="G69" s="53"/>
      <c r="H69" s="53"/>
      <c r="I69" s="53"/>
      <c r="J69" s="53"/>
      <c r="K69" s="118"/>
      <c r="L69" s="118"/>
      <c r="M69" s="118"/>
      <c r="N69" s="119"/>
      <c r="O69" s="119"/>
      <c r="P69" s="119"/>
      <c r="Q69" s="119"/>
      <c r="R69" s="119"/>
      <c r="S69" s="53"/>
      <c r="T69" s="53"/>
      <c r="U69" s="53"/>
      <c r="V69" s="53"/>
      <c r="W69" s="53"/>
      <c r="X69" s="118"/>
      <c r="Y69" s="118"/>
      <c r="Z69" s="118"/>
      <c r="AA69" s="118"/>
      <c r="AB69" s="118"/>
      <c r="AC69" s="118"/>
      <c r="AD69" s="43"/>
      <c r="AF69" s="43"/>
      <c r="AG69" s="43"/>
      <c r="AI69" s="44" t="str">
        <f ca="1">_xll.DBRA(Server&amp;$G$1,$AJ69,$AM$11)</f>
        <v>Estimé 2</v>
      </c>
      <c r="AJ69" s="48" t="str">
        <f>$M$1</f>
        <v>FC_2_TOT</v>
      </c>
      <c r="AK69" s="132" t="e">
        <f ca="1">IF(OR($F$6="Forecast_1",$F$6="Budget"),#N/A,_xll.DBRW(Server&amp;Cube1,$F$21,$F$14,$F$15,$F$20,$C$14,$F$17,$F$19,$C$15,AK$64,$AJ69,$AJ$65))</f>
        <v>#N/A</v>
      </c>
      <c r="AL69" s="132" t="e">
        <f ca="1">IF(OR($F$6="Forecast_1",$F$6="Budget"),#N/A,_xll.DBRW(Server&amp;Cube1,$F$21,$F$14,$F$15,$F$20,$C$14,$F$17,$F$19,$C$15,AL$64,$AJ69,$AJ$65))</f>
        <v>#N/A</v>
      </c>
      <c r="AM69" s="132" t="e">
        <f ca="1">IF(OR($F$6="Forecast_1",$F$6="Budget"),#N/A,_xll.DBRW(Server&amp;Cube1,$F$21,$F$14,$F$15,$F$20,$C$14,$F$17,$F$19,$C$15,AM$64,$AJ69,$AJ$65))</f>
        <v>#N/A</v>
      </c>
      <c r="AN69" s="132" t="e">
        <f ca="1">IF(OR($F$6="Forecast_1",$F$6="Budget"),#N/A,_xll.DBRW(Server&amp;Cube1,$F$21,$F$14,$F$15,$F$20,$C$14,$F$17,$F$19,$C$15,AN$64,$AJ69,$AJ$65))</f>
        <v>#N/A</v>
      </c>
      <c r="AO69" s="132" t="e">
        <f ca="1">IF(OR($F$6="Forecast_1",$F$6="Budget"),#N/A,_xll.DBRW(Server&amp;Cube1,$F$21,$F$14,$F$15,$F$20,$C$14,$F$17,$F$19,$C$15,AO$64,$AJ69,$AJ$65))</f>
        <v>#N/A</v>
      </c>
      <c r="AP69" s="132" t="e">
        <f ca="1">IF(OR($F$6="Forecast_1",$F$6="Budget"),#N/A,_xll.DBRW(Server&amp;Cube1,$F$21,$F$14,$F$15,$F$20,$C$14,$F$17,$F$19,$C$15,AP$64,$AJ69,$AJ$65))</f>
        <v>#N/A</v>
      </c>
      <c r="AQ69" s="43"/>
      <c r="AR69" s="43"/>
      <c r="AS69" s="43"/>
      <c r="AT69" s="43"/>
      <c r="AU69" s="43"/>
      <c r="AV69" s="43"/>
      <c r="AW69" s="43"/>
    </row>
    <row r="70" spans="1:50" ht="15" x14ac:dyDescent="0.25">
      <c r="A70" s="43"/>
      <c r="B70" s="43"/>
      <c r="C70" s="108"/>
      <c r="D70" s="47"/>
      <c r="E70" s="117"/>
      <c r="F70" s="117"/>
      <c r="G70" s="53"/>
      <c r="H70" s="53"/>
      <c r="I70" s="53"/>
      <c r="J70" s="53"/>
      <c r="K70" s="118"/>
      <c r="L70" s="118"/>
      <c r="M70" s="118"/>
      <c r="N70" s="119"/>
      <c r="O70" s="119"/>
      <c r="P70" s="119"/>
      <c r="Q70" s="119"/>
      <c r="R70" s="119"/>
      <c r="S70" s="53"/>
      <c r="T70" s="53"/>
      <c r="U70" s="53"/>
      <c r="V70" s="53"/>
      <c r="W70" s="53"/>
      <c r="X70" s="118"/>
      <c r="Y70" s="118"/>
      <c r="Z70" s="118"/>
      <c r="AA70" s="118"/>
      <c r="AB70" s="118"/>
      <c r="AC70" s="118"/>
      <c r="AD70" s="43"/>
      <c r="AE70" s="43"/>
      <c r="AF70" s="43"/>
      <c r="AG70" s="43"/>
      <c r="AH70" s="74"/>
      <c r="AQ70" s="4"/>
      <c r="AR70" s="4"/>
      <c r="AS70" s="4"/>
      <c r="AT70" s="4"/>
      <c r="AU70" s="4"/>
      <c r="AV70" s="1"/>
      <c r="AW70" s="43"/>
      <c r="AX70" s="43"/>
    </row>
    <row r="71" spans="1:50" ht="15.75" x14ac:dyDescent="0.25">
      <c r="A71" s="43"/>
      <c r="B71" s="43"/>
      <c r="C71" s="108"/>
      <c r="D71" s="47"/>
      <c r="E71" s="117"/>
      <c r="F71" s="117"/>
      <c r="G71" s="53"/>
      <c r="H71" s="53"/>
      <c r="I71" s="53"/>
      <c r="J71" s="53"/>
      <c r="K71" s="118"/>
      <c r="L71" s="118"/>
      <c r="M71" s="118"/>
      <c r="N71" s="119"/>
      <c r="O71" s="119"/>
      <c r="P71" s="119"/>
      <c r="Q71" s="119"/>
      <c r="R71" s="119"/>
      <c r="S71" s="53"/>
      <c r="T71" s="53"/>
      <c r="U71" s="53"/>
      <c r="V71" s="53"/>
      <c r="W71" s="53"/>
      <c r="X71" s="118"/>
      <c r="Y71" s="118"/>
      <c r="Z71" s="118"/>
      <c r="AA71" s="118"/>
      <c r="AB71" s="118"/>
      <c r="AC71" s="118"/>
      <c r="AD71" s="43"/>
      <c r="AE71" s="43"/>
      <c r="AF71" s="43"/>
      <c r="AG71" s="43"/>
      <c r="AH71" s="74"/>
      <c r="AI71" s="125" t="str">
        <f ca="1">IF($AN$62="No",_xll.DBRA(Server&amp;$C$24,$AJ71,$F$16),_xll.DBRA(Server&amp;$C$24,$AJ71,$F$16)&amp; " ("&amp;_xll.DBRA(Server&amp;$AM$12,$AM$38,$AM$11)&amp;")")</f>
        <v>RESULTAT OPERATIONNEL APRES MF (Cumulé)</v>
      </c>
      <c r="AJ71" s="124" t="s">
        <v>99</v>
      </c>
      <c r="AK71" s="133"/>
      <c r="AL71" s="133"/>
      <c r="AM71" s="133"/>
      <c r="AN71" s="133"/>
      <c r="AO71" s="133"/>
      <c r="AP71" s="133"/>
      <c r="AQ71" s="43"/>
      <c r="AR71" s="43"/>
      <c r="AS71" s="43"/>
      <c r="AT71" s="43"/>
      <c r="AU71" s="43"/>
      <c r="AV71" s="43"/>
      <c r="AW71" s="43"/>
    </row>
    <row r="72" spans="1:50" ht="15.75" x14ac:dyDescent="0.25">
      <c r="A72" s="43"/>
      <c r="B72" s="43"/>
      <c r="C72" s="108"/>
      <c r="D72" s="47"/>
      <c r="E72" s="117"/>
      <c r="F72" s="117"/>
      <c r="G72" s="53"/>
      <c r="H72" s="53"/>
      <c r="I72" s="53"/>
      <c r="J72" s="53"/>
      <c r="K72" s="118"/>
      <c r="L72" s="118"/>
      <c r="M72" s="118"/>
      <c r="N72" s="119"/>
      <c r="O72" s="119"/>
      <c r="P72" s="119"/>
      <c r="Q72" s="119"/>
      <c r="R72" s="119"/>
      <c r="S72" s="53"/>
      <c r="T72" s="53"/>
      <c r="U72" s="53"/>
      <c r="V72" s="53"/>
      <c r="W72" s="53"/>
      <c r="X72" s="118"/>
      <c r="Y72" s="118"/>
      <c r="Z72" s="118"/>
      <c r="AA72" s="118"/>
      <c r="AB72" s="118"/>
      <c r="AC72" s="118"/>
      <c r="AD72" s="43"/>
      <c r="AE72" s="43"/>
      <c r="AF72" s="43"/>
      <c r="AG72" s="43"/>
      <c r="AI72" s="44" t="str">
        <f ca="1">_xll.DBRA(Server&amp;$G$1,$AJ72,$AM$11)</f>
        <v>Réalisé</v>
      </c>
      <c r="AJ72" s="2" t="str">
        <f>$J$1</f>
        <v>ACT_TOT</v>
      </c>
      <c r="AK72" s="132">
        <f ca="1">IF(AK$91="yes",#N/A,_xll.DBRW(Server&amp;Cube1,$F$21,$F$14,$F$15,$F$20,$C$14,$F$17,$F$19,$C$15,AK$64,$AJ72,$AJ$71))</f>
        <v>-6883.8558199999961</v>
      </c>
      <c r="AL72" s="132">
        <f ca="1">IF(AL$91="yes",#N/A,_xll.DBRW(Server&amp;Cube1,$F$21,$F$14,$F$15,$F$20,$C$14,$F$17,$F$19,$C$15,AL$64,$AJ72,$AJ$71))</f>
        <v>1244.8271700000021</v>
      </c>
      <c r="AM72" s="132">
        <f ca="1">IF(AM$91="yes",#N/A,_xll.DBRW(Server&amp;Cube1,$F$21,$F$14,$F$15,$F$20,$C$14,$F$17,$F$19,$C$15,AM$64,$AJ72,$AJ$71))</f>
        <v>1244.8271700000023</v>
      </c>
      <c r="AN72" s="132" t="e">
        <f ca="1">IF(AN$91="yes",#N/A,_xll.DBRW(Server&amp;Cube1,$F$21,$F$14,$F$15,$F$20,$C$14,$F$17,$F$19,$C$15,AN$64,$AJ72,$AJ$71))</f>
        <v>#N/A</v>
      </c>
      <c r="AO72" s="132" t="e">
        <f ca="1">IF(AO$91="yes",#N/A,_xll.DBRW(Server&amp;Cube1,$F$21,$F$14,$F$15,$F$20,$C$14,$F$17,$F$19,$C$15,AO$64,$AJ72,$AJ$71))</f>
        <v>#N/A</v>
      </c>
      <c r="AP72" s="132" t="e">
        <f ca="1">IF(AP$91="yes",#N/A,_xll.DBRW(Server&amp;Cube1,$F$21,$F$14,$F$15,$F$20,$C$14,$F$17,$F$19,$C$15,AP$64,$AJ72,$AJ$71))</f>
        <v>#N/A</v>
      </c>
      <c r="AQ72" s="4"/>
      <c r="AR72" s="4"/>
      <c r="AS72" s="4"/>
      <c r="AT72" s="4"/>
      <c r="AU72" s="4"/>
      <c r="AV72" s="1"/>
      <c r="AW72" s="43"/>
    </row>
    <row r="73" spans="1:50" ht="15.75" x14ac:dyDescent="0.25">
      <c r="A73" s="43"/>
      <c r="B73" s="43"/>
      <c r="C73" s="108"/>
      <c r="D73" s="47"/>
      <c r="E73" s="117"/>
      <c r="F73" s="117"/>
      <c r="G73" s="53"/>
      <c r="H73" s="53"/>
      <c r="I73" s="53"/>
      <c r="J73" s="53"/>
      <c r="K73" s="118"/>
      <c r="L73" s="118"/>
      <c r="M73" s="118"/>
      <c r="N73" s="119"/>
      <c r="O73" s="119"/>
      <c r="P73" s="119"/>
      <c r="Q73" s="119"/>
      <c r="R73" s="119"/>
      <c r="S73" s="53"/>
      <c r="T73" s="53"/>
      <c r="U73" s="53"/>
      <c r="V73" s="53"/>
      <c r="W73" s="53"/>
      <c r="X73" s="118"/>
      <c r="Y73" s="118"/>
      <c r="Z73" s="118"/>
      <c r="AA73" s="118"/>
      <c r="AB73" s="118"/>
      <c r="AC73" s="118"/>
      <c r="AD73" s="43"/>
      <c r="AE73" s="43"/>
      <c r="AF73" s="43"/>
      <c r="AG73" s="43"/>
      <c r="AI73" s="44" t="str">
        <f ca="1">_xll.DBRA(Server&amp;$G$1,$AJ73,$AM$11)</f>
        <v>Budget</v>
      </c>
      <c r="AJ73" s="2" t="str">
        <f>$K$1</f>
        <v>BUDG_TOT</v>
      </c>
      <c r="AK73" s="132">
        <f ca="1">_xll.DBRW(Server&amp;Cube1,$F$21,$F$14,$F$15,$F$20,$C$14,$F$17,$F$19,$C$15,AK$64,$AJ73,$AJ$71)</f>
        <v>-188.30404166666767</v>
      </c>
      <c r="AL73" s="132">
        <f ca="1">_xll.DBRW(Server&amp;Cube1,$F$21,$F$14,$F$15,$F$20,$C$14,$F$17,$F$19,$C$15,AL$64,$AJ73,$AJ$71)</f>
        <v>-376.60808333333534</v>
      </c>
      <c r="AM73" s="132">
        <f ca="1">_xll.DBRW(Server&amp;Cube1,$F$21,$F$14,$F$15,$F$20,$C$14,$F$17,$F$19,$C$15,AM$64,$AJ73,$AJ$71)</f>
        <v>-564.91212500000029</v>
      </c>
      <c r="AN73" s="132">
        <f ca="1">_xll.DBRW(Server&amp;Cube1,$F$21,$F$14,$F$15,$F$20,$C$14,$F$17,$F$19,$C$15,AN$64,$AJ73,$AJ$71)</f>
        <v>-438.75350000000373</v>
      </c>
      <c r="AO73" s="132">
        <f ca="1">_xll.DBRW(Server&amp;Cube1,$F$21,$F$14,$F$15,$F$20,$C$14,$F$17,$F$19,$C$15,AO$64,$AJ73,$AJ$71)</f>
        <v>-420.35833333333329</v>
      </c>
      <c r="AP73" s="132">
        <f ca="1">_xll.DBRW(Server&amp;Cube1,$F$21,$F$14,$F$15,$F$20,$C$14,$F$17,$F$19,$C$15,AP$64,$AJ73,$AJ$71)</f>
        <v>-8796.4076666666679</v>
      </c>
      <c r="AQ73" s="43"/>
      <c r="AR73" s="43"/>
      <c r="AS73" s="43"/>
      <c r="AT73" s="43"/>
      <c r="AU73" s="43"/>
      <c r="AV73" s="43"/>
      <c r="AW73" s="43"/>
    </row>
    <row r="74" spans="1:50" ht="15.75" x14ac:dyDescent="0.25">
      <c r="A74" s="43"/>
      <c r="B74" s="43"/>
      <c r="C74" s="108"/>
      <c r="D74" s="47"/>
      <c r="E74" s="117"/>
      <c r="F74" s="117"/>
      <c r="G74" s="53"/>
      <c r="H74" s="53"/>
      <c r="I74" s="53"/>
      <c r="J74" s="53"/>
      <c r="K74" s="118"/>
      <c r="L74" s="118"/>
      <c r="M74" s="118"/>
      <c r="N74" s="119"/>
      <c r="O74" s="119"/>
      <c r="P74" s="119"/>
      <c r="Q74" s="119"/>
      <c r="R74" s="119"/>
      <c r="S74" s="53"/>
      <c r="T74" s="53"/>
      <c r="U74" s="53"/>
      <c r="V74" s="53"/>
      <c r="W74" s="53"/>
      <c r="X74" s="118"/>
      <c r="Y74" s="118"/>
      <c r="Z74" s="118"/>
      <c r="AA74" s="118"/>
      <c r="AB74" s="118"/>
      <c r="AC74" s="118"/>
      <c r="AD74" s="43"/>
      <c r="AE74" s="43"/>
      <c r="AF74" s="43"/>
      <c r="AG74" s="43"/>
      <c r="AI74" s="44" t="str">
        <f ca="1">_xll.DBRA(Server&amp;$G$1,$AJ74,$AM$11)</f>
        <v>Estimé 1</v>
      </c>
      <c r="AJ74" s="2" t="str">
        <f>$L$1</f>
        <v>FC_1_TOT</v>
      </c>
      <c r="AK74" s="132" t="e">
        <f ca="1">IF($F$6="Budget",#N/A,_xll.DBRW(Server&amp;Cube1,$F$21,$F$14,$F$15,$F$20,$C$14,$F$17,$F$19,$C$15,AK$64,$AJ74,$AJ$71))</f>
        <v>#N/A</v>
      </c>
      <c r="AL74" s="132" t="e">
        <f ca="1">IF($F$6="Budget",#N/A,_xll.DBRW(Server&amp;Cube1,$F$21,$F$14,$F$15,$F$20,$C$14,$F$17,$F$19,$C$15,AL$64,$AJ74,$AJ$71))</f>
        <v>#N/A</v>
      </c>
      <c r="AM74" s="132" t="e">
        <f ca="1">IF($F$6="Budget",#N/A,_xll.DBRW(Server&amp;Cube1,$F$21,$F$14,$F$15,$F$20,$C$14,$F$17,$F$19,$C$15,AM$64,$AJ74,$AJ$71))</f>
        <v>#N/A</v>
      </c>
      <c r="AN74" s="132" t="e">
        <f ca="1">IF($F$6="Budget",#N/A,_xll.DBRW(Server&amp;Cube1,$F$21,$F$14,$F$15,$F$20,$C$14,$F$17,$F$19,$C$15,AN$64,$AJ74,$AJ$71))</f>
        <v>#N/A</v>
      </c>
      <c r="AO74" s="132" t="e">
        <f ca="1">IF($F$6="Budget",#N/A,_xll.DBRW(Server&amp;Cube1,$F$21,$F$14,$F$15,$F$20,$C$14,$F$17,$F$19,$C$15,AO$64,$AJ74,$AJ$71))</f>
        <v>#N/A</v>
      </c>
      <c r="AP74" s="132" t="e">
        <f ca="1">IF($F$6="Budget",#N/A,_xll.DBRW(Server&amp;Cube1,$F$21,$F$14,$F$15,$F$20,$C$14,$F$17,$F$19,$C$15,AP$64,$AJ74,$AJ$71))</f>
        <v>#N/A</v>
      </c>
      <c r="AQ74" s="4"/>
      <c r="AR74" s="4"/>
      <c r="AS74" s="4"/>
      <c r="AT74" s="4"/>
      <c r="AU74" s="4"/>
      <c r="AV74" s="1"/>
      <c r="AW74" s="43"/>
    </row>
    <row r="75" spans="1:50" ht="15.75" x14ac:dyDescent="0.25">
      <c r="A75" s="43"/>
      <c r="B75" s="43"/>
      <c r="C75" s="108"/>
      <c r="D75" s="47"/>
      <c r="E75" s="117"/>
      <c r="F75" s="117"/>
      <c r="G75" s="53"/>
      <c r="H75" s="53"/>
      <c r="I75" s="53"/>
      <c r="J75" s="53"/>
      <c r="K75" s="118"/>
      <c r="L75" s="118"/>
      <c r="M75" s="118"/>
      <c r="N75" s="119"/>
      <c r="O75" s="119"/>
      <c r="P75" s="119"/>
      <c r="Q75" s="119"/>
      <c r="R75" s="119"/>
      <c r="S75" s="53"/>
      <c r="T75" s="53"/>
      <c r="U75" s="53"/>
      <c r="V75" s="53"/>
      <c r="W75" s="53"/>
      <c r="X75" s="118"/>
      <c r="Y75" s="118"/>
      <c r="Z75" s="118"/>
      <c r="AA75" s="118"/>
      <c r="AB75" s="118"/>
      <c r="AC75" s="118"/>
      <c r="AD75" s="43"/>
      <c r="AE75" s="43"/>
      <c r="AF75" s="43"/>
      <c r="AG75" s="43"/>
      <c r="AI75" s="44" t="str">
        <f ca="1">_xll.DBRA(Server&amp;$G$1,$AJ75,$AM$11)</f>
        <v>Estimé 2</v>
      </c>
      <c r="AJ75" s="48" t="str">
        <f>$M$1</f>
        <v>FC_2_TOT</v>
      </c>
      <c r="AK75" s="132" t="e">
        <f ca="1">IF(OR($F$6="Forecast_1",$F$6="Budget"),#N/A,_xll.DBRW(Server&amp;Cube1,$F$21,$F$14,$F$15,$F$20,$C$14,$F$17,$F$19,$C$15,AK$64,$AJ75,$AJ$71))</f>
        <v>#N/A</v>
      </c>
      <c r="AL75" s="132" t="e">
        <f ca="1">IF(OR($F$6="Forecast_1",$F$6="Budget"),#N/A,_xll.DBRW(Server&amp;Cube1,$F$21,$F$14,$F$15,$F$20,$C$14,$F$17,$F$19,$C$15,AL$64,$AJ75,$AJ$71))</f>
        <v>#N/A</v>
      </c>
      <c r="AM75" s="132" t="e">
        <f ca="1">IF(OR($F$6="Forecast_1",$F$6="Budget"),#N/A,_xll.DBRW(Server&amp;Cube1,$F$21,$F$14,$F$15,$F$20,$C$14,$F$17,$F$19,$C$15,AM$64,$AJ75,$AJ$71))</f>
        <v>#N/A</v>
      </c>
      <c r="AN75" s="132" t="e">
        <f ca="1">IF(OR($F$6="Forecast_1",$F$6="Budget"),#N/A,_xll.DBRW(Server&amp;Cube1,$F$21,$F$14,$F$15,$F$20,$C$14,$F$17,$F$19,$C$15,AN$64,$AJ75,$AJ$71))</f>
        <v>#N/A</v>
      </c>
      <c r="AO75" s="132" t="e">
        <f ca="1">IF(OR($F$6="Forecast_1",$F$6="Budget"),#N/A,_xll.DBRW(Server&amp;Cube1,$F$21,$F$14,$F$15,$F$20,$C$14,$F$17,$F$19,$C$15,AO$64,$AJ75,$AJ$71))</f>
        <v>#N/A</v>
      </c>
      <c r="AP75" s="132" t="e">
        <f ca="1">IF(OR($F$6="Forecast_1",$F$6="Budget"),#N/A,_xll.DBRW(Server&amp;Cube1,$F$21,$F$14,$F$15,$F$20,$C$14,$F$17,$F$19,$C$15,AP$64,$AJ75,$AJ$71))</f>
        <v>#N/A</v>
      </c>
      <c r="AQ75" s="43"/>
      <c r="AR75" s="43"/>
      <c r="AS75" s="43"/>
      <c r="AT75" s="43"/>
      <c r="AU75" s="43"/>
      <c r="AV75" s="43"/>
      <c r="AW75" s="43"/>
    </row>
    <row r="76" spans="1:50" ht="15" x14ac:dyDescent="0.25">
      <c r="A76" s="43"/>
      <c r="B76" s="43"/>
      <c r="C76" s="108"/>
      <c r="D76" s="47"/>
      <c r="E76" s="117"/>
      <c r="F76" s="117"/>
      <c r="G76" s="53"/>
      <c r="H76" s="53"/>
      <c r="I76" s="53"/>
      <c r="J76" s="53"/>
      <c r="K76" s="118"/>
      <c r="L76" s="118"/>
      <c r="M76" s="118"/>
      <c r="N76" s="119"/>
      <c r="O76" s="119"/>
      <c r="P76" s="119"/>
      <c r="Q76" s="119"/>
      <c r="R76" s="119"/>
      <c r="S76" s="53"/>
      <c r="T76" s="53"/>
      <c r="U76" s="53"/>
      <c r="V76" s="53"/>
      <c r="W76" s="53"/>
      <c r="X76" s="118"/>
      <c r="Y76" s="118"/>
      <c r="Z76" s="118"/>
      <c r="AA76" s="118"/>
      <c r="AB76" s="118"/>
      <c r="AC76" s="118"/>
      <c r="AD76" s="43"/>
      <c r="AE76" s="43"/>
      <c r="AF76" s="43"/>
      <c r="AG76" s="43"/>
      <c r="AQ76" s="4"/>
      <c r="AR76" s="4"/>
      <c r="AS76" s="4"/>
      <c r="AT76" s="4"/>
      <c r="AU76" s="4"/>
      <c r="AV76" s="1"/>
      <c r="AW76" s="43"/>
    </row>
    <row r="77" spans="1:50" ht="15.75" x14ac:dyDescent="0.25">
      <c r="A77" s="43"/>
      <c r="B77" s="43"/>
      <c r="C77" s="108"/>
      <c r="D77" s="47"/>
      <c r="E77" s="117"/>
      <c r="F77" s="117"/>
      <c r="G77" s="53"/>
      <c r="H77" s="53"/>
      <c r="I77" s="53"/>
      <c r="J77" s="53"/>
      <c r="K77" s="118"/>
      <c r="L77" s="118"/>
      <c r="M77" s="118"/>
      <c r="N77" s="119"/>
      <c r="O77" s="119"/>
      <c r="P77" s="119"/>
      <c r="Q77" s="119"/>
      <c r="R77" s="119"/>
      <c r="S77" s="53"/>
      <c r="T77" s="53"/>
      <c r="U77" s="53"/>
      <c r="V77" s="53"/>
      <c r="W77" s="53"/>
      <c r="X77" s="118"/>
      <c r="Y77" s="118"/>
      <c r="Z77" s="118"/>
      <c r="AA77" s="118"/>
      <c r="AB77" s="118"/>
      <c r="AC77" s="118"/>
      <c r="AD77" s="43"/>
      <c r="AE77" s="43"/>
      <c r="AF77" s="43"/>
      <c r="AG77" s="43"/>
      <c r="AI77" s="125" t="str">
        <f ca="1">IF($AN$62="No",_xll.DBRA(Server&amp;$C$24,$AJ77,$F$16),_xll.DBRA(Server&amp;$C$24,$AJ77,$F$16)&amp; " ("&amp;_xll.DBRA(Server&amp;$AM$12,$AM$38,$AM$11)&amp;")")</f>
        <v>CAFOP (Cumulé)</v>
      </c>
      <c r="AJ77" s="124" t="s">
        <v>96</v>
      </c>
      <c r="AK77" s="134"/>
      <c r="AL77" s="134"/>
      <c r="AM77" s="134"/>
      <c r="AN77" s="134"/>
      <c r="AO77" s="134"/>
      <c r="AP77" s="134"/>
      <c r="AQ77" s="43"/>
      <c r="AR77" s="43"/>
      <c r="AS77" s="43"/>
      <c r="AT77" s="43"/>
      <c r="AU77" s="43"/>
      <c r="AV77" s="43"/>
      <c r="AW77" s="43"/>
    </row>
    <row r="78" spans="1:50" ht="15.75" x14ac:dyDescent="0.25">
      <c r="A78" s="43"/>
      <c r="B78" s="43"/>
      <c r="C78" s="108"/>
      <c r="D78" s="47"/>
      <c r="E78" s="117"/>
      <c r="F78" s="117"/>
      <c r="G78" s="53"/>
      <c r="H78" s="53"/>
      <c r="I78" s="53"/>
      <c r="J78" s="53"/>
      <c r="K78" s="118"/>
      <c r="L78" s="118"/>
      <c r="M78" s="118"/>
      <c r="N78" s="119"/>
      <c r="O78" s="119"/>
      <c r="P78" s="119"/>
      <c r="Q78" s="119"/>
      <c r="R78" s="119"/>
      <c r="S78" s="53"/>
      <c r="T78" s="53"/>
      <c r="U78" s="53"/>
      <c r="V78" s="53"/>
      <c r="W78" s="53"/>
      <c r="X78" s="118"/>
      <c r="Y78" s="118"/>
      <c r="Z78" s="118"/>
      <c r="AA78" s="118"/>
      <c r="AB78" s="118"/>
      <c r="AC78" s="118"/>
      <c r="AD78" s="43"/>
      <c r="AE78" s="43"/>
      <c r="AF78" s="43"/>
      <c r="AG78" s="43"/>
      <c r="AI78" s="44" t="str">
        <f ca="1">_xll.DBRA(Server&amp;$G$1,$AJ78,$AM$11)</f>
        <v>Réalisé</v>
      </c>
      <c r="AJ78" s="2" t="str">
        <f>$J$1</f>
        <v>ACT_TOT</v>
      </c>
      <c r="AK78" s="132">
        <f ca="1">IF(AK$91="yes",#N/A,_xll.DBRW(Server&amp;Cube1,$F$21,$F$14,$F$15,$F$20,$C$14,$F$17,$F$19,$C$15,AK$64,$AJ78,$AJ$77))</f>
        <v>-6883.8558199999961</v>
      </c>
      <c r="AL78" s="132">
        <f ca="1">IF(AL$91="yes",#N/A,_xll.DBRW(Server&amp;Cube1,$F$21,$F$14,$F$15,$F$20,$C$14,$F$17,$F$19,$C$15,AL$64,$AJ78,$AJ$77))</f>
        <v>2123.569550000002</v>
      </c>
      <c r="AM78" s="132">
        <f ca="1">IF(AM$91="yes",#N/A,_xll.DBRW(Server&amp;Cube1,$F$21,$F$14,$F$15,$F$20,$C$14,$F$17,$F$19,$C$15,AM$64,$AJ78,$AJ$77))</f>
        <v>2123.5695500000024</v>
      </c>
      <c r="AN78" s="132" t="e">
        <f ca="1">IF(AN$91="yes",#N/A,_xll.DBRW(Server&amp;Cube1,$F$21,$F$14,$F$15,$F$20,$C$14,$F$17,$F$19,$C$15,AN$64,$AJ78,$AJ$77))</f>
        <v>#N/A</v>
      </c>
      <c r="AO78" s="132" t="e">
        <f ca="1">IF(AO$91="yes",#N/A,_xll.DBRW(Server&amp;Cube1,$F$21,$F$14,$F$15,$F$20,$C$14,$F$17,$F$19,$C$15,AO$64,$AJ78,$AJ$77))</f>
        <v>#N/A</v>
      </c>
      <c r="AP78" s="132" t="e">
        <f ca="1">IF(AP$91="yes",#N/A,_xll.DBRW(Server&amp;Cube1,$F$21,$F$14,$F$15,$F$20,$C$14,$F$17,$F$19,$C$15,AP$64,$AJ78,$AJ$77))</f>
        <v>#N/A</v>
      </c>
      <c r="AQ78" s="4"/>
      <c r="AR78" s="4"/>
      <c r="AS78" s="4"/>
      <c r="AT78" s="4"/>
      <c r="AU78" s="4"/>
      <c r="AV78" s="1"/>
      <c r="AW78" s="43"/>
    </row>
    <row r="79" spans="1:50" ht="15.75" x14ac:dyDescent="0.25">
      <c r="A79" s="43"/>
      <c r="B79" s="43"/>
      <c r="C79" s="108"/>
      <c r="D79" s="47"/>
      <c r="E79" s="117"/>
      <c r="F79" s="117"/>
      <c r="G79" s="53"/>
      <c r="H79" s="53"/>
      <c r="I79" s="53"/>
      <c r="J79" s="53"/>
      <c r="K79" s="118"/>
      <c r="L79" s="118"/>
      <c r="M79" s="118"/>
      <c r="N79" s="119"/>
      <c r="O79" s="119"/>
      <c r="P79" s="119"/>
      <c r="Q79" s="119"/>
      <c r="R79" s="119"/>
      <c r="S79" s="53"/>
      <c r="T79" s="53"/>
      <c r="U79" s="53"/>
      <c r="V79" s="53"/>
      <c r="W79" s="53"/>
      <c r="X79" s="118"/>
      <c r="Y79" s="118"/>
      <c r="Z79" s="118"/>
      <c r="AA79" s="118"/>
      <c r="AB79" s="118"/>
      <c r="AC79" s="118"/>
      <c r="AD79" s="43"/>
      <c r="AE79" s="43"/>
      <c r="AF79" s="43"/>
      <c r="AG79" s="43"/>
      <c r="AI79" s="44" t="str">
        <f ca="1">_xll.DBRA(Server&amp;$G$1,$AJ79,$AM$11)</f>
        <v>Budget</v>
      </c>
      <c r="AJ79" s="2" t="str">
        <f>$K$1</f>
        <v>BUDG_TOT</v>
      </c>
      <c r="AK79" s="132">
        <f ca="1">_xll.DBRW(Server&amp;Cube1,$F$21,$F$14,$F$15,$F$20,$C$14,$F$17,$F$19,$C$15,AK$64,$AJ79,$AJ$77)</f>
        <v>126.96929166666645</v>
      </c>
      <c r="AL79" s="132">
        <f ca="1">_xll.DBRW(Server&amp;Cube1,$F$21,$F$14,$F$15,$F$20,$C$14,$F$17,$F$19,$C$15,AL$64,$AJ79,$AJ$77)</f>
        <v>253.9385833333329</v>
      </c>
      <c r="AM79" s="132">
        <f ca="1">_xll.DBRW(Server&amp;Cube1,$F$21,$F$14,$F$15,$F$20,$C$14,$F$17,$F$19,$C$15,AM$64,$AJ79,$AJ$77)</f>
        <v>380.90787499999999</v>
      </c>
      <c r="AN79" s="132">
        <f ca="1">_xll.DBRW(Server&amp;Cube1,$F$21,$F$14,$F$15,$F$20,$C$14,$F$17,$F$19,$C$15,AN$64,$AJ79,$AJ$77)</f>
        <v>822.33983333333276</v>
      </c>
      <c r="AO79" s="132">
        <f ca="1">_xll.DBRW(Server&amp;Cube1,$F$21,$F$14,$F$15,$F$20,$C$14,$F$17,$F$19,$C$15,AO$64,$AJ79,$AJ$77)</f>
        <v>1225.737458333331</v>
      </c>
      <c r="AP79" s="132">
        <f ca="1">_xll.DBRW(Server&amp;Cube1,$F$21,$F$14,$F$15,$F$20,$C$14,$F$17,$F$19,$C$15,AP$64,$AJ79,$AJ$77)</f>
        <v>-6765.3094166666679</v>
      </c>
      <c r="AQ79" s="43"/>
      <c r="AR79" s="43"/>
      <c r="AS79" s="43"/>
      <c r="AT79" s="43"/>
      <c r="AU79" s="43"/>
      <c r="AV79" s="43"/>
      <c r="AW79" s="43"/>
    </row>
    <row r="80" spans="1:50" ht="15.75" x14ac:dyDescent="0.25">
      <c r="A80" s="43"/>
      <c r="B80" s="43"/>
      <c r="C80" s="108"/>
      <c r="D80" s="47"/>
      <c r="E80" s="117"/>
      <c r="F80" s="117"/>
      <c r="G80" s="53"/>
      <c r="H80" s="53"/>
      <c r="I80" s="53"/>
      <c r="J80" s="53"/>
      <c r="K80" s="118"/>
      <c r="L80" s="118"/>
      <c r="M80" s="118"/>
      <c r="N80" s="119"/>
      <c r="O80" s="119"/>
      <c r="P80" s="119"/>
      <c r="Q80" s="119"/>
      <c r="R80" s="119"/>
      <c r="S80" s="53"/>
      <c r="T80" s="53"/>
      <c r="U80" s="53"/>
      <c r="V80" s="53"/>
      <c r="W80" s="53"/>
      <c r="X80" s="118"/>
      <c r="Y80" s="118"/>
      <c r="Z80" s="118"/>
      <c r="AA80" s="118"/>
      <c r="AB80" s="118"/>
      <c r="AC80" s="118"/>
      <c r="AD80" s="43"/>
      <c r="AE80" s="43"/>
      <c r="AF80" s="43"/>
      <c r="AG80" s="43"/>
      <c r="AI80" s="44" t="str">
        <f ca="1">_xll.DBRA(Server&amp;$G$1,$AJ80,$AM$11)</f>
        <v>Estimé 1</v>
      </c>
      <c r="AJ80" s="2" t="str">
        <f>$L$1</f>
        <v>FC_1_TOT</v>
      </c>
      <c r="AK80" s="132" t="e">
        <f ca="1">IF($F$6="Budget",#N/A,_xll.DBRW(Server&amp;Cube1,$F$21,$F$14,$F$15,$F$20,$C$14,$F$17,$F$19,$C$15,AK$64,$AJ80,$AJ$77))</f>
        <v>#N/A</v>
      </c>
      <c r="AL80" s="132" t="e">
        <f ca="1">IF($F$6="Budget",#N/A,_xll.DBRW(Server&amp;Cube1,$F$21,$F$14,$F$15,$F$20,$C$14,$F$17,$F$19,$C$15,AL$64,$AJ80,$AJ$77))</f>
        <v>#N/A</v>
      </c>
      <c r="AM80" s="132" t="e">
        <f ca="1">IF($F$6="Budget",#N/A,_xll.DBRW(Server&amp;Cube1,$F$21,$F$14,$F$15,$F$20,$C$14,$F$17,$F$19,$C$15,AM$64,$AJ80,$AJ$77))</f>
        <v>#N/A</v>
      </c>
      <c r="AN80" s="132" t="e">
        <f ca="1">IF($F$6="Budget",#N/A,_xll.DBRW(Server&amp;Cube1,$F$21,$F$14,$F$15,$F$20,$C$14,$F$17,$F$19,$C$15,AN$64,$AJ80,$AJ$77))</f>
        <v>#N/A</v>
      </c>
      <c r="AO80" s="132" t="e">
        <f ca="1">IF($F$6="Budget",#N/A,_xll.DBRW(Server&amp;Cube1,$F$21,$F$14,$F$15,$F$20,$C$14,$F$17,$F$19,$C$15,AO$64,$AJ80,$AJ$77))</f>
        <v>#N/A</v>
      </c>
      <c r="AP80" s="132" t="e">
        <f ca="1">IF($F$6="Budget",#N/A,_xll.DBRW(Server&amp;Cube1,$F$21,$F$14,$F$15,$F$20,$C$14,$F$17,$F$19,$C$15,AP$64,$AJ80,$AJ$77))</f>
        <v>#N/A</v>
      </c>
      <c r="AQ80" s="4"/>
      <c r="AR80" s="4"/>
      <c r="AS80" s="4"/>
      <c r="AT80" s="4"/>
      <c r="AU80" s="4"/>
      <c r="AV80" s="1"/>
      <c r="AW80" s="43"/>
    </row>
    <row r="81" spans="1:50" ht="15.75" x14ac:dyDescent="0.25">
      <c r="A81" s="43"/>
      <c r="B81" s="43"/>
      <c r="C81" s="108"/>
      <c r="D81" s="47"/>
      <c r="E81" s="117"/>
      <c r="F81" s="117"/>
      <c r="G81" s="53"/>
      <c r="H81" s="53"/>
      <c r="I81" s="53"/>
      <c r="J81" s="53"/>
      <c r="K81" s="118"/>
      <c r="L81" s="118"/>
      <c r="M81" s="118"/>
      <c r="N81" s="119"/>
      <c r="O81" s="119"/>
      <c r="P81" s="119"/>
      <c r="Q81" s="119"/>
      <c r="R81" s="119"/>
      <c r="S81" s="53"/>
      <c r="T81" s="53"/>
      <c r="U81" s="53"/>
      <c r="V81" s="53"/>
      <c r="W81" s="53"/>
      <c r="X81" s="118"/>
      <c r="Y81" s="118"/>
      <c r="Z81" s="118"/>
      <c r="AA81" s="118"/>
      <c r="AB81" s="118"/>
      <c r="AC81" s="118"/>
      <c r="AD81" s="43"/>
      <c r="AE81" s="43"/>
      <c r="AF81" s="43"/>
      <c r="AG81" s="43"/>
      <c r="AI81" s="44" t="str">
        <f ca="1">_xll.DBRA(Server&amp;$G$1,$AJ81,$AM$11)</f>
        <v>Estimé 2</v>
      </c>
      <c r="AJ81" s="48" t="str">
        <f>$M$1</f>
        <v>FC_2_TOT</v>
      </c>
      <c r="AK81" s="132" t="e">
        <f ca="1">IF(OR($F$6="Forecast_1",$F$6="Budget"),#N/A,_xll.DBRW(Server&amp;Cube1,$F$21,$F$14,$F$15,$F$20,$C$14,$F$17,$F$19,$C$15,AK$64,$AJ81,$AJ$77))</f>
        <v>#N/A</v>
      </c>
      <c r="AL81" s="132" t="e">
        <f ca="1">IF(OR($F$6="Forecast_1",$F$6="Budget"),#N/A,_xll.DBRW(Server&amp;Cube1,$F$21,$F$14,$F$15,$F$20,$C$14,$F$17,$F$19,$C$15,AL$64,$AJ81,$AJ$77))</f>
        <v>#N/A</v>
      </c>
      <c r="AM81" s="132" t="e">
        <f ca="1">IF(OR($F$6="Forecast_1",$F$6="Budget"),#N/A,_xll.DBRW(Server&amp;Cube1,$F$21,$F$14,$F$15,$F$20,$C$14,$F$17,$F$19,$C$15,AM$64,$AJ81,$AJ$77))</f>
        <v>#N/A</v>
      </c>
      <c r="AN81" s="132" t="e">
        <f ca="1">IF(OR($F$6="Forecast_1",$F$6="Budget"),#N/A,_xll.DBRW(Server&amp;Cube1,$F$21,$F$14,$F$15,$F$20,$C$14,$F$17,$F$19,$C$15,AN$64,$AJ81,$AJ$77))</f>
        <v>#N/A</v>
      </c>
      <c r="AO81" s="132" t="e">
        <f ca="1">IF(OR($F$6="Forecast_1",$F$6="Budget"),#N/A,_xll.DBRW(Server&amp;Cube1,$F$21,$F$14,$F$15,$F$20,$C$14,$F$17,$F$19,$C$15,AO$64,$AJ81,$AJ$77))</f>
        <v>#N/A</v>
      </c>
      <c r="AP81" s="132" t="e">
        <f ca="1">IF(OR($F$6="Forecast_1",$F$6="Budget"),#N/A,_xll.DBRW(Server&amp;Cube1,$F$21,$F$14,$F$15,$F$20,$C$14,$F$17,$F$19,$C$15,AP$64,$AJ81,$AJ$77))</f>
        <v>#N/A</v>
      </c>
      <c r="AQ81" s="43"/>
      <c r="AR81" s="43"/>
      <c r="AS81" s="43"/>
      <c r="AT81" s="43"/>
      <c r="AU81" s="43"/>
      <c r="AV81" s="43"/>
      <c r="AW81" s="43"/>
    </row>
    <row r="82" spans="1:50" ht="15" x14ac:dyDescent="0.25">
      <c r="A82" s="43"/>
      <c r="B82" s="43"/>
      <c r="C82" s="108"/>
      <c r="D82" s="47"/>
      <c r="E82" s="117"/>
      <c r="F82" s="117"/>
      <c r="G82" s="53"/>
      <c r="H82" s="53"/>
      <c r="I82" s="53"/>
      <c r="J82" s="53"/>
      <c r="K82" s="118"/>
      <c r="L82" s="118"/>
      <c r="M82" s="118"/>
      <c r="N82" s="119"/>
      <c r="O82" s="119"/>
      <c r="P82" s="119"/>
      <c r="Q82" s="119"/>
      <c r="R82" s="119"/>
      <c r="S82" s="53"/>
      <c r="T82" s="53"/>
      <c r="U82" s="53"/>
      <c r="V82" s="53"/>
      <c r="W82" s="53"/>
      <c r="X82" s="118"/>
      <c r="Y82" s="118"/>
      <c r="Z82" s="118"/>
      <c r="AA82" s="118"/>
      <c r="AB82" s="118"/>
      <c r="AC82" s="118"/>
      <c r="AD82" s="43"/>
      <c r="AE82" s="43"/>
      <c r="AF82" s="43"/>
      <c r="AG82" s="43"/>
      <c r="AQ82" s="4"/>
      <c r="AR82" s="4"/>
      <c r="AS82" s="4"/>
      <c r="AT82" s="4"/>
      <c r="AU82" s="4"/>
      <c r="AV82" s="1"/>
      <c r="AW82" s="43"/>
    </row>
    <row r="83" spans="1:50" ht="15.75" x14ac:dyDescent="0.25">
      <c r="A83" s="43"/>
      <c r="B83" s="43"/>
      <c r="C83" s="108"/>
      <c r="D83" s="47"/>
      <c r="E83" s="117"/>
      <c r="F83" s="117"/>
      <c r="G83" s="53"/>
      <c r="H83" s="53"/>
      <c r="I83" s="53"/>
      <c r="J83" s="53"/>
      <c r="K83" s="118"/>
      <c r="L83" s="118"/>
      <c r="M83" s="118"/>
      <c r="N83" s="119"/>
      <c r="O83" s="119"/>
      <c r="P83" s="119"/>
      <c r="Q83" s="119"/>
      <c r="R83" s="119"/>
      <c r="S83" s="53"/>
      <c r="T83" s="53"/>
      <c r="U83" s="53"/>
      <c r="V83" s="53"/>
      <c r="W83" s="53"/>
      <c r="X83" s="118"/>
      <c r="Y83" s="118"/>
      <c r="Z83" s="118"/>
      <c r="AA83" s="118"/>
      <c r="AB83" s="118"/>
      <c r="AC83" s="118"/>
      <c r="AD83" s="43"/>
      <c r="AE83" s="43"/>
      <c r="AF83" s="43"/>
      <c r="AG83" s="43"/>
      <c r="AI83" s="125" t="str">
        <f ca="1">IF($AN$62="No",_xll.DBRA(Server&amp;$C$24,$AJ83,$F$16),_xll.DBRA(Server&amp;$C$24,$AJ83,$F$16)&amp; " ("&amp;_xll.DBRA(Server&amp;$AM$12,$AM$38,$AM$11)&amp;")")</f>
        <v>Total CAPEX (Cumulé)</v>
      </c>
      <c r="AJ83" s="124" t="s">
        <v>100</v>
      </c>
      <c r="AK83" s="133"/>
      <c r="AL83" s="133"/>
      <c r="AM83" s="133"/>
      <c r="AN83" s="133"/>
      <c r="AO83" s="133"/>
      <c r="AP83" s="133"/>
      <c r="AQ83" s="43"/>
      <c r="AR83" s="43"/>
      <c r="AS83" s="43"/>
      <c r="AT83" s="43"/>
      <c r="AU83" s="43"/>
      <c r="AV83" s="43"/>
      <c r="AW83" s="43"/>
    </row>
    <row r="84" spans="1:50" ht="15.75" x14ac:dyDescent="0.25">
      <c r="A84" s="43"/>
      <c r="B84" s="43"/>
      <c r="C84" s="108"/>
      <c r="D84" s="47"/>
      <c r="E84" s="117"/>
      <c r="F84" s="117"/>
      <c r="G84" s="53"/>
      <c r="H84" s="53"/>
      <c r="I84" s="53"/>
      <c r="J84" s="53"/>
      <c r="K84" s="118"/>
      <c r="L84" s="118"/>
      <c r="M84" s="118"/>
      <c r="N84" s="119"/>
      <c r="O84" s="119"/>
      <c r="P84" s="119"/>
      <c r="Q84" s="119"/>
      <c r="R84" s="119"/>
      <c r="S84" s="53"/>
      <c r="T84" s="53"/>
      <c r="U84" s="53"/>
      <c r="V84" s="53"/>
      <c r="W84" s="53"/>
      <c r="X84" s="118"/>
      <c r="Y84" s="118"/>
      <c r="Z84" s="118"/>
      <c r="AA84" s="118"/>
      <c r="AB84" s="118"/>
      <c r="AC84" s="118"/>
      <c r="AD84" s="43"/>
      <c r="AE84" s="43"/>
      <c r="AF84" s="43"/>
      <c r="AG84" s="43"/>
      <c r="AI84" s="44" t="str">
        <f ca="1">_xll.DBRA(Server&amp;$G$1,$AJ84,$AM$11)</f>
        <v>Réalisé</v>
      </c>
      <c r="AJ84" s="2" t="str">
        <f>$J$1</f>
        <v>ACT_TOT</v>
      </c>
      <c r="AK84" s="132">
        <f ca="1">IF(AK$91="yes",#N/A,_xll.DBRW(Server&amp;Cube1,$F$21,$F$14,$F$15,$F$20,$C$14,$F$17,$F$19,$C$15,AK$64,$AJ84,$AJ$83))</f>
        <v>827.05666000000008</v>
      </c>
      <c r="AL84" s="132">
        <f ca="1">IF(AL$91="yes",#N/A,_xll.DBRW(Server&amp;Cube1,$F$21,$F$14,$F$15,$F$20,$C$14,$F$17,$F$19,$C$15,AL$64,$AJ84,$AJ$83))</f>
        <v>146.69160000000002</v>
      </c>
      <c r="AM84" s="132">
        <f ca="1">IF(AM$91="yes",#N/A,_xll.DBRW(Server&amp;Cube1,$F$21,$F$14,$F$15,$F$20,$C$14,$F$17,$F$19,$C$15,AM$64,$AJ84,$AJ$83))</f>
        <v>146.69160000000002</v>
      </c>
      <c r="AN84" s="132" t="e">
        <f ca="1">IF(AN$91="yes",#N/A,_xll.DBRW(Server&amp;Cube1,$F$21,$F$14,$F$15,$F$20,$C$14,$F$17,$F$19,$C$15,AN$64,$AJ84,$AJ$83))</f>
        <v>#N/A</v>
      </c>
      <c r="AO84" s="132" t="e">
        <f ca="1">IF(AO$91="yes",#N/A,_xll.DBRW(Server&amp;Cube1,$F$21,$F$14,$F$15,$F$20,$C$14,$F$17,$F$19,$C$15,AO$64,$AJ84,$AJ$83))</f>
        <v>#N/A</v>
      </c>
      <c r="AP84" s="132" t="e">
        <f ca="1">IF(AP$91="yes",#N/A,_xll.DBRW(Server&amp;Cube1,$F$21,$F$14,$F$15,$F$20,$C$14,$F$17,$F$19,$C$15,AP$64,$AJ84,$AJ$83))</f>
        <v>#N/A</v>
      </c>
      <c r="AQ84" s="4"/>
      <c r="AR84" s="4"/>
      <c r="AS84" s="4"/>
      <c r="AT84" s="4"/>
      <c r="AU84" s="4"/>
      <c r="AV84" s="1"/>
      <c r="AW84" s="43"/>
    </row>
    <row r="85" spans="1:50" ht="15.75" x14ac:dyDescent="0.25">
      <c r="A85" s="43"/>
      <c r="B85" s="43"/>
      <c r="C85" s="108"/>
      <c r="D85" s="47"/>
      <c r="E85" s="117"/>
      <c r="F85" s="117"/>
      <c r="G85" s="53"/>
      <c r="H85" s="53"/>
      <c r="I85" s="53"/>
      <c r="J85" s="53"/>
      <c r="K85" s="118"/>
      <c r="L85" s="118"/>
      <c r="M85" s="118"/>
      <c r="N85" s="119"/>
      <c r="O85" s="119"/>
      <c r="P85" s="119"/>
      <c r="Q85" s="119"/>
      <c r="R85" s="119"/>
      <c r="S85" s="53"/>
      <c r="T85" s="53"/>
      <c r="U85" s="53"/>
      <c r="V85" s="53"/>
      <c r="W85" s="53"/>
      <c r="X85" s="118"/>
      <c r="Y85" s="118"/>
      <c r="Z85" s="118"/>
      <c r="AA85" s="118"/>
      <c r="AB85" s="118"/>
      <c r="AC85" s="118"/>
      <c r="AD85" s="43"/>
      <c r="AE85" s="43"/>
      <c r="AF85" s="43"/>
      <c r="AG85" s="43"/>
      <c r="AI85" s="44" t="str">
        <f ca="1">_xll.DBRA(Server&amp;$G$1,$AJ85,$AM$11)</f>
        <v>Budget</v>
      </c>
      <c r="AJ85" s="2" t="str">
        <f>$K$1</f>
        <v>BUDG_TOT</v>
      </c>
      <c r="AK85" s="132">
        <f ca="1">_xll.DBRW(Server&amp;Cube1,$F$21,$F$14,$F$15,$F$20,$C$14,$F$17,$F$19,$C$15,AK$64,$AJ85,$AJ$83)</f>
        <v>597.41666666666663</v>
      </c>
      <c r="AL85" s="132">
        <f ca="1">_xll.DBRW(Server&amp;Cube1,$F$21,$F$14,$F$15,$F$20,$C$14,$F$17,$F$19,$C$15,AL$64,$AJ85,$AJ$83)</f>
        <v>1194.8333333333333</v>
      </c>
      <c r="AM85" s="132">
        <f ca="1">_xll.DBRW(Server&amp;Cube1,$F$21,$F$14,$F$15,$F$20,$C$14,$F$17,$F$19,$C$15,AM$64,$AJ85,$AJ$83)</f>
        <v>2395.75</v>
      </c>
      <c r="AN85" s="132">
        <f ca="1">_xll.DBRW(Server&amp;Cube1,$F$21,$F$14,$F$15,$F$20,$C$14,$F$17,$F$19,$C$15,AN$64,$AJ85,$AJ$83)</f>
        <v>2993.1666666666665</v>
      </c>
      <c r="AO85" s="132">
        <f ca="1">_xll.DBRW(Server&amp;Cube1,$F$21,$F$14,$F$15,$F$20,$C$14,$F$17,$F$19,$C$15,AO$64,$AJ85,$AJ$83)</f>
        <v>3590.583333333333</v>
      </c>
      <c r="AP85" s="132">
        <f ca="1">_xll.DBRW(Server&amp;Cube1,$F$21,$F$14,$F$15,$F$20,$C$14,$F$17,$F$19,$C$15,AP$64,$AJ85,$AJ$83)</f>
        <v>4198</v>
      </c>
      <c r="AQ85" s="43"/>
      <c r="AR85" s="43"/>
      <c r="AS85" s="43"/>
      <c r="AT85" s="43"/>
      <c r="AU85" s="43"/>
      <c r="AV85" s="43"/>
      <c r="AW85" s="43"/>
    </row>
    <row r="86" spans="1:50" ht="15.75" x14ac:dyDescent="0.25">
      <c r="A86" s="43"/>
      <c r="B86" s="43"/>
      <c r="C86" s="108"/>
      <c r="D86" s="47"/>
      <c r="E86" s="123"/>
      <c r="F86" s="117"/>
      <c r="G86" s="117"/>
      <c r="H86" s="53"/>
      <c r="I86" s="53"/>
      <c r="J86" s="53"/>
      <c r="K86" s="53"/>
      <c r="L86" s="53"/>
      <c r="M86" s="53"/>
      <c r="N86" s="118"/>
      <c r="O86" s="119"/>
      <c r="P86" s="119"/>
      <c r="Q86" s="119"/>
      <c r="R86" s="119"/>
      <c r="S86" s="53"/>
      <c r="T86" s="53"/>
      <c r="U86" s="53"/>
      <c r="V86" s="53"/>
      <c r="W86" s="53"/>
      <c r="X86" s="53"/>
      <c r="Y86" s="53"/>
      <c r="Z86" s="119"/>
      <c r="AA86" s="119"/>
      <c r="AB86" s="119"/>
      <c r="AC86" s="119"/>
      <c r="AD86" s="43"/>
      <c r="AE86" s="43"/>
      <c r="AF86" s="43"/>
      <c r="AG86" s="43"/>
      <c r="AH86" s="43"/>
      <c r="AI86" s="44" t="str">
        <f ca="1">_xll.DBRA(Server&amp;$G$1,$AJ86,$AM$11)</f>
        <v>Estimé 1</v>
      </c>
      <c r="AJ86" s="2" t="str">
        <f>$L$1</f>
        <v>FC_1_TOT</v>
      </c>
      <c r="AK86" s="132" t="e">
        <f ca="1">IF($F$6="Budget",#N/A,_xll.DBRW(Server&amp;Cube1,$F$21,$F$14,$F$15,$F$20,$C$14,$F$17,$F$19,$C$15,AK$64,$AJ86,$AJ$83))</f>
        <v>#N/A</v>
      </c>
      <c r="AL86" s="132" t="e">
        <f ca="1">IF($F$6="Budget",#N/A,_xll.DBRW(Server&amp;Cube1,$F$21,$F$14,$F$15,$F$20,$C$14,$F$17,$F$19,$C$15,AL$64,$AJ86,$AJ$83))</f>
        <v>#N/A</v>
      </c>
      <c r="AM86" s="132" t="e">
        <f ca="1">IF($F$6="Budget",#N/A,_xll.DBRW(Server&amp;Cube1,$F$21,$F$14,$F$15,$F$20,$C$14,$F$17,$F$19,$C$15,AM$64,$AJ86,$AJ$83))</f>
        <v>#N/A</v>
      </c>
      <c r="AN86" s="132" t="e">
        <f ca="1">IF($F$6="Budget",#N/A,_xll.DBRW(Server&amp;Cube1,$F$21,$F$14,$F$15,$F$20,$C$14,$F$17,$F$19,$C$15,AN$64,$AJ86,$AJ$83))</f>
        <v>#N/A</v>
      </c>
      <c r="AO86" s="132" t="e">
        <f ca="1">IF($F$6="Budget",#N/A,_xll.DBRW(Server&amp;Cube1,$F$21,$F$14,$F$15,$F$20,$C$14,$F$17,$F$19,$C$15,AO$64,$AJ86,$AJ$83))</f>
        <v>#N/A</v>
      </c>
      <c r="AP86" s="132" t="e">
        <f ca="1">IF($F$6="Budget",#N/A,_xll.DBRW(Server&amp;Cube1,$F$21,$F$14,$F$15,$F$20,$C$14,$F$17,$F$19,$C$15,AP$64,$AJ86,$AJ$83))</f>
        <v>#N/A</v>
      </c>
      <c r="AQ86" s="43"/>
      <c r="AR86" s="43"/>
      <c r="AS86" s="43"/>
      <c r="AT86" s="43"/>
      <c r="AU86" s="43"/>
      <c r="AV86" s="43"/>
      <c r="AW86" s="43"/>
      <c r="AX86" s="43"/>
    </row>
    <row r="87" spans="1:50" ht="15.75" x14ac:dyDescent="0.25">
      <c r="A87" s="43"/>
      <c r="B87" s="43"/>
      <c r="C87" s="108"/>
      <c r="D87" s="47"/>
      <c r="E87" s="123"/>
      <c r="F87" s="117"/>
      <c r="G87" s="117"/>
      <c r="H87" s="53"/>
      <c r="I87" s="53"/>
      <c r="J87" s="53"/>
      <c r="K87" s="53"/>
      <c r="L87" s="53"/>
      <c r="M87" s="53"/>
      <c r="N87" s="118"/>
      <c r="O87" s="119"/>
      <c r="P87" s="119"/>
      <c r="Q87" s="119"/>
      <c r="R87" s="119"/>
      <c r="S87" s="53"/>
      <c r="T87" s="53"/>
      <c r="U87" s="53"/>
      <c r="V87" s="53"/>
      <c r="W87" s="53"/>
      <c r="X87" s="53"/>
      <c r="Y87" s="53"/>
      <c r="Z87" s="119"/>
      <c r="AA87" s="119"/>
      <c r="AB87" s="119"/>
      <c r="AC87" s="119"/>
      <c r="AD87" s="43"/>
      <c r="AE87" s="43"/>
      <c r="AF87" s="43"/>
      <c r="AG87" s="43"/>
      <c r="AH87" s="43"/>
      <c r="AI87" s="44" t="str">
        <f ca="1">_xll.DBRA(Server&amp;$G$1,$AJ87,$AM$11)</f>
        <v>Estimé 2</v>
      </c>
      <c r="AJ87" s="48" t="str">
        <f>$M$1</f>
        <v>FC_2_TOT</v>
      </c>
      <c r="AK87" s="132" t="e">
        <f ca="1">IF(OR($F$6="Forecast_1",$F$6="Budget"),#N/A,_xll.DBRW(Server&amp;Cube1,$F$21,$F$14,$F$15,$F$20,$C$14,$F$17,$F$19,$C$15,AK$64,$AJ87,$AJ$83))</f>
        <v>#N/A</v>
      </c>
      <c r="AL87" s="132" t="e">
        <f ca="1">IF(OR($F$6="Forecast_1",$F$6="Budget"),#N/A,_xll.DBRW(Server&amp;Cube1,$F$21,$F$14,$F$15,$F$20,$C$14,$F$17,$F$19,$C$15,AL$64,$AJ87,$AJ$83))</f>
        <v>#N/A</v>
      </c>
      <c r="AM87" s="132" t="e">
        <f ca="1">IF(OR($F$6="Forecast_1",$F$6="Budget"),#N/A,_xll.DBRW(Server&amp;Cube1,$F$21,$F$14,$F$15,$F$20,$C$14,$F$17,$F$19,$C$15,AM$64,$AJ87,$AJ$83))</f>
        <v>#N/A</v>
      </c>
      <c r="AN87" s="132" t="e">
        <f ca="1">IF(OR($F$6="Forecast_1",$F$6="Budget"),#N/A,_xll.DBRW(Server&amp;Cube1,$F$21,$F$14,$F$15,$F$20,$C$14,$F$17,$F$19,$C$15,AN$64,$AJ87,$AJ$83))</f>
        <v>#N/A</v>
      </c>
      <c r="AO87" s="132" t="e">
        <f ca="1">IF(OR($F$6="Forecast_1",$F$6="Budget"),#N/A,_xll.DBRW(Server&amp;Cube1,$F$21,$F$14,$F$15,$F$20,$C$14,$F$17,$F$19,$C$15,AO$64,$AJ87,$AJ$83))</f>
        <v>#N/A</v>
      </c>
      <c r="AP87" s="132" t="e">
        <f ca="1">IF(OR($F$6="Forecast_1",$F$6="Budget"),#N/A,_xll.DBRW(Server&amp;Cube1,$F$21,$F$14,$F$15,$F$20,$C$14,$F$17,$F$19,$C$15,AP$64,$AJ87,$AJ$83))</f>
        <v>#N/A</v>
      </c>
      <c r="AQ87" s="43"/>
      <c r="AR87" s="43"/>
      <c r="AS87" s="43"/>
      <c r="AT87" s="43"/>
      <c r="AU87" s="43"/>
      <c r="AV87" s="43"/>
      <c r="AW87" s="43"/>
      <c r="AX87" s="43"/>
    </row>
    <row r="88" spans="1:50" ht="15" x14ac:dyDescent="0.25">
      <c r="A88" s="43"/>
      <c r="B88" s="43"/>
      <c r="C88" s="108"/>
      <c r="D88" s="47"/>
      <c r="E88" s="123"/>
      <c r="F88" s="117"/>
      <c r="G88" s="117"/>
      <c r="H88" s="53"/>
      <c r="I88" s="53"/>
      <c r="J88" s="53"/>
      <c r="K88" s="53"/>
      <c r="L88" s="53"/>
      <c r="M88" s="53"/>
      <c r="N88" s="118"/>
      <c r="O88" s="119"/>
      <c r="P88" s="119"/>
      <c r="Q88" s="119"/>
      <c r="R88" s="119"/>
      <c r="S88" s="53"/>
      <c r="T88" s="53"/>
      <c r="U88" s="53"/>
      <c r="V88" s="53"/>
      <c r="W88" s="53"/>
      <c r="X88" s="53"/>
      <c r="Y88" s="53"/>
      <c r="Z88" s="119"/>
      <c r="AA88" s="119"/>
      <c r="AB88" s="119"/>
      <c r="AC88" s="119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</row>
    <row r="89" spans="1:50" ht="15" x14ac:dyDescent="0.25">
      <c r="A89" s="43"/>
      <c r="B89" s="43"/>
      <c r="C89" s="108"/>
      <c r="D89" s="47"/>
      <c r="E89" s="123"/>
      <c r="F89" s="117"/>
      <c r="G89" s="117"/>
      <c r="H89" s="53"/>
      <c r="I89" s="53"/>
      <c r="J89" s="53"/>
      <c r="K89" s="53"/>
      <c r="L89" s="53"/>
      <c r="M89" s="53"/>
      <c r="N89" s="118"/>
      <c r="O89" s="119"/>
      <c r="P89" s="119"/>
      <c r="Q89" s="119"/>
      <c r="R89" s="119"/>
      <c r="S89" s="53"/>
      <c r="T89" s="53"/>
      <c r="U89" s="53"/>
      <c r="V89" s="53"/>
      <c r="W89" s="53"/>
      <c r="X89" s="53"/>
      <c r="Y89" s="53"/>
      <c r="Z89" s="119"/>
      <c r="AA89" s="119"/>
      <c r="AB89" s="119"/>
      <c r="AC89" s="119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</row>
    <row r="90" spans="1:50" ht="23.25" x14ac:dyDescent="0.35">
      <c r="A90" s="43"/>
      <c r="B90" s="43"/>
      <c r="C90" s="108"/>
      <c r="D90" s="50"/>
      <c r="E90" s="80"/>
      <c r="F90" s="80"/>
      <c r="G90" s="80"/>
      <c r="H90" s="34"/>
      <c r="I90" s="96"/>
      <c r="J90" s="96"/>
      <c r="K90" s="96"/>
      <c r="L90" s="96"/>
      <c r="M90" s="96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43"/>
      <c r="AE90" s="43"/>
      <c r="AF90" s="43"/>
      <c r="AG90" s="43"/>
      <c r="AH90" s="43"/>
      <c r="AI90" s="43"/>
      <c r="AJ90" s="43"/>
      <c r="AK90" s="43" t="str">
        <f ca="1">MID(AK$63,6,2)</f>
        <v>01</v>
      </c>
      <c r="AL90" s="43" t="str">
        <f t="shared" ref="AL90:AP90" ca="1" si="6">MID(AL$63,6,2)</f>
        <v>02</v>
      </c>
      <c r="AM90" s="43" t="str">
        <f t="shared" ca="1" si="6"/>
        <v>03</v>
      </c>
      <c r="AN90" s="43" t="str">
        <f t="shared" ca="1" si="6"/>
        <v>04</v>
      </c>
      <c r="AO90" s="43" t="str">
        <f t="shared" ca="1" si="6"/>
        <v>05</v>
      </c>
      <c r="AP90" s="43" t="str">
        <f t="shared" ca="1" si="6"/>
        <v>06</v>
      </c>
      <c r="AQ90" s="43"/>
      <c r="AR90" s="43"/>
      <c r="AS90" s="43"/>
      <c r="AT90" s="43"/>
      <c r="AU90" s="43"/>
      <c r="AV90" s="43"/>
      <c r="AW90" s="43"/>
      <c r="AX90" s="43"/>
    </row>
    <row r="91" spans="1:50" ht="22.5" customHeight="1" x14ac:dyDescent="0.3">
      <c r="A91" s="43"/>
      <c r="B91" s="157"/>
      <c r="C91" s="180"/>
      <c r="D91" s="157"/>
      <c r="E91" s="174"/>
      <c r="F91" s="174"/>
      <c r="G91" s="174"/>
      <c r="H91" s="138"/>
      <c r="I91" s="175"/>
      <c r="J91" s="175"/>
      <c r="K91" s="176"/>
      <c r="L91" s="176"/>
      <c r="M91" s="176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57"/>
      <c r="AE91" s="157"/>
      <c r="AF91" s="43"/>
      <c r="AG91" s="43"/>
      <c r="AH91" s="43"/>
      <c r="AI91" s="43"/>
      <c r="AJ91" s="43"/>
      <c r="AK91" s="43" t="str">
        <f ca="1">IF(AK90&gt;$AM$58,"yes","no")</f>
        <v>no</v>
      </c>
      <c r="AL91" s="43" t="str">
        <f t="shared" ref="AL91:AP91" ca="1" si="7">IF(AL90&gt;$AM$58,"yes","no")</f>
        <v>no</v>
      </c>
      <c r="AM91" s="43" t="str">
        <f t="shared" ca="1" si="7"/>
        <v>no</v>
      </c>
      <c r="AN91" s="43" t="str">
        <f t="shared" ca="1" si="7"/>
        <v>yes</v>
      </c>
      <c r="AO91" s="43" t="str">
        <f t="shared" ca="1" si="7"/>
        <v>yes</v>
      </c>
      <c r="AP91" s="43" t="str">
        <f t="shared" ca="1" si="7"/>
        <v>yes</v>
      </c>
      <c r="AQ91" s="43"/>
      <c r="AR91" s="43"/>
      <c r="AS91" s="43"/>
      <c r="AT91" s="43"/>
      <c r="AU91" s="43"/>
      <c r="AV91" s="43"/>
      <c r="AW91" s="43"/>
      <c r="AX91" s="43"/>
    </row>
    <row r="92" spans="1:50" s="35" customFormat="1" ht="20.25" customHeight="1" x14ac:dyDescent="0.3">
      <c r="A92" s="19"/>
      <c r="B92" s="157"/>
      <c r="C92" s="157"/>
      <c r="D92" s="177"/>
      <c r="E92" s="181"/>
      <c r="F92" s="181"/>
      <c r="G92" s="182"/>
      <c r="H92" s="178"/>
      <c r="I92" s="183"/>
      <c r="J92" s="184"/>
      <c r="K92" s="179"/>
      <c r="L92" s="179"/>
      <c r="M92" s="179"/>
      <c r="N92" s="179"/>
      <c r="O92" s="179"/>
      <c r="P92" s="179"/>
      <c r="Q92" s="179"/>
      <c r="R92" s="179"/>
      <c r="S92" s="179"/>
      <c r="T92" s="179"/>
      <c r="U92" s="179"/>
      <c r="V92" s="179"/>
      <c r="W92" s="179"/>
      <c r="X92" s="179"/>
      <c r="Y92" s="179"/>
      <c r="Z92" s="179"/>
      <c r="AA92" s="179"/>
      <c r="AB92" s="179"/>
      <c r="AC92" s="179"/>
      <c r="AD92" s="157"/>
      <c r="AE92" s="157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</row>
    <row r="93" spans="1:50" s="35" customFormat="1" ht="23.25" customHeight="1" x14ac:dyDescent="0.2">
      <c r="A93" s="19"/>
      <c r="B93" s="157"/>
      <c r="C93" s="157"/>
      <c r="D93" s="177"/>
      <c r="E93" s="250"/>
      <c r="F93" s="250"/>
      <c r="G93" s="250"/>
      <c r="H93" s="250"/>
      <c r="I93" s="250"/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  <c r="U93" s="250"/>
      <c r="V93" s="250"/>
      <c r="W93" s="250"/>
      <c r="X93" s="250"/>
      <c r="Y93" s="250"/>
      <c r="Z93" s="250"/>
      <c r="AA93" s="250"/>
      <c r="AB93" s="250"/>
      <c r="AC93" s="250"/>
      <c r="AD93" s="157"/>
      <c r="AE93" s="157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</row>
    <row r="94" spans="1:50" s="35" customFormat="1" ht="23.25" customHeight="1" x14ac:dyDescent="0.2">
      <c r="A94" s="19"/>
      <c r="B94" s="157"/>
      <c r="C94" s="157"/>
      <c r="D94" s="177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  <c r="U94" s="250"/>
      <c r="V94" s="250"/>
      <c r="W94" s="250"/>
      <c r="X94" s="250"/>
      <c r="Y94" s="250"/>
      <c r="Z94" s="250"/>
      <c r="AA94" s="250"/>
      <c r="AB94" s="250"/>
      <c r="AC94" s="250"/>
      <c r="AD94" s="157"/>
      <c r="AE94" s="157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</row>
    <row r="95" spans="1:50" s="35" customFormat="1" ht="23.25" customHeight="1" x14ac:dyDescent="0.2">
      <c r="A95" s="19"/>
      <c r="B95" s="157"/>
      <c r="C95" s="157"/>
      <c r="D95" s="177"/>
      <c r="E95" s="250"/>
      <c r="F95" s="250"/>
      <c r="G95" s="250"/>
      <c r="H95" s="250"/>
      <c r="I95" s="250"/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  <c r="U95" s="250"/>
      <c r="V95" s="250"/>
      <c r="W95" s="250"/>
      <c r="X95" s="250"/>
      <c r="Y95" s="250"/>
      <c r="Z95" s="250"/>
      <c r="AA95" s="250"/>
      <c r="AB95" s="250"/>
      <c r="AC95" s="250"/>
      <c r="AD95" s="157"/>
      <c r="AE95" s="157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</row>
    <row r="96" spans="1:50" s="35" customFormat="1" ht="23.25" customHeight="1" x14ac:dyDescent="0.2">
      <c r="A96" s="19"/>
      <c r="B96" s="157"/>
      <c r="C96" s="157"/>
      <c r="D96" s="177"/>
      <c r="E96" s="250"/>
      <c r="F96" s="250"/>
      <c r="G96" s="250"/>
      <c r="H96" s="250"/>
      <c r="I96" s="250"/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  <c r="U96" s="250"/>
      <c r="V96" s="250"/>
      <c r="W96" s="250"/>
      <c r="X96" s="250"/>
      <c r="Y96" s="250"/>
      <c r="Z96" s="250"/>
      <c r="AA96" s="250"/>
      <c r="AB96" s="250"/>
      <c r="AC96" s="250"/>
      <c r="AD96" s="157"/>
      <c r="AE96" s="157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</row>
    <row r="97" spans="1:50" s="35" customFormat="1" ht="12.75" x14ac:dyDescent="0.2">
      <c r="A97" s="19"/>
      <c r="B97" s="157"/>
      <c r="C97" s="15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57"/>
      <c r="AE97" s="157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</row>
    <row r="98" spans="1:50" s="35" customFormat="1" ht="12.75" x14ac:dyDescent="0.2">
      <c r="A98" s="19"/>
      <c r="B98" s="157"/>
      <c r="C98" s="15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57"/>
      <c r="AE98" s="157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</row>
    <row r="99" spans="1:50" s="35" customFormat="1" ht="12.75" x14ac:dyDescent="0.2">
      <c r="A99" s="19"/>
      <c r="B99" s="157"/>
      <c r="C99" s="15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57"/>
      <c r="AE99" s="157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</row>
    <row r="100" spans="1:50" s="19" customFormat="1" ht="12.75" x14ac:dyDescent="0.2">
      <c r="B100" s="43"/>
      <c r="C100" s="21"/>
      <c r="D100" s="21"/>
      <c r="E100" s="21"/>
      <c r="J100" s="43"/>
      <c r="L100" s="43"/>
      <c r="M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</row>
    <row r="101" spans="1:50" s="19" customFormat="1" ht="18" customHeight="1" x14ac:dyDescent="0.2">
      <c r="B101" s="43"/>
      <c r="C101" s="21"/>
      <c r="D101" s="21"/>
      <c r="E101" s="21"/>
      <c r="J101" s="43"/>
      <c r="L101" s="43"/>
      <c r="M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</row>
    <row r="102" spans="1:50" s="19" customFormat="1" ht="18" customHeight="1" x14ac:dyDescent="0.2">
      <c r="B102" s="43"/>
      <c r="J102" s="43"/>
      <c r="L102" s="43"/>
      <c r="M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</row>
    <row r="103" spans="1:50" s="19" customFormat="1" ht="18" customHeight="1" x14ac:dyDescent="0.2">
      <c r="B103" s="43"/>
      <c r="J103" s="43"/>
      <c r="L103" s="43"/>
      <c r="M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</row>
    <row r="104" spans="1:50" s="19" customFormat="1" ht="18" customHeight="1" x14ac:dyDescent="0.2">
      <c r="B104" s="43"/>
      <c r="J104" s="43"/>
      <c r="L104" s="43"/>
      <c r="M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</row>
    <row r="105" spans="1:50" s="19" customFormat="1" ht="18" customHeight="1" x14ac:dyDescent="0.2">
      <c r="B105" s="43"/>
      <c r="J105" s="43"/>
      <c r="L105" s="43"/>
      <c r="M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</row>
    <row r="106" spans="1:50" s="19" customFormat="1" ht="18" customHeight="1" x14ac:dyDescent="0.2">
      <c r="B106" s="43"/>
      <c r="C106" s="48"/>
      <c r="J106" s="43"/>
      <c r="L106" s="43"/>
      <c r="M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</row>
    <row r="107" spans="1:50" s="19" customFormat="1" ht="18" customHeight="1" x14ac:dyDescent="0.2">
      <c r="B107" s="43"/>
      <c r="J107" s="43"/>
      <c r="L107" s="43"/>
      <c r="M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</row>
    <row r="108" spans="1:50" s="19" customFormat="1" ht="18" customHeight="1" x14ac:dyDescent="0.2">
      <c r="B108" s="43"/>
      <c r="J108" s="43"/>
      <c r="L108" s="43"/>
      <c r="M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</row>
    <row r="109" spans="1:50" s="19" customFormat="1" ht="18" customHeight="1" x14ac:dyDescent="0.2">
      <c r="B109" s="43"/>
      <c r="J109" s="43"/>
      <c r="L109" s="43"/>
      <c r="M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</row>
    <row r="110" spans="1:50" s="19" customFormat="1" ht="18" customHeight="1" x14ac:dyDescent="0.2">
      <c r="B110" s="43"/>
      <c r="J110" s="43"/>
      <c r="L110" s="43"/>
      <c r="M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</row>
    <row r="111" spans="1:50" s="19" customFormat="1" ht="18" customHeight="1" x14ac:dyDescent="0.2">
      <c r="B111" s="43"/>
      <c r="J111" s="43"/>
      <c r="L111" s="43"/>
      <c r="M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</row>
    <row r="112" spans="1:50" s="19" customFormat="1" ht="18" customHeight="1" x14ac:dyDescent="0.2">
      <c r="B112" s="43"/>
      <c r="J112" s="43"/>
      <c r="L112" s="43"/>
      <c r="M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</row>
    <row r="113" spans="2:29" s="19" customFormat="1" ht="18" customHeight="1" x14ac:dyDescent="0.2">
      <c r="B113" s="43"/>
      <c r="J113" s="43"/>
      <c r="L113" s="43"/>
      <c r="M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</row>
    <row r="114" spans="2:29" s="19" customFormat="1" ht="18" customHeight="1" x14ac:dyDescent="0.2">
      <c r="B114" s="43"/>
      <c r="J114" s="43"/>
      <c r="L114" s="43"/>
      <c r="M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</row>
    <row r="115" spans="2:29" s="19" customFormat="1" ht="18" customHeight="1" x14ac:dyDescent="0.2">
      <c r="B115" s="43"/>
      <c r="J115" s="43"/>
      <c r="L115" s="43"/>
      <c r="M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</row>
    <row r="116" spans="2:29" s="19" customFormat="1" ht="18" customHeight="1" x14ac:dyDescent="0.2">
      <c r="B116" s="43"/>
      <c r="J116" s="43"/>
      <c r="L116" s="43"/>
      <c r="M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</row>
    <row r="117" spans="2:29" s="19" customFormat="1" ht="18" customHeight="1" x14ac:dyDescent="0.2">
      <c r="B117" s="43"/>
      <c r="J117" s="43"/>
      <c r="L117" s="43"/>
      <c r="M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</row>
    <row r="118" spans="2:29" s="19" customFormat="1" ht="18" customHeight="1" x14ac:dyDescent="0.2">
      <c r="B118" s="43"/>
      <c r="J118" s="43"/>
      <c r="L118" s="43"/>
      <c r="M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</row>
    <row r="119" spans="2:29" s="19" customFormat="1" ht="18" customHeight="1" x14ac:dyDescent="0.2">
      <c r="B119" s="43"/>
      <c r="J119" s="43"/>
      <c r="L119" s="43"/>
      <c r="M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</row>
    <row r="120" spans="2:29" s="19" customFormat="1" ht="18" customHeight="1" x14ac:dyDescent="0.2">
      <c r="B120" s="43"/>
      <c r="J120" s="43"/>
      <c r="L120" s="43"/>
      <c r="M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</row>
    <row r="121" spans="2:29" s="19" customFormat="1" ht="18" customHeight="1" x14ac:dyDescent="0.2">
      <c r="B121" s="43"/>
      <c r="J121" s="43"/>
      <c r="L121" s="43"/>
      <c r="M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</row>
    <row r="122" spans="2:29" s="19" customFormat="1" ht="18" customHeight="1" x14ac:dyDescent="0.2">
      <c r="B122" s="43"/>
      <c r="J122" s="43"/>
      <c r="L122" s="43"/>
      <c r="M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</row>
    <row r="123" spans="2:29" s="19" customFormat="1" ht="18" customHeight="1" x14ac:dyDescent="0.2">
      <c r="B123" s="43"/>
      <c r="J123" s="43"/>
      <c r="L123" s="43"/>
      <c r="M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</row>
    <row r="124" spans="2:29" s="19" customFormat="1" ht="18" customHeight="1" x14ac:dyDescent="0.2">
      <c r="B124" s="43"/>
      <c r="J124" s="43"/>
      <c r="L124" s="43"/>
      <c r="M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</row>
    <row r="125" spans="2:29" s="19" customFormat="1" ht="18" customHeight="1" x14ac:dyDescent="0.2">
      <c r="B125" s="43"/>
      <c r="J125" s="43"/>
      <c r="L125" s="43"/>
      <c r="M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</row>
    <row r="126" spans="2:29" s="19" customFormat="1" ht="18" customHeight="1" x14ac:dyDescent="0.2">
      <c r="B126" s="43"/>
      <c r="J126" s="43"/>
      <c r="L126" s="43"/>
      <c r="M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</row>
    <row r="127" spans="2:29" s="19" customFormat="1" ht="18" customHeight="1" x14ac:dyDescent="0.2">
      <c r="B127" s="43"/>
      <c r="J127" s="43"/>
      <c r="L127" s="43"/>
      <c r="M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</row>
    <row r="128" spans="2:29" s="19" customFormat="1" ht="18" customHeight="1" x14ac:dyDescent="0.2">
      <c r="B128" s="43"/>
      <c r="J128" s="43"/>
      <c r="L128" s="43"/>
      <c r="M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</row>
    <row r="129" spans="2:29" s="19" customFormat="1" ht="18" customHeight="1" x14ac:dyDescent="0.2">
      <c r="B129" s="43"/>
      <c r="J129" s="43"/>
      <c r="L129" s="43"/>
      <c r="M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</row>
    <row r="130" spans="2:29" s="19" customFormat="1" ht="18" customHeight="1" x14ac:dyDescent="0.2">
      <c r="B130" s="43"/>
      <c r="J130" s="43"/>
      <c r="L130" s="43"/>
      <c r="M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</row>
    <row r="131" spans="2:29" s="19" customFormat="1" ht="18" customHeight="1" x14ac:dyDescent="0.2">
      <c r="B131" s="43"/>
      <c r="J131" s="43"/>
      <c r="L131" s="43"/>
      <c r="M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</row>
    <row r="132" spans="2:29" s="19" customFormat="1" ht="18" customHeight="1" x14ac:dyDescent="0.2">
      <c r="B132" s="43"/>
      <c r="J132" s="43"/>
      <c r="L132" s="43"/>
      <c r="M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</row>
    <row r="133" spans="2:29" s="19" customFormat="1" ht="18" customHeight="1" x14ac:dyDescent="0.2">
      <c r="J133" s="43"/>
      <c r="L133" s="43"/>
      <c r="M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</row>
    <row r="134" spans="2:29" s="19" customFormat="1" ht="18" customHeight="1" x14ac:dyDescent="0.2">
      <c r="J134" s="43"/>
      <c r="L134" s="43"/>
      <c r="M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</row>
    <row r="135" spans="2:29" s="19" customFormat="1" ht="18" customHeight="1" x14ac:dyDescent="0.2">
      <c r="J135" s="43"/>
      <c r="L135" s="43"/>
      <c r="M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</row>
    <row r="136" spans="2:29" s="19" customFormat="1" ht="18" customHeight="1" x14ac:dyDescent="0.2">
      <c r="J136" s="43"/>
      <c r="L136" s="43"/>
      <c r="M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</row>
    <row r="137" spans="2:29" s="19" customFormat="1" ht="18" customHeight="1" x14ac:dyDescent="0.2">
      <c r="J137" s="43"/>
      <c r="L137" s="43"/>
      <c r="M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</row>
    <row r="138" spans="2:29" s="19" customFormat="1" ht="18" customHeight="1" x14ac:dyDescent="0.2">
      <c r="J138" s="43"/>
      <c r="L138" s="43"/>
      <c r="M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</row>
    <row r="139" spans="2:29" s="19" customFormat="1" ht="18" customHeight="1" x14ac:dyDescent="0.2">
      <c r="J139" s="43"/>
      <c r="L139" s="43"/>
      <c r="M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</row>
    <row r="140" spans="2:29" s="19" customFormat="1" ht="18" customHeight="1" x14ac:dyDescent="0.2">
      <c r="J140" s="43"/>
      <c r="L140" s="43"/>
      <c r="M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</row>
    <row r="141" spans="2:29" s="19" customFormat="1" ht="18" customHeight="1" x14ac:dyDescent="0.2">
      <c r="J141" s="43"/>
      <c r="L141" s="43"/>
      <c r="M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</row>
    <row r="142" spans="2:29" s="19" customFormat="1" ht="18" customHeight="1" x14ac:dyDescent="0.2">
      <c r="J142" s="43"/>
      <c r="L142" s="43"/>
      <c r="M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</row>
    <row r="143" spans="2:29" s="19" customFormat="1" ht="18" customHeight="1" x14ac:dyDescent="0.2">
      <c r="J143" s="43"/>
      <c r="L143" s="43"/>
      <c r="M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</row>
    <row r="144" spans="2:29" s="19" customFormat="1" ht="18" customHeight="1" x14ac:dyDescent="0.2">
      <c r="J144" s="43"/>
      <c r="L144" s="43"/>
      <c r="M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</row>
    <row r="145" spans="10:29" s="19" customFormat="1" ht="18" customHeight="1" x14ac:dyDescent="0.2">
      <c r="J145" s="43"/>
      <c r="L145" s="43"/>
      <c r="M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</row>
    <row r="146" spans="10:29" s="19" customFormat="1" ht="18" customHeight="1" x14ac:dyDescent="0.2">
      <c r="J146" s="43"/>
      <c r="L146" s="43"/>
      <c r="M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</row>
    <row r="147" spans="10:29" s="19" customFormat="1" ht="18" customHeight="1" x14ac:dyDescent="0.2">
      <c r="J147" s="43"/>
      <c r="L147" s="43"/>
      <c r="M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</row>
    <row r="148" spans="10:29" s="19" customFormat="1" ht="18" customHeight="1" x14ac:dyDescent="0.2">
      <c r="J148" s="43"/>
      <c r="L148" s="43"/>
      <c r="M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</row>
    <row r="149" spans="10:29" s="19" customFormat="1" ht="18" customHeight="1" x14ac:dyDescent="0.2">
      <c r="J149" s="43"/>
      <c r="L149" s="43"/>
      <c r="M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</row>
    <row r="150" spans="10:29" s="19" customFormat="1" ht="18" customHeight="1" x14ac:dyDescent="0.2">
      <c r="J150" s="43"/>
      <c r="L150" s="43"/>
      <c r="M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</row>
    <row r="151" spans="10:29" s="19" customFormat="1" ht="18" customHeight="1" x14ac:dyDescent="0.2">
      <c r="J151" s="43"/>
      <c r="L151" s="43"/>
      <c r="M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</row>
    <row r="152" spans="10:29" s="19" customFormat="1" ht="18" customHeight="1" x14ac:dyDescent="0.2">
      <c r="J152" s="43"/>
      <c r="L152" s="43"/>
      <c r="M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</row>
    <row r="153" spans="10:29" s="19" customFormat="1" ht="18" customHeight="1" x14ac:dyDescent="0.2">
      <c r="J153" s="43"/>
      <c r="L153" s="43"/>
      <c r="M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</row>
    <row r="154" spans="10:29" s="19" customFormat="1" ht="18" customHeight="1" x14ac:dyDescent="0.2">
      <c r="J154" s="43"/>
      <c r="L154" s="43"/>
      <c r="M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</row>
    <row r="155" spans="10:29" s="19" customFormat="1" ht="18" customHeight="1" x14ac:dyDescent="0.2">
      <c r="J155" s="43"/>
      <c r="L155" s="43"/>
      <c r="M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</row>
    <row r="156" spans="10:29" s="19" customFormat="1" ht="18" customHeight="1" x14ac:dyDescent="0.2">
      <c r="J156" s="43"/>
      <c r="L156" s="43"/>
      <c r="M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</row>
    <row r="157" spans="10:29" s="19" customFormat="1" ht="18" customHeight="1" x14ac:dyDescent="0.2">
      <c r="J157" s="43"/>
      <c r="L157" s="43"/>
      <c r="M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</row>
    <row r="158" spans="10:29" s="19" customFormat="1" ht="18" customHeight="1" x14ac:dyDescent="0.2">
      <c r="J158" s="43"/>
      <c r="L158" s="43"/>
      <c r="M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</row>
    <row r="159" spans="10:29" s="19" customFormat="1" ht="18" customHeight="1" x14ac:dyDescent="0.2">
      <c r="J159" s="43"/>
      <c r="L159" s="43"/>
      <c r="M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</row>
    <row r="160" spans="10:29" s="19" customFormat="1" ht="18" customHeight="1" x14ac:dyDescent="0.2">
      <c r="J160" s="43"/>
      <c r="L160" s="43"/>
      <c r="M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</row>
    <row r="161" spans="10:29" s="19" customFormat="1" ht="18" customHeight="1" x14ac:dyDescent="0.2">
      <c r="J161" s="43"/>
      <c r="L161" s="43"/>
      <c r="M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</row>
    <row r="162" spans="10:29" s="19" customFormat="1" ht="18" customHeight="1" x14ac:dyDescent="0.2">
      <c r="J162" s="43"/>
      <c r="L162" s="43"/>
      <c r="M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</row>
    <row r="163" spans="10:29" s="19" customFormat="1" ht="18" customHeight="1" x14ac:dyDescent="0.2">
      <c r="J163" s="43"/>
      <c r="L163" s="43"/>
      <c r="M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</row>
    <row r="164" spans="10:29" s="19" customFormat="1" ht="18" customHeight="1" x14ac:dyDescent="0.2">
      <c r="J164" s="43"/>
      <c r="L164" s="43"/>
      <c r="M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</row>
    <row r="165" spans="10:29" s="19" customFormat="1" ht="18" customHeight="1" x14ac:dyDescent="0.2">
      <c r="J165" s="43"/>
      <c r="L165" s="43"/>
      <c r="M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</row>
    <row r="166" spans="10:29" s="19" customFormat="1" ht="18" customHeight="1" x14ac:dyDescent="0.2">
      <c r="J166" s="43"/>
      <c r="L166" s="43"/>
      <c r="M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</row>
    <row r="167" spans="10:29" s="19" customFormat="1" ht="18" customHeight="1" x14ac:dyDescent="0.2">
      <c r="J167" s="43"/>
      <c r="L167" s="43"/>
      <c r="M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</row>
    <row r="168" spans="10:29" s="19" customFormat="1" ht="18" customHeight="1" x14ac:dyDescent="0.2">
      <c r="J168" s="43"/>
      <c r="L168" s="43"/>
      <c r="M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</row>
  </sheetData>
  <sheetProtection formatColumns="0" formatRows="0"/>
  <protectedRanges>
    <protectedRange sqref="G93:AC95" name="Commentaires"/>
  </protectedRanges>
  <mergeCells count="65">
    <mergeCell ref="F10:U11"/>
    <mergeCell ref="L20:M21"/>
    <mergeCell ref="T20:V21"/>
    <mergeCell ref="W20:X21"/>
    <mergeCell ref="O20:Q21"/>
    <mergeCell ref="R20:R21"/>
    <mergeCell ref="AC1:AF1"/>
    <mergeCell ref="T22:T23"/>
    <mergeCell ref="X22:X23"/>
    <mergeCell ref="Q22:R23"/>
    <mergeCell ref="M22:M23"/>
    <mergeCell ref="Z22:AA23"/>
    <mergeCell ref="AB22:AC23"/>
    <mergeCell ref="U22:U23"/>
    <mergeCell ref="V22:V23"/>
    <mergeCell ref="W22:W23"/>
    <mergeCell ref="T18:AB18"/>
    <mergeCell ref="I18:Q18"/>
    <mergeCell ref="Z20:AB21"/>
    <mergeCell ref="AC20:AC21"/>
    <mergeCell ref="I20:K21"/>
    <mergeCell ref="Y10:AB11"/>
    <mergeCell ref="E96:AC96"/>
    <mergeCell ref="E94:AC94"/>
    <mergeCell ref="E93:AC93"/>
    <mergeCell ref="AO27:AQ27"/>
    <mergeCell ref="E28:G28"/>
    <mergeCell ref="E29:G29"/>
    <mergeCell ref="E30:G30"/>
    <mergeCell ref="E31:G31"/>
    <mergeCell ref="E32:G32"/>
    <mergeCell ref="E33:G33"/>
    <mergeCell ref="E34:G34"/>
    <mergeCell ref="E35:G35"/>
    <mergeCell ref="E42:G42"/>
    <mergeCell ref="E36:G36"/>
    <mergeCell ref="E38:G38"/>
    <mergeCell ref="E44:G44"/>
    <mergeCell ref="E95:AC95"/>
    <mergeCell ref="E57:G57"/>
    <mergeCell ref="E48:G48"/>
    <mergeCell ref="E49:G49"/>
    <mergeCell ref="E50:G50"/>
    <mergeCell ref="E52:G52"/>
    <mergeCell ref="E55:G55"/>
    <mergeCell ref="E41:G41"/>
    <mergeCell ref="E37:G37"/>
    <mergeCell ref="E56:G56"/>
    <mergeCell ref="E54:G54"/>
    <mergeCell ref="E51:G51"/>
    <mergeCell ref="E53:G53"/>
    <mergeCell ref="E43:G43"/>
    <mergeCell ref="E45:G45"/>
    <mergeCell ref="E46:G46"/>
    <mergeCell ref="E47:G47"/>
    <mergeCell ref="E39:G39"/>
    <mergeCell ref="E40:G40"/>
    <mergeCell ref="E25:G25"/>
    <mergeCell ref="E26:G26"/>
    <mergeCell ref="E27:G27"/>
    <mergeCell ref="O22:P23"/>
    <mergeCell ref="I22:I23"/>
    <mergeCell ref="J22:J23"/>
    <mergeCell ref="K22:K23"/>
    <mergeCell ref="L22:L23"/>
  </mergeCells>
  <phoneticPr fontId="0" type="noConversion"/>
  <conditionalFormatting sqref="Q58:Q62 Q45:Q47">
    <cfRule type="cellIs" dxfId="23" priority="75" operator="equal">
      <formula>$AO$28</formula>
    </cfRule>
  </conditionalFormatting>
  <conditionalFormatting sqref="Q58:Q62 Q45:Q47">
    <cfRule type="cellIs" dxfId="22" priority="74" operator="equal">
      <formula>$AP$28</formula>
    </cfRule>
  </conditionalFormatting>
  <conditionalFormatting sqref="Q58:Q62 Q45:Q47">
    <cfRule type="cellIs" dxfId="21" priority="73" operator="equal">
      <formula>$AQ$28</formula>
    </cfRule>
  </conditionalFormatting>
  <conditionalFormatting sqref="Q49:Q51">
    <cfRule type="cellIs" dxfId="20" priority="63" operator="equal">
      <formula>$AO$28</formula>
    </cfRule>
  </conditionalFormatting>
  <conditionalFormatting sqref="Q49:Q51">
    <cfRule type="cellIs" dxfId="19" priority="62" operator="equal">
      <formula>$AP$28</formula>
    </cfRule>
  </conditionalFormatting>
  <conditionalFormatting sqref="Q49:Q51">
    <cfRule type="cellIs" dxfId="18" priority="61" operator="equal">
      <formula>$AQ$28</formula>
    </cfRule>
  </conditionalFormatting>
  <conditionalFormatting sqref="Q53:Q54">
    <cfRule type="cellIs" dxfId="17" priority="60" operator="equal">
      <formula>$AO$28</formula>
    </cfRule>
  </conditionalFormatting>
  <conditionalFormatting sqref="Q53:Q54">
    <cfRule type="cellIs" dxfId="16" priority="59" operator="equal">
      <formula>$AP$28</formula>
    </cfRule>
  </conditionalFormatting>
  <conditionalFormatting sqref="Q53:Q54">
    <cfRule type="cellIs" dxfId="15" priority="58" operator="equal">
      <formula>$AQ$28</formula>
    </cfRule>
  </conditionalFormatting>
  <conditionalFormatting sqref="Q56:Q57">
    <cfRule type="cellIs" dxfId="14" priority="57" operator="equal">
      <formula>$AO$28</formula>
    </cfRule>
  </conditionalFormatting>
  <conditionalFormatting sqref="Q56:Q57">
    <cfRule type="cellIs" dxfId="13" priority="56" operator="equal">
      <formula>$AP$28</formula>
    </cfRule>
  </conditionalFormatting>
  <conditionalFormatting sqref="Q56:Q57">
    <cfRule type="cellIs" dxfId="12" priority="55" operator="equal">
      <formula>$AQ$28</formula>
    </cfRule>
  </conditionalFormatting>
  <conditionalFormatting sqref="Q48">
    <cfRule type="cellIs" dxfId="11" priority="39" operator="equal">
      <formula>$AO$28</formula>
    </cfRule>
  </conditionalFormatting>
  <conditionalFormatting sqref="Q48">
    <cfRule type="cellIs" dxfId="10" priority="38" operator="equal">
      <formula>$AP$28</formula>
    </cfRule>
  </conditionalFormatting>
  <conditionalFormatting sqref="Q48">
    <cfRule type="cellIs" dxfId="9" priority="37" operator="equal">
      <formula>$AQ$28</formula>
    </cfRule>
  </conditionalFormatting>
  <conditionalFormatting sqref="Q52">
    <cfRule type="cellIs" dxfId="8" priority="36" operator="equal">
      <formula>$AO$28</formula>
    </cfRule>
  </conditionalFormatting>
  <conditionalFormatting sqref="Q52">
    <cfRule type="cellIs" dxfId="7" priority="35" operator="equal">
      <formula>$AP$28</formula>
    </cfRule>
  </conditionalFormatting>
  <conditionalFormatting sqref="Q52">
    <cfRule type="cellIs" dxfId="6" priority="34" operator="equal">
      <formula>$AQ$28</formula>
    </cfRule>
  </conditionalFormatting>
  <conditionalFormatting sqref="Q55">
    <cfRule type="cellIs" dxfId="5" priority="33" operator="equal">
      <formula>$AO$28</formula>
    </cfRule>
  </conditionalFormatting>
  <conditionalFormatting sqref="Q55">
    <cfRule type="cellIs" dxfId="4" priority="32" operator="equal">
      <formula>$AP$28</formula>
    </cfRule>
  </conditionalFormatting>
  <conditionalFormatting sqref="Q55">
    <cfRule type="cellIs" dxfId="3" priority="31" operator="equal">
      <formula>$AQ$28</formula>
    </cfRule>
  </conditionalFormatting>
  <conditionalFormatting sqref="O35">
    <cfRule type="cellIs" dxfId="2" priority="3" operator="equal">
      <formula>$AO$28</formula>
    </cfRule>
  </conditionalFormatting>
  <conditionalFormatting sqref="O35">
    <cfRule type="cellIs" dxfId="1" priority="2" operator="equal">
      <formula>$AP$28</formula>
    </cfRule>
  </conditionalFormatting>
  <conditionalFormatting sqref="O35">
    <cfRule type="cellIs" dxfId="0" priority="1" operator="equal">
      <formula>$AQ$28</formula>
    </cfRule>
  </conditionalFormatting>
  <dataValidations count="2">
    <dataValidation type="list" allowBlank="1" showInputMessage="1" showErrorMessage="1" sqref="F16">
      <formula1>Language</formula1>
    </dataValidation>
    <dataValidation type="list" allowBlank="1" showInputMessage="1" showErrorMessage="1" sqref="F23">
      <formula1>$AN$13:$AN$15</formula1>
    </dataValidation>
  </dataValidations>
  <printOptions horizontalCentered="1" verticalCentered="1"/>
  <pageMargins left="0" right="0" top="0" bottom="0" header="0" footer="0"/>
  <pageSetup paperSize="9" scale="49" orientation="landscape" r:id="rId1"/>
  <headerFooter alignWithMargins="0"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5</xdr:col>
                <xdr:colOff>371475</xdr:colOff>
                <xdr:row>20</xdr:row>
                <xdr:rowOff>161925</xdr:rowOff>
              </from>
              <to>
                <xdr:col>5</xdr:col>
                <xdr:colOff>1714500</xdr:colOff>
                <xdr:row>22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25</vt:i4>
      </vt:variant>
    </vt:vector>
  </HeadingPairs>
  <TitlesOfParts>
    <vt:vector size="27" baseType="lpstr">
      <vt:lpstr>Context</vt:lpstr>
      <vt:lpstr>PL</vt:lpstr>
      <vt:lpstr>ActualForecastAdmin</vt:lpstr>
      <vt:lpstr>ActualMonth</vt:lpstr>
      <vt:lpstr>ActualMonthYTD</vt:lpstr>
      <vt:lpstr>AutoFit</vt:lpstr>
      <vt:lpstr>AutoRefresh_PL</vt:lpstr>
      <vt:lpstr>Cube1</vt:lpstr>
      <vt:lpstr>Cube2</vt:lpstr>
      <vt:lpstr>DBS_COM_pl_1</vt:lpstr>
      <vt:lpstr>DBS_COM_pl_2</vt:lpstr>
      <vt:lpstr>DBS_COM_pl_3</vt:lpstr>
      <vt:lpstr>DBS_COM_pl_4</vt:lpstr>
      <vt:lpstr>Flag_Send_Comment</vt:lpstr>
      <vt:lpstr>Flag_Send_Data</vt:lpstr>
      <vt:lpstr>PL!Impression_des_titres</vt:lpstr>
      <vt:lpstr>Language</vt:lpstr>
      <vt:lpstr>LocalLanguage</vt:lpstr>
      <vt:lpstr>LocalLanguage2</vt:lpstr>
      <vt:lpstr>Note</vt:lpstr>
      <vt:lpstr>PhaseHidden_1</vt:lpstr>
      <vt:lpstr>PhaseHidden_2</vt:lpstr>
      <vt:lpstr>PhaseList</vt:lpstr>
      <vt:lpstr>Server</vt:lpstr>
      <vt:lpstr>xHost</vt:lpstr>
      <vt:lpstr>xServer</vt:lpstr>
      <vt:lpstr>PL!Zone_d_impression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2013-04-18T14:37:05Z</cp:lastPrinted>
  <dcterms:created xsi:type="dcterms:W3CDTF">2011-06-21T16:52:24Z</dcterms:created>
  <dcterms:modified xsi:type="dcterms:W3CDTF">2013-04-18T15:06:40Z</dcterms:modified>
</cp:coreProperties>
</file>