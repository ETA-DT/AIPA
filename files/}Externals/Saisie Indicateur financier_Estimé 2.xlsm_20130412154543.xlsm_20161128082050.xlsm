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2390" windowHeight="8835" tabRatio="852" firstSheet="1" activeTab="1"/>
  </bookViews>
  <sheets>
    <sheet name="Context" sheetId="66" state="hidden" r:id="rId1"/>
    <sheet name="PL_Saisie_Estime2" sheetId="58" r:id="rId2"/>
    <sheet name="PL_Saisie_Estime2_DBS" sheetId="67" state="hidden" r:id="rId3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Context!$B$14</definedName>
    <definedName name="ActualMonth">Context!$B$13</definedName>
    <definedName name="ActualMonthYTD">Context!$F$13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PL_Saisie_Estime2!$I$25:$O$437</definedName>
    <definedName name="AutoFit2">PL_Saisie_Estime2!$T$25:$AF$437</definedName>
    <definedName name="AutoRefresh_PL_Saisie_Estime2">PL_Saisie_Estime2!$F$1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PL_Saisie_Estime2!$E$442</definedName>
    <definedName name="DBS_COM_pl_2">PL_Saisie_Estime2!$E$443</definedName>
    <definedName name="DBS_COM_pl_3">PL_Saisie_Estime2!$E$444</definedName>
    <definedName name="DBS_COM_pl_4">PL_Saisie_Estime2!$E$445</definedName>
    <definedName name="DBS_Input_PL_Forecast_1">PL_Saisie_Estime2!$Z$28:$AE$30</definedName>
    <definedName name="DBS_Input_PL_Forecast_10">PL_Saisie_Estime2!$Z$149:$AE$161</definedName>
    <definedName name="DBS_Input_PL_Forecast_11">PL_Saisie_Estime2!$Z$163:$AE$175</definedName>
    <definedName name="DBS_Input_PL_Forecast_12">PL_Saisie_Estime2!$Z$177:$AE$189</definedName>
    <definedName name="DBS_Input_PL_Forecast_13">PL_Saisie_Estime2!$Z$191:$AE$203</definedName>
    <definedName name="DBS_Input_PL_Forecast_14">PL_Saisie_Estime2!$Z$205:$AE$217</definedName>
    <definedName name="DBS_Input_PL_Forecast_15">PL_Saisie_Estime2!$Z$219:$AE$219</definedName>
    <definedName name="DBS_Input_PL_Forecast_16">PL_Saisie_Estime2!$Z$222:$AE$222</definedName>
    <definedName name="DBS_Input_PL_Forecast_17">PL_Saisie_Estime2!$Z$224:$AE$224</definedName>
    <definedName name="DBS_Input_PL_Forecast_18">PL_Saisie_Estime2!$Z$226:$AE$236</definedName>
    <definedName name="DBS_Input_PL_Forecast_19">PL_Saisie_Estime2!$Z$238:$AE$250</definedName>
    <definedName name="DBS_Input_PL_Forecast_2">PL_Saisie_Estime2!$Z$36:$AE$48</definedName>
    <definedName name="DBS_Input_PL_Forecast_20">PL_Saisie_Estime2!$Z$252:$AE$264</definedName>
    <definedName name="DBS_Input_PL_Forecast_21">PL_Saisie_Estime2!$Z$267:$AE$279</definedName>
    <definedName name="DBS_Input_PL_Forecast_22">PL_Saisie_Estime2!$Z$281:$AE$293</definedName>
    <definedName name="DBS_Input_PL_Forecast_23">PL_Saisie_Estime2!$Z$297:$AE$309</definedName>
    <definedName name="DBS_Input_PL_Forecast_24">PL_Saisie_Estime2!$Z$311:$AE$323</definedName>
    <definedName name="DBS_Input_PL_Forecast_25">PL_Saisie_Estime2!$Z$326:$AE$338</definedName>
    <definedName name="DBS_Input_PL_Forecast_26">PL_Saisie_Estime2!$Z$340:$AE$352</definedName>
    <definedName name="DBS_Input_PL_Forecast_27">PL_Saisie_Estime2!$Z$354:$AE$366</definedName>
    <definedName name="DBS_Input_PL_Forecast_28">PL_Saisie_Estime2!$Z$369:$AE$381</definedName>
    <definedName name="DBS_Input_PL_Forecast_29">PL_Saisie_Estime2!$Z$383:$AE$395</definedName>
    <definedName name="DBS_Input_PL_Forecast_3">PL_Saisie_Estime2!$Z$50:$AE$62</definedName>
    <definedName name="DBS_Input_PL_Forecast_30">PL_Saisie_Estime2!$Z$398:$AE$398</definedName>
    <definedName name="DBS_Input_PL_Forecast_31">PL_Saisie_Estime2!$Z$400:$AE$405</definedName>
    <definedName name="DBS_Input_PL_Forecast_32">PL_Saisie_Estime2!$Z$407:$AE$407</definedName>
    <definedName name="DBS_Input_PL_Forecast_33">PL_Saisie_Estime2!$Z$409:$AE$413</definedName>
    <definedName name="DBS_Input_PL_Forecast_34">PL_Saisie_Estime2!$Z$415:$AE$415</definedName>
    <definedName name="DBS_Input_PL_Forecast_35">PL_Saisie_Estime2!$Z$418:$AE$419</definedName>
    <definedName name="DBS_Input_PL_Forecast_36">PL_Saisie_Estime2!$Z$421:$AE$421</definedName>
    <definedName name="DBS_Input_PL_Forecast_37">PL_Saisie_Estime2!$Z$423:$AE$423</definedName>
    <definedName name="DBS_Input_PL_Forecast_38">PL_Saisie_Estime2!$Z$425:$AE$425</definedName>
    <definedName name="DBS_Input_PL_Forecast_39">PL_Saisie_Estime2!$Z$430:$AE$431</definedName>
    <definedName name="DBS_Input_PL_Forecast_4">PL_Saisie_Estime2!$Z$64:$AE$76</definedName>
    <definedName name="DBS_Input_PL_Forecast_40">PL_Saisie_Estime2!$Z$435:$AE$435</definedName>
    <definedName name="DBS_Input_PL_Forecast_5">PL_Saisie_Estime2!$Z$78:$AE$90</definedName>
    <definedName name="DBS_Input_PL_Forecast_6">PL_Saisie_Estime2!$Z$92:$AE$104</definedName>
    <definedName name="DBS_Input_PL_Forecast_7">PL_Saisie_Estime2!$Z$107:$AE$119</definedName>
    <definedName name="DBS_Input_PL_Forecast_8">PL_Saisie_Estime2!$Z$121:$AE$133</definedName>
    <definedName name="DBS_Input_PL_Forecast_9">PL_Saisie_Estime2!$Z$135:$AE$147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irst_Flag_Indicator">PL_Saisie_Estime2!$A$25</definedName>
    <definedName name="FirstIndicatorList">PL_Saisie_Estime2!$Q$25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PL_Saisie_Estime2!$9:$23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ast_Flag_Indicator">PL_Saisie_Estime2!$A$437</definedName>
    <definedName name="LastIndicatorList">PL_Saisie_Estime2!$Q$437</definedName>
    <definedName name="LocalLanguage">Context!$B$15</definedName>
    <definedName name="LocalLanguage2">Context!$C$15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Context!$B$21:$B$23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PL_Saisie_Estime2!$D$8:$AG$447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P10" i="58" l="1"/>
  <c r="B13" i="66"/>
  <c r="C13" i="66"/>
  <c r="F13" i="58"/>
  <c r="B5" i="66"/>
  <c r="F14" i="58"/>
  <c r="F15" i="58"/>
  <c r="F16" i="58"/>
  <c r="F17" i="58"/>
  <c r="F18" i="58"/>
  <c r="F19" i="58"/>
  <c r="F20" i="58"/>
  <c r="AT35" i="58"/>
  <c r="C16" i="58"/>
  <c r="B323" i="58"/>
  <c r="A323" i="58"/>
  <c r="B322" i="58"/>
  <c r="A322" i="58"/>
  <c r="B321" i="58"/>
  <c r="A321" i="58"/>
  <c r="B320" i="58"/>
  <c r="A320" i="58"/>
  <c r="B319" i="58"/>
  <c r="A319" i="58"/>
  <c r="B318" i="58"/>
  <c r="A318" i="58"/>
  <c r="B317" i="58"/>
  <c r="A317" i="58"/>
  <c r="B316" i="58"/>
  <c r="A316" i="58"/>
  <c r="B315" i="58"/>
  <c r="A315" i="58"/>
  <c r="B314" i="58"/>
  <c r="A314" i="58"/>
  <c r="B313" i="58"/>
  <c r="A313" i="58"/>
  <c r="B312" i="58"/>
  <c r="A312" i="58"/>
  <c r="B311" i="58"/>
  <c r="A311" i="58"/>
  <c r="B309" i="58"/>
  <c r="A309" i="58"/>
  <c r="B308" i="58"/>
  <c r="A308" i="58"/>
  <c r="B307" i="58"/>
  <c r="A307" i="58"/>
  <c r="B306" i="58"/>
  <c r="A306" i="58"/>
  <c r="B305" i="58"/>
  <c r="A305" i="58"/>
  <c r="B304" i="58"/>
  <c r="A304" i="58"/>
  <c r="B303" i="58"/>
  <c r="A303" i="58"/>
  <c r="B302" i="58"/>
  <c r="A302" i="58"/>
  <c r="B301" i="58"/>
  <c r="A301" i="58"/>
  <c r="B300" i="58"/>
  <c r="A300" i="58"/>
  <c r="B299" i="58"/>
  <c r="A299" i="58"/>
  <c r="B298" i="58"/>
  <c r="A298" i="58"/>
  <c r="B297" i="58"/>
  <c r="A297" i="58"/>
  <c r="M22" i="58"/>
  <c r="G3" i="58"/>
  <c r="I2" i="58"/>
  <c r="K2" i="58"/>
  <c r="K437" i="58"/>
  <c r="J2" i="58"/>
  <c r="J437" i="58"/>
  <c r="L437" i="58"/>
  <c r="I437" i="58"/>
  <c r="M437" i="58"/>
  <c r="K435" i="58"/>
  <c r="J435" i="58"/>
  <c r="L435" i="58"/>
  <c r="I435" i="58"/>
  <c r="M435" i="58"/>
  <c r="K433" i="58"/>
  <c r="J433" i="58"/>
  <c r="L433" i="58"/>
  <c r="I433" i="58"/>
  <c r="M433" i="58"/>
  <c r="K431" i="58"/>
  <c r="J431" i="58"/>
  <c r="L431" i="58"/>
  <c r="I431" i="58"/>
  <c r="M431" i="58"/>
  <c r="K430" i="58"/>
  <c r="J430" i="58"/>
  <c r="L430" i="58"/>
  <c r="I430" i="58"/>
  <c r="M430" i="58"/>
  <c r="K429" i="58"/>
  <c r="J429" i="58"/>
  <c r="L429" i="58"/>
  <c r="I429" i="58"/>
  <c r="M429" i="58"/>
  <c r="K427" i="58"/>
  <c r="J427" i="58"/>
  <c r="L427" i="58"/>
  <c r="I427" i="58"/>
  <c r="M427" i="58"/>
  <c r="M426" i="58"/>
  <c r="K425" i="58"/>
  <c r="J425" i="58"/>
  <c r="L425" i="58"/>
  <c r="I425" i="58"/>
  <c r="M425" i="58"/>
  <c r="K424" i="58"/>
  <c r="J424" i="58"/>
  <c r="L424" i="58"/>
  <c r="I424" i="58"/>
  <c r="M424" i="58"/>
  <c r="K423" i="58"/>
  <c r="J423" i="58"/>
  <c r="L423" i="58"/>
  <c r="I423" i="58"/>
  <c r="M423" i="58"/>
  <c r="K422" i="58"/>
  <c r="J422" i="58"/>
  <c r="L422" i="58"/>
  <c r="I422" i="58"/>
  <c r="M422" i="58"/>
  <c r="K421" i="58"/>
  <c r="J421" i="58"/>
  <c r="L421" i="58"/>
  <c r="I421" i="58"/>
  <c r="M421" i="58"/>
  <c r="K420" i="58"/>
  <c r="J420" i="58"/>
  <c r="L420" i="58"/>
  <c r="I420" i="58"/>
  <c r="M420" i="58"/>
  <c r="K419" i="58"/>
  <c r="J419" i="58"/>
  <c r="L419" i="58"/>
  <c r="I419" i="58"/>
  <c r="M419" i="58"/>
  <c r="K418" i="58"/>
  <c r="J418" i="58"/>
  <c r="L418" i="58"/>
  <c r="I418" i="58"/>
  <c r="M418" i="58"/>
  <c r="K417" i="58"/>
  <c r="J417" i="58"/>
  <c r="L417" i="58"/>
  <c r="I417" i="58"/>
  <c r="M417" i="58"/>
  <c r="K416" i="58"/>
  <c r="J416" i="58"/>
  <c r="L416" i="58"/>
  <c r="I416" i="58"/>
  <c r="M416" i="58"/>
  <c r="K415" i="58"/>
  <c r="J415" i="58"/>
  <c r="L415" i="58"/>
  <c r="I415" i="58"/>
  <c r="M415" i="58"/>
  <c r="K414" i="58"/>
  <c r="J414" i="58"/>
  <c r="L414" i="58"/>
  <c r="I414" i="58"/>
  <c r="M414" i="58"/>
  <c r="K413" i="58"/>
  <c r="J413" i="58"/>
  <c r="L413" i="58"/>
  <c r="I413" i="58"/>
  <c r="M413" i="58"/>
  <c r="K412" i="58"/>
  <c r="J412" i="58"/>
  <c r="L412" i="58"/>
  <c r="I412" i="58"/>
  <c r="M412" i="58"/>
  <c r="K411" i="58"/>
  <c r="J411" i="58"/>
  <c r="L411" i="58"/>
  <c r="I411" i="58"/>
  <c r="M411" i="58"/>
  <c r="K410" i="58"/>
  <c r="J410" i="58"/>
  <c r="L410" i="58"/>
  <c r="I410" i="58"/>
  <c r="M410" i="58"/>
  <c r="K409" i="58"/>
  <c r="J409" i="58"/>
  <c r="L409" i="58"/>
  <c r="I409" i="58"/>
  <c r="M409" i="58"/>
  <c r="K408" i="58"/>
  <c r="J408" i="58"/>
  <c r="L408" i="58"/>
  <c r="I408" i="58"/>
  <c r="M408" i="58"/>
  <c r="K407" i="58"/>
  <c r="J407" i="58"/>
  <c r="L407" i="58"/>
  <c r="I407" i="58"/>
  <c r="M407" i="58"/>
  <c r="K406" i="58"/>
  <c r="J406" i="58"/>
  <c r="L406" i="58"/>
  <c r="I406" i="58"/>
  <c r="M406" i="58"/>
  <c r="K405" i="58"/>
  <c r="J405" i="58"/>
  <c r="L405" i="58"/>
  <c r="I405" i="58"/>
  <c r="M405" i="58"/>
  <c r="K404" i="58"/>
  <c r="J404" i="58"/>
  <c r="L404" i="58"/>
  <c r="I404" i="58"/>
  <c r="M404" i="58"/>
  <c r="K403" i="58"/>
  <c r="J403" i="58"/>
  <c r="L403" i="58"/>
  <c r="I403" i="58"/>
  <c r="M403" i="58"/>
  <c r="K402" i="58"/>
  <c r="J402" i="58"/>
  <c r="L402" i="58"/>
  <c r="I402" i="58"/>
  <c r="M402" i="58"/>
  <c r="K401" i="58"/>
  <c r="J401" i="58"/>
  <c r="L401" i="58"/>
  <c r="I401" i="58"/>
  <c r="M401" i="58"/>
  <c r="K400" i="58"/>
  <c r="J400" i="58"/>
  <c r="L400" i="58"/>
  <c r="I400" i="58"/>
  <c r="M400" i="58"/>
  <c r="K399" i="58"/>
  <c r="J399" i="58"/>
  <c r="L399" i="58"/>
  <c r="I399" i="58"/>
  <c r="M399" i="58"/>
  <c r="K398" i="58"/>
  <c r="J398" i="58"/>
  <c r="L398" i="58"/>
  <c r="I398" i="58"/>
  <c r="M398" i="58"/>
  <c r="K397" i="58"/>
  <c r="J397" i="58"/>
  <c r="L397" i="58"/>
  <c r="I397" i="58"/>
  <c r="M397" i="58"/>
  <c r="K396" i="58"/>
  <c r="J396" i="58"/>
  <c r="L396" i="58"/>
  <c r="I396" i="58"/>
  <c r="M396" i="58"/>
  <c r="K395" i="58"/>
  <c r="J395" i="58"/>
  <c r="L395" i="58"/>
  <c r="I395" i="58"/>
  <c r="M395" i="58"/>
  <c r="K394" i="58"/>
  <c r="J394" i="58"/>
  <c r="L394" i="58"/>
  <c r="I394" i="58"/>
  <c r="M394" i="58"/>
  <c r="K393" i="58"/>
  <c r="J393" i="58"/>
  <c r="L393" i="58"/>
  <c r="I393" i="58"/>
  <c r="M393" i="58"/>
  <c r="K392" i="58"/>
  <c r="J392" i="58"/>
  <c r="L392" i="58"/>
  <c r="I392" i="58"/>
  <c r="M392" i="58"/>
  <c r="K391" i="58"/>
  <c r="J391" i="58"/>
  <c r="L391" i="58"/>
  <c r="I391" i="58"/>
  <c r="M391" i="58"/>
  <c r="K390" i="58"/>
  <c r="J390" i="58"/>
  <c r="L390" i="58"/>
  <c r="I390" i="58"/>
  <c r="M390" i="58"/>
  <c r="K389" i="58"/>
  <c r="J389" i="58"/>
  <c r="L389" i="58"/>
  <c r="I389" i="58"/>
  <c r="M389" i="58"/>
  <c r="K388" i="58"/>
  <c r="J388" i="58"/>
  <c r="L388" i="58"/>
  <c r="I388" i="58"/>
  <c r="M388" i="58"/>
  <c r="K387" i="58"/>
  <c r="J387" i="58"/>
  <c r="L387" i="58"/>
  <c r="I387" i="58"/>
  <c r="M387" i="58"/>
  <c r="K386" i="58"/>
  <c r="J386" i="58"/>
  <c r="L386" i="58"/>
  <c r="I386" i="58"/>
  <c r="M386" i="58"/>
  <c r="K385" i="58"/>
  <c r="J385" i="58"/>
  <c r="L385" i="58"/>
  <c r="I385" i="58"/>
  <c r="M385" i="58"/>
  <c r="K384" i="58"/>
  <c r="J384" i="58"/>
  <c r="L384" i="58"/>
  <c r="I384" i="58"/>
  <c r="M384" i="58"/>
  <c r="K383" i="58"/>
  <c r="J383" i="58"/>
  <c r="L383" i="58"/>
  <c r="I383" i="58"/>
  <c r="M383" i="58"/>
  <c r="K382" i="58"/>
  <c r="J382" i="58"/>
  <c r="L382" i="58"/>
  <c r="I382" i="58"/>
  <c r="M382" i="58"/>
  <c r="K381" i="58"/>
  <c r="J381" i="58"/>
  <c r="L381" i="58"/>
  <c r="I381" i="58"/>
  <c r="M381" i="58"/>
  <c r="K380" i="58"/>
  <c r="J380" i="58"/>
  <c r="L380" i="58"/>
  <c r="I380" i="58"/>
  <c r="M380" i="58"/>
  <c r="K379" i="58"/>
  <c r="J379" i="58"/>
  <c r="L379" i="58"/>
  <c r="I379" i="58"/>
  <c r="M379" i="58"/>
  <c r="K378" i="58"/>
  <c r="J378" i="58"/>
  <c r="L378" i="58"/>
  <c r="I378" i="58"/>
  <c r="M378" i="58"/>
  <c r="K377" i="58"/>
  <c r="J377" i="58"/>
  <c r="L377" i="58"/>
  <c r="I377" i="58"/>
  <c r="M377" i="58"/>
  <c r="K376" i="58"/>
  <c r="J376" i="58"/>
  <c r="L376" i="58"/>
  <c r="I376" i="58"/>
  <c r="M376" i="58"/>
  <c r="K375" i="58"/>
  <c r="J375" i="58"/>
  <c r="L375" i="58"/>
  <c r="I375" i="58"/>
  <c r="M375" i="58"/>
  <c r="K374" i="58"/>
  <c r="J374" i="58"/>
  <c r="L374" i="58"/>
  <c r="I374" i="58"/>
  <c r="M374" i="58"/>
  <c r="K373" i="58"/>
  <c r="J373" i="58"/>
  <c r="L373" i="58"/>
  <c r="I373" i="58"/>
  <c r="M373" i="58"/>
  <c r="K372" i="58"/>
  <c r="J372" i="58"/>
  <c r="L372" i="58"/>
  <c r="I372" i="58"/>
  <c r="M372" i="58"/>
  <c r="K371" i="58"/>
  <c r="J371" i="58"/>
  <c r="L371" i="58"/>
  <c r="I371" i="58"/>
  <c r="M371" i="58"/>
  <c r="K370" i="58"/>
  <c r="J370" i="58"/>
  <c r="L370" i="58"/>
  <c r="I370" i="58"/>
  <c r="M370" i="58"/>
  <c r="K369" i="58"/>
  <c r="J369" i="58"/>
  <c r="L369" i="58"/>
  <c r="I369" i="58"/>
  <c r="M369" i="58"/>
  <c r="K368" i="58"/>
  <c r="J368" i="58"/>
  <c r="L368" i="58"/>
  <c r="I368" i="58"/>
  <c r="M368" i="58"/>
  <c r="K367" i="58"/>
  <c r="J367" i="58"/>
  <c r="L367" i="58"/>
  <c r="I367" i="58"/>
  <c r="M367" i="58"/>
  <c r="K366" i="58"/>
  <c r="J366" i="58"/>
  <c r="L366" i="58"/>
  <c r="I366" i="58"/>
  <c r="M366" i="58"/>
  <c r="K365" i="58"/>
  <c r="J365" i="58"/>
  <c r="L365" i="58"/>
  <c r="I365" i="58"/>
  <c r="M365" i="58"/>
  <c r="K364" i="58"/>
  <c r="J364" i="58"/>
  <c r="L364" i="58"/>
  <c r="I364" i="58"/>
  <c r="M364" i="58"/>
  <c r="K363" i="58"/>
  <c r="J363" i="58"/>
  <c r="L363" i="58"/>
  <c r="I363" i="58"/>
  <c r="M363" i="58"/>
  <c r="K362" i="58"/>
  <c r="J362" i="58"/>
  <c r="L362" i="58"/>
  <c r="I362" i="58"/>
  <c r="M362" i="58"/>
  <c r="K361" i="58"/>
  <c r="J361" i="58"/>
  <c r="L361" i="58"/>
  <c r="I361" i="58"/>
  <c r="M361" i="58"/>
  <c r="K360" i="58"/>
  <c r="J360" i="58"/>
  <c r="L360" i="58"/>
  <c r="I360" i="58"/>
  <c r="M360" i="58"/>
  <c r="K359" i="58"/>
  <c r="J359" i="58"/>
  <c r="L359" i="58"/>
  <c r="I359" i="58"/>
  <c r="M359" i="58"/>
  <c r="K358" i="58"/>
  <c r="J358" i="58"/>
  <c r="L358" i="58"/>
  <c r="I358" i="58"/>
  <c r="M358" i="58"/>
  <c r="K357" i="58"/>
  <c r="J357" i="58"/>
  <c r="L357" i="58"/>
  <c r="I357" i="58"/>
  <c r="M357" i="58"/>
  <c r="K356" i="58"/>
  <c r="J356" i="58"/>
  <c r="L356" i="58"/>
  <c r="I356" i="58"/>
  <c r="M356" i="58"/>
  <c r="K355" i="58"/>
  <c r="J355" i="58"/>
  <c r="L355" i="58"/>
  <c r="I355" i="58"/>
  <c r="M355" i="58"/>
  <c r="K354" i="58"/>
  <c r="J354" i="58"/>
  <c r="L354" i="58"/>
  <c r="I354" i="58"/>
  <c r="M354" i="58"/>
  <c r="K353" i="58"/>
  <c r="J353" i="58"/>
  <c r="L353" i="58"/>
  <c r="I353" i="58"/>
  <c r="M353" i="58"/>
  <c r="K352" i="58"/>
  <c r="J352" i="58"/>
  <c r="L352" i="58"/>
  <c r="I352" i="58"/>
  <c r="M352" i="58"/>
  <c r="K351" i="58"/>
  <c r="J351" i="58"/>
  <c r="L351" i="58"/>
  <c r="I351" i="58"/>
  <c r="M351" i="58"/>
  <c r="K350" i="58"/>
  <c r="J350" i="58"/>
  <c r="L350" i="58"/>
  <c r="I350" i="58"/>
  <c r="M350" i="58"/>
  <c r="K349" i="58"/>
  <c r="J349" i="58"/>
  <c r="L349" i="58"/>
  <c r="I349" i="58"/>
  <c r="M349" i="58"/>
  <c r="K348" i="58"/>
  <c r="J348" i="58"/>
  <c r="L348" i="58"/>
  <c r="I348" i="58"/>
  <c r="M348" i="58"/>
  <c r="K347" i="58"/>
  <c r="J347" i="58"/>
  <c r="L347" i="58"/>
  <c r="I347" i="58"/>
  <c r="M347" i="58"/>
  <c r="K346" i="58"/>
  <c r="J346" i="58"/>
  <c r="L346" i="58"/>
  <c r="I346" i="58"/>
  <c r="M346" i="58"/>
  <c r="K345" i="58"/>
  <c r="J345" i="58"/>
  <c r="L345" i="58"/>
  <c r="I345" i="58"/>
  <c r="M345" i="58"/>
  <c r="K344" i="58"/>
  <c r="J344" i="58"/>
  <c r="L344" i="58"/>
  <c r="I344" i="58"/>
  <c r="M344" i="58"/>
  <c r="K343" i="58"/>
  <c r="J343" i="58"/>
  <c r="L343" i="58"/>
  <c r="I343" i="58"/>
  <c r="M343" i="58"/>
  <c r="K342" i="58"/>
  <c r="J342" i="58"/>
  <c r="L342" i="58"/>
  <c r="I342" i="58"/>
  <c r="M342" i="58"/>
  <c r="K341" i="58"/>
  <c r="J341" i="58"/>
  <c r="L341" i="58"/>
  <c r="I341" i="58"/>
  <c r="M341" i="58"/>
  <c r="K340" i="58"/>
  <c r="J340" i="58"/>
  <c r="L340" i="58"/>
  <c r="I340" i="58"/>
  <c r="M340" i="58"/>
  <c r="K339" i="58"/>
  <c r="J339" i="58"/>
  <c r="L339" i="58"/>
  <c r="I339" i="58"/>
  <c r="M339" i="58"/>
  <c r="K338" i="58"/>
  <c r="J338" i="58"/>
  <c r="L338" i="58"/>
  <c r="I338" i="58"/>
  <c r="M338" i="58"/>
  <c r="K337" i="58"/>
  <c r="J337" i="58"/>
  <c r="L337" i="58"/>
  <c r="I337" i="58"/>
  <c r="M337" i="58"/>
  <c r="K336" i="58"/>
  <c r="J336" i="58"/>
  <c r="L336" i="58"/>
  <c r="I336" i="58"/>
  <c r="M336" i="58"/>
  <c r="K335" i="58"/>
  <c r="J335" i="58"/>
  <c r="L335" i="58"/>
  <c r="I335" i="58"/>
  <c r="M335" i="58"/>
  <c r="K334" i="58"/>
  <c r="J334" i="58"/>
  <c r="L334" i="58"/>
  <c r="I334" i="58"/>
  <c r="M334" i="58"/>
  <c r="K333" i="58"/>
  <c r="J333" i="58"/>
  <c r="L333" i="58"/>
  <c r="I333" i="58"/>
  <c r="M333" i="58"/>
  <c r="K332" i="58"/>
  <c r="J332" i="58"/>
  <c r="L332" i="58"/>
  <c r="I332" i="58"/>
  <c r="M332" i="58"/>
  <c r="K331" i="58"/>
  <c r="J331" i="58"/>
  <c r="L331" i="58"/>
  <c r="I331" i="58"/>
  <c r="M331" i="58"/>
  <c r="K330" i="58"/>
  <c r="J330" i="58"/>
  <c r="L330" i="58"/>
  <c r="I330" i="58"/>
  <c r="M330" i="58"/>
  <c r="K329" i="58"/>
  <c r="J329" i="58"/>
  <c r="L329" i="58"/>
  <c r="I329" i="58"/>
  <c r="M329" i="58"/>
  <c r="K328" i="58"/>
  <c r="J328" i="58"/>
  <c r="L328" i="58"/>
  <c r="I328" i="58"/>
  <c r="M328" i="58"/>
  <c r="K327" i="58"/>
  <c r="J327" i="58"/>
  <c r="L327" i="58"/>
  <c r="I327" i="58"/>
  <c r="M327" i="58"/>
  <c r="K326" i="58"/>
  <c r="J326" i="58"/>
  <c r="L326" i="58"/>
  <c r="I326" i="58"/>
  <c r="M326" i="58"/>
  <c r="K325" i="58"/>
  <c r="J325" i="58"/>
  <c r="L325" i="58"/>
  <c r="I325" i="58"/>
  <c r="M325" i="58"/>
  <c r="K324" i="58"/>
  <c r="J324" i="58"/>
  <c r="L324" i="58"/>
  <c r="I324" i="58"/>
  <c r="M324" i="58"/>
  <c r="K323" i="58"/>
  <c r="J323" i="58"/>
  <c r="L323" i="58"/>
  <c r="I323" i="58"/>
  <c r="M323" i="58"/>
  <c r="K322" i="58"/>
  <c r="J322" i="58"/>
  <c r="L322" i="58"/>
  <c r="I322" i="58"/>
  <c r="M322" i="58"/>
  <c r="K321" i="58"/>
  <c r="J321" i="58"/>
  <c r="L321" i="58"/>
  <c r="I321" i="58"/>
  <c r="M321" i="58"/>
  <c r="K320" i="58"/>
  <c r="J320" i="58"/>
  <c r="L320" i="58"/>
  <c r="I320" i="58"/>
  <c r="M320" i="58"/>
  <c r="K319" i="58"/>
  <c r="J319" i="58"/>
  <c r="L319" i="58"/>
  <c r="I319" i="58"/>
  <c r="M319" i="58"/>
  <c r="K318" i="58"/>
  <c r="J318" i="58"/>
  <c r="L318" i="58"/>
  <c r="I318" i="58"/>
  <c r="M318" i="58"/>
  <c r="K317" i="58"/>
  <c r="J317" i="58"/>
  <c r="L317" i="58"/>
  <c r="I317" i="58"/>
  <c r="M317" i="58"/>
  <c r="K316" i="58"/>
  <c r="J316" i="58"/>
  <c r="L316" i="58"/>
  <c r="I316" i="58"/>
  <c r="M316" i="58"/>
  <c r="K315" i="58"/>
  <c r="J315" i="58"/>
  <c r="L315" i="58"/>
  <c r="I315" i="58"/>
  <c r="M315" i="58"/>
  <c r="K314" i="58"/>
  <c r="J314" i="58"/>
  <c r="L314" i="58"/>
  <c r="I314" i="58"/>
  <c r="M314" i="58"/>
  <c r="K313" i="58"/>
  <c r="J313" i="58"/>
  <c r="L313" i="58"/>
  <c r="I313" i="58"/>
  <c r="M313" i="58"/>
  <c r="K312" i="58"/>
  <c r="J312" i="58"/>
  <c r="L312" i="58"/>
  <c r="I312" i="58"/>
  <c r="M312" i="58"/>
  <c r="K311" i="58"/>
  <c r="J311" i="58"/>
  <c r="L311" i="58"/>
  <c r="I311" i="58"/>
  <c r="M311" i="58"/>
  <c r="K310" i="58"/>
  <c r="J310" i="58"/>
  <c r="L310" i="58"/>
  <c r="I310" i="58"/>
  <c r="M310" i="58"/>
  <c r="K309" i="58"/>
  <c r="J309" i="58"/>
  <c r="L309" i="58"/>
  <c r="I309" i="58"/>
  <c r="M309" i="58"/>
  <c r="K308" i="58"/>
  <c r="J308" i="58"/>
  <c r="L308" i="58"/>
  <c r="I308" i="58"/>
  <c r="M308" i="58"/>
  <c r="K307" i="58"/>
  <c r="J307" i="58"/>
  <c r="L307" i="58"/>
  <c r="I307" i="58"/>
  <c r="M307" i="58"/>
  <c r="K306" i="58"/>
  <c r="J306" i="58"/>
  <c r="L306" i="58"/>
  <c r="I306" i="58"/>
  <c r="M306" i="58"/>
  <c r="K305" i="58"/>
  <c r="J305" i="58"/>
  <c r="L305" i="58"/>
  <c r="I305" i="58"/>
  <c r="M305" i="58"/>
  <c r="K304" i="58"/>
  <c r="J304" i="58"/>
  <c r="L304" i="58"/>
  <c r="I304" i="58"/>
  <c r="M304" i="58"/>
  <c r="K303" i="58"/>
  <c r="J303" i="58"/>
  <c r="L303" i="58"/>
  <c r="I303" i="58"/>
  <c r="M303" i="58"/>
  <c r="K302" i="58"/>
  <c r="J302" i="58"/>
  <c r="L302" i="58"/>
  <c r="I302" i="58"/>
  <c r="M302" i="58"/>
  <c r="K301" i="58"/>
  <c r="J301" i="58"/>
  <c r="L301" i="58"/>
  <c r="I301" i="58"/>
  <c r="M301" i="58"/>
  <c r="K300" i="58"/>
  <c r="J300" i="58"/>
  <c r="L300" i="58"/>
  <c r="I300" i="58"/>
  <c r="M300" i="58"/>
  <c r="K299" i="58"/>
  <c r="J299" i="58"/>
  <c r="L299" i="58"/>
  <c r="I299" i="58"/>
  <c r="M299" i="58"/>
  <c r="K298" i="58"/>
  <c r="J298" i="58"/>
  <c r="L298" i="58"/>
  <c r="I298" i="58"/>
  <c r="M298" i="58"/>
  <c r="K297" i="58"/>
  <c r="J297" i="58"/>
  <c r="L297" i="58"/>
  <c r="I297" i="58"/>
  <c r="M297" i="58"/>
  <c r="K296" i="58"/>
  <c r="J296" i="58"/>
  <c r="L296" i="58"/>
  <c r="I296" i="58"/>
  <c r="M296" i="58"/>
  <c r="K295" i="58"/>
  <c r="J295" i="58"/>
  <c r="L295" i="58"/>
  <c r="I295" i="58"/>
  <c r="M295" i="58"/>
  <c r="K294" i="58"/>
  <c r="J294" i="58"/>
  <c r="L294" i="58"/>
  <c r="I294" i="58"/>
  <c r="M294" i="58"/>
  <c r="K293" i="58"/>
  <c r="J293" i="58"/>
  <c r="L293" i="58"/>
  <c r="I293" i="58"/>
  <c r="M293" i="58"/>
  <c r="K292" i="58"/>
  <c r="J292" i="58"/>
  <c r="L292" i="58"/>
  <c r="I292" i="58"/>
  <c r="M292" i="58"/>
  <c r="K291" i="58"/>
  <c r="J291" i="58"/>
  <c r="L291" i="58"/>
  <c r="I291" i="58"/>
  <c r="M291" i="58"/>
  <c r="K290" i="58"/>
  <c r="J290" i="58"/>
  <c r="L290" i="58"/>
  <c r="I290" i="58"/>
  <c r="M290" i="58"/>
  <c r="K289" i="58"/>
  <c r="J289" i="58"/>
  <c r="L289" i="58"/>
  <c r="I289" i="58"/>
  <c r="M289" i="58"/>
  <c r="K288" i="58"/>
  <c r="J288" i="58"/>
  <c r="L288" i="58"/>
  <c r="I288" i="58"/>
  <c r="M288" i="58"/>
  <c r="K287" i="58"/>
  <c r="J287" i="58"/>
  <c r="L287" i="58"/>
  <c r="I287" i="58"/>
  <c r="M287" i="58"/>
  <c r="K286" i="58"/>
  <c r="J286" i="58"/>
  <c r="L286" i="58"/>
  <c r="I286" i="58"/>
  <c r="M286" i="58"/>
  <c r="K285" i="58"/>
  <c r="J285" i="58"/>
  <c r="L285" i="58"/>
  <c r="I285" i="58"/>
  <c r="M285" i="58"/>
  <c r="K284" i="58"/>
  <c r="J284" i="58"/>
  <c r="L284" i="58"/>
  <c r="I284" i="58"/>
  <c r="M284" i="58"/>
  <c r="K283" i="58"/>
  <c r="J283" i="58"/>
  <c r="L283" i="58"/>
  <c r="I283" i="58"/>
  <c r="M283" i="58"/>
  <c r="K282" i="58"/>
  <c r="J282" i="58"/>
  <c r="L282" i="58"/>
  <c r="I282" i="58"/>
  <c r="M282" i="58"/>
  <c r="K281" i="58"/>
  <c r="J281" i="58"/>
  <c r="L281" i="58"/>
  <c r="I281" i="58"/>
  <c r="M281" i="58"/>
  <c r="K280" i="58"/>
  <c r="J280" i="58"/>
  <c r="L280" i="58"/>
  <c r="I280" i="58"/>
  <c r="M280" i="58"/>
  <c r="K279" i="58"/>
  <c r="J279" i="58"/>
  <c r="L279" i="58"/>
  <c r="I279" i="58"/>
  <c r="M279" i="58"/>
  <c r="K278" i="58"/>
  <c r="J278" i="58"/>
  <c r="L278" i="58"/>
  <c r="I278" i="58"/>
  <c r="M278" i="58"/>
  <c r="K277" i="58"/>
  <c r="J277" i="58"/>
  <c r="L277" i="58"/>
  <c r="I277" i="58"/>
  <c r="M277" i="58"/>
  <c r="K276" i="58"/>
  <c r="J276" i="58"/>
  <c r="L276" i="58"/>
  <c r="I276" i="58"/>
  <c r="M276" i="58"/>
  <c r="K275" i="58"/>
  <c r="J275" i="58"/>
  <c r="L275" i="58"/>
  <c r="I275" i="58"/>
  <c r="M275" i="58"/>
  <c r="K274" i="58"/>
  <c r="J274" i="58"/>
  <c r="L274" i="58"/>
  <c r="I274" i="58"/>
  <c r="M274" i="58"/>
  <c r="K273" i="58"/>
  <c r="J273" i="58"/>
  <c r="L273" i="58"/>
  <c r="I273" i="58"/>
  <c r="M273" i="58"/>
  <c r="K272" i="58"/>
  <c r="J272" i="58"/>
  <c r="L272" i="58"/>
  <c r="I272" i="58"/>
  <c r="M272" i="58"/>
  <c r="K271" i="58"/>
  <c r="J271" i="58"/>
  <c r="L271" i="58"/>
  <c r="I271" i="58"/>
  <c r="M271" i="58"/>
  <c r="K270" i="58"/>
  <c r="J270" i="58"/>
  <c r="L270" i="58"/>
  <c r="I270" i="58"/>
  <c r="M270" i="58"/>
  <c r="K269" i="58"/>
  <c r="J269" i="58"/>
  <c r="L269" i="58"/>
  <c r="I269" i="58"/>
  <c r="M269" i="58"/>
  <c r="K268" i="58"/>
  <c r="J268" i="58"/>
  <c r="L268" i="58"/>
  <c r="I268" i="58"/>
  <c r="M268" i="58"/>
  <c r="K267" i="58"/>
  <c r="J267" i="58"/>
  <c r="L267" i="58"/>
  <c r="I267" i="58"/>
  <c r="M267" i="58"/>
  <c r="K266" i="58"/>
  <c r="J266" i="58"/>
  <c r="L266" i="58"/>
  <c r="I266" i="58"/>
  <c r="M266" i="58"/>
  <c r="K265" i="58"/>
  <c r="J265" i="58"/>
  <c r="L265" i="58"/>
  <c r="I265" i="58"/>
  <c r="M265" i="58"/>
  <c r="K264" i="58"/>
  <c r="J264" i="58"/>
  <c r="L264" i="58"/>
  <c r="I264" i="58"/>
  <c r="M264" i="58"/>
  <c r="K263" i="58"/>
  <c r="J263" i="58"/>
  <c r="L263" i="58"/>
  <c r="I263" i="58"/>
  <c r="M263" i="58"/>
  <c r="K262" i="58"/>
  <c r="J262" i="58"/>
  <c r="L262" i="58"/>
  <c r="I262" i="58"/>
  <c r="M262" i="58"/>
  <c r="K261" i="58"/>
  <c r="J261" i="58"/>
  <c r="L261" i="58"/>
  <c r="I261" i="58"/>
  <c r="M261" i="58"/>
  <c r="K260" i="58"/>
  <c r="J260" i="58"/>
  <c r="L260" i="58"/>
  <c r="I260" i="58"/>
  <c r="M260" i="58"/>
  <c r="K259" i="58"/>
  <c r="J259" i="58"/>
  <c r="L259" i="58"/>
  <c r="I259" i="58"/>
  <c r="M259" i="58"/>
  <c r="K258" i="58"/>
  <c r="J258" i="58"/>
  <c r="L258" i="58"/>
  <c r="I258" i="58"/>
  <c r="M258" i="58"/>
  <c r="K257" i="58"/>
  <c r="J257" i="58"/>
  <c r="L257" i="58"/>
  <c r="I257" i="58"/>
  <c r="M257" i="58"/>
  <c r="K256" i="58"/>
  <c r="J256" i="58"/>
  <c r="L256" i="58"/>
  <c r="I256" i="58"/>
  <c r="M256" i="58"/>
  <c r="K255" i="58"/>
  <c r="J255" i="58"/>
  <c r="L255" i="58"/>
  <c r="I255" i="58"/>
  <c r="M255" i="58"/>
  <c r="K254" i="58"/>
  <c r="J254" i="58"/>
  <c r="L254" i="58"/>
  <c r="I254" i="58"/>
  <c r="M254" i="58"/>
  <c r="K253" i="58"/>
  <c r="J253" i="58"/>
  <c r="L253" i="58"/>
  <c r="I253" i="58"/>
  <c r="M253" i="58"/>
  <c r="K252" i="58"/>
  <c r="J252" i="58"/>
  <c r="L252" i="58"/>
  <c r="I252" i="58"/>
  <c r="M252" i="58"/>
  <c r="K251" i="58"/>
  <c r="J251" i="58"/>
  <c r="L251" i="58"/>
  <c r="I251" i="58"/>
  <c r="M251" i="58"/>
  <c r="K250" i="58"/>
  <c r="J250" i="58"/>
  <c r="L250" i="58"/>
  <c r="I250" i="58"/>
  <c r="M250" i="58"/>
  <c r="K249" i="58"/>
  <c r="J249" i="58"/>
  <c r="L249" i="58"/>
  <c r="I249" i="58"/>
  <c r="M249" i="58"/>
  <c r="K248" i="58"/>
  <c r="J248" i="58"/>
  <c r="L248" i="58"/>
  <c r="I248" i="58"/>
  <c r="M248" i="58"/>
  <c r="K247" i="58"/>
  <c r="J247" i="58"/>
  <c r="L247" i="58"/>
  <c r="I247" i="58"/>
  <c r="M247" i="58"/>
  <c r="K246" i="58"/>
  <c r="J246" i="58"/>
  <c r="L246" i="58"/>
  <c r="I246" i="58"/>
  <c r="M246" i="58"/>
  <c r="K245" i="58"/>
  <c r="J245" i="58"/>
  <c r="L245" i="58"/>
  <c r="I245" i="58"/>
  <c r="M245" i="58"/>
  <c r="K244" i="58"/>
  <c r="J244" i="58"/>
  <c r="L244" i="58"/>
  <c r="I244" i="58"/>
  <c r="M244" i="58"/>
  <c r="K243" i="58"/>
  <c r="J243" i="58"/>
  <c r="L243" i="58"/>
  <c r="I243" i="58"/>
  <c r="M243" i="58"/>
  <c r="K242" i="58"/>
  <c r="J242" i="58"/>
  <c r="L242" i="58"/>
  <c r="I242" i="58"/>
  <c r="M242" i="58"/>
  <c r="K241" i="58"/>
  <c r="J241" i="58"/>
  <c r="L241" i="58"/>
  <c r="I241" i="58"/>
  <c r="M241" i="58"/>
  <c r="K240" i="58"/>
  <c r="J240" i="58"/>
  <c r="L240" i="58"/>
  <c r="I240" i="58"/>
  <c r="M240" i="58"/>
  <c r="K239" i="58"/>
  <c r="J239" i="58"/>
  <c r="L239" i="58"/>
  <c r="I239" i="58"/>
  <c r="M239" i="58"/>
  <c r="K238" i="58"/>
  <c r="J238" i="58"/>
  <c r="L238" i="58"/>
  <c r="I238" i="58"/>
  <c r="M238" i="58"/>
  <c r="K237" i="58"/>
  <c r="J237" i="58"/>
  <c r="L237" i="58"/>
  <c r="I237" i="58"/>
  <c r="M237" i="58"/>
  <c r="K236" i="58"/>
  <c r="J236" i="58"/>
  <c r="L236" i="58"/>
  <c r="I236" i="58"/>
  <c r="M236" i="58"/>
  <c r="K235" i="58"/>
  <c r="J235" i="58"/>
  <c r="L235" i="58"/>
  <c r="I235" i="58"/>
  <c r="M235" i="58"/>
  <c r="K234" i="58"/>
  <c r="J234" i="58"/>
  <c r="L234" i="58"/>
  <c r="I234" i="58"/>
  <c r="M234" i="58"/>
  <c r="K233" i="58"/>
  <c r="J233" i="58"/>
  <c r="L233" i="58"/>
  <c r="I233" i="58"/>
  <c r="M233" i="58"/>
  <c r="K232" i="58"/>
  <c r="J232" i="58"/>
  <c r="L232" i="58"/>
  <c r="I232" i="58"/>
  <c r="M232" i="58"/>
  <c r="K231" i="58"/>
  <c r="J231" i="58"/>
  <c r="L231" i="58"/>
  <c r="I231" i="58"/>
  <c r="M231" i="58"/>
  <c r="K230" i="58"/>
  <c r="J230" i="58"/>
  <c r="L230" i="58"/>
  <c r="I230" i="58"/>
  <c r="M230" i="58"/>
  <c r="K229" i="58"/>
  <c r="J229" i="58"/>
  <c r="L229" i="58"/>
  <c r="I229" i="58"/>
  <c r="M229" i="58"/>
  <c r="K228" i="58"/>
  <c r="J228" i="58"/>
  <c r="L228" i="58"/>
  <c r="I228" i="58"/>
  <c r="M228" i="58"/>
  <c r="K227" i="58"/>
  <c r="J227" i="58"/>
  <c r="L227" i="58"/>
  <c r="I227" i="58"/>
  <c r="M227" i="58"/>
  <c r="K226" i="58"/>
  <c r="J226" i="58"/>
  <c r="L226" i="58"/>
  <c r="I226" i="58"/>
  <c r="M226" i="58"/>
  <c r="K225" i="58"/>
  <c r="J225" i="58"/>
  <c r="L225" i="58"/>
  <c r="I225" i="58"/>
  <c r="M225" i="58"/>
  <c r="K224" i="58"/>
  <c r="J224" i="58"/>
  <c r="L224" i="58"/>
  <c r="I224" i="58"/>
  <c r="M224" i="58"/>
  <c r="K223" i="58"/>
  <c r="J223" i="58"/>
  <c r="L223" i="58"/>
  <c r="I223" i="58"/>
  <c r="M223" i="58"/>
  <c r="K222" i="58"/>
  <c r="J222" i="58"/>
  <c r="L222" i="58"/>
  <c r="I222" i="58"/>
  <c r="M222" i="58"/>
  <c r="K221" i="58"/>
  <c r="J221" i="58"/>
  <c r="L221" i="58"/>
  <c r="I221" i="58"/>
  <c r="M221" i="58"/>
  <c r="K220" i="58"/>
  <c r="J220" i="58"/>
  <c r="L220" i="58"/>
  <c r="I220" i="58"/>
  <c r="M220" i="58"/>
  <c r="K219" i="58"/>
  <c r="J219" i="58"/>
  <c r="L219" i="58"/>
  <c r="I219" i="58"/>
  <c r="M219" i="58"/>
  <c r="K218" i="58"/>
  <c r="J218" i="58"/>
  <c r="L218" i="58"/>
  <c r="I218" i="58"/>
  <c r="M218" i="58"/>
  <c r="K217" i="58"/>
  <c r="J217" i="58"/>
  <c r="L217" i="58"/>
  <c r="I217" i="58"/>
  <c r="M217" i="58"/>
  <c r="K216" i="58"/>
  <c r="J216" i="58"/>
  <c r="L216" i="58"/>
  <c r="I216" i="58"/>
  <c r="M216" i="58"/>
  <c r="K215" i="58"/>
  <c r="J215" i="58"/>
  <c r="L215" i="58"/>
  <c r="I215" i="58"/>
  <c r="M215" i="58"/>
  <c r="K214" i="58"/>
  <c r="J214" i="58"/>
  <c r="L214" i="58"/>
  <c r="I214" i="58"/>
  <c r="M214" i="58"/>
  <c r="K213" i="58"/>
  <c r="J213" i="58"/>
  <c r="L213" i="58"/>
  <c r="I213" i="58"/>
  <c r="M213" i="58"/>
  <c r="K212" i="58"/>
  <c r="J212" i="58"/>
  <c r="L212" i="58"/>
  <c r="I212" i="58"/>
  <c r="M212" i="58"/>
  <c r="K211" i="58"/>
  <c r="J211" i="58"/>
  <c r="L211" i="58"/>
  <c r="I211" i="58"/>
  <c r="M211" i="58"/>
  <c r="K210" i="58"/>
  <c r="J210" i="58"/>
  <c r="L210" i="58"/>
  <c r="I210" i="58"/>
  <c r="M210" i="58"/>
  <c r="K209" i="58"/>
  <c r="J209" i="58"/>
  <c r="L209" i="58"/>
  <c r="I209" i="58"/>
  <c r="M209" i="58"/>
  <c r="K208" i="58"/>
  <c r="J208" i="58"/>
  <c r="L208" i="58"/>
  <c r="I208" i="58"/>
  <c r="M208" i="58"/>
  <c r="K207" i="58"/>
  <c r="J207" i="58"/>
  <c r="L207" i="58"/>
  <c r="I207" i="58"/>
  <c r="M207" i="58"/>
  <c r="K206" i="58"/>
  <c r="J206" i="58"/>
  <c r="L206" i="58"/>
  <c r="I206" i="58"/>
  <c r="M206" i="58"/>
  <c r="K205" i="58"/>
  <c r="J205" i="58"/>
  <c r="L205" i="58"/>
  <c r="I205" i="58"/>
  <c r="M205" i="58"/>
  <c r="K204" i="58"/>
  <c r="J204" i="58"/>
  <c r="L204" i="58"/>
  <c r="I204" i="58"/>
  <c r="M204" i="58"/>
  <c r="K203" i="58"/>
  <c r="J203" i="58"/>
  <c r="L203" i="58"/>
  <c r="I203" i="58"/>
  <c r="M203" i="58"/>
  <c r="K202" i="58"/>
  <c r="J202" i="58"/>
  <c r="L202" i="58"/>
  <c r="I202" i="58"/>
  <c r="M202" i="58"/>
  <c r="K201" i="58"/>
  <c r="J201" i="58"/>
  <c r="L201" i="58"/>
  <c r="I201" i="58"/>
  <c r="M201" i="58"/>
  <c r="K200" i="58"/>
  <c r="J200" i="58"/>
  <c r="L200" i="58"/>
  <c r="I200" i="58"/>
  <c r="M200" i="58"/>
  <c r="K199" i="58"/>
  <c r="J199" i="58"/>
  <c r="L199" i="58"/>
  <c r="I199" i="58"/>
  <c r="M199" i="58"/>
  <c r="K198" i="58"/>
  <c r="J198" i="58"/>
  <c r="L198" i="58"/>
  <c r="I198" i="58"/>
  <c r="M198" i="58"/>
  <c r="K197" i="58"/>
  <c r="J197" i="58"/>
  <c r="L197" i="58"/>
  <c r="I197" i="58"/>
  <c r="M197" i="58"/>
  <c r="K196" i="58"/>
  <c r="J196" i="58"/>
  <c r="L196" i="58"/>
  <c r="I196" i="58"/>
  <c r="M196" i="58"/>
  <c r="K195" i="58"/>
  <c r="J195" i="58"/>
  <c r="L195" i="58"/>
  <c r="I195" i="58"/>
  <c r="M195" i="58"/>
  <c r="K194" i="58"/>
  <c r="J194" i="58"/>
  <c r="L194" i="58"/>
  <c r="I194" i="58"/>
  <c r="M194" i="58"/>
  <c r="K193" i="58"/>
  <c r="J193" i="58"/>
  <c r="L193" i="58"/>
  <c r="I193" i="58"/>
  <c r="M193" i="58"/>
  <c r="K192" i="58"/>
  <c r="J192" i="58"/>
  <c r="L192" i="58"/>
  <c r="I192" i="58"/>
  <c r="M192" i="58"/>
  <c r="K191" i="58"/>
  <c r="J191" i="58"/>
  <c r="L191" i="58"/>
  <c r="I191" i="58"/>
  <c r="M191" i="58"/>
  <c r="K190" i="58"/>
  <c r="J190" i="58"/>
  <c r="L190" i="58"/>
  <c r="I190" i="58"/>
  <c r="M190" i="58"/>
  <c r="K189" i="58"/>
  <c r="J189" i="58"/>
  <c r="L189" i="58"/>
  <c r="I189" i="58"/>
  <c r="M189" i="58"/>
  <c r="K188" i="58"/>
  <c r="J188" i="58"/>
  <c r="L188" i="58"/>
  <c r="I188" i="58"/>
  <c r="M188" i="58"/>
  <c r="K187" i="58"/>
  <c r="J187" i="58"/>
  <c r="L187" i="58"/>
  <c r="I187" i="58"/>
  <c r="M187" i="58"/>
  <c r="K186" i="58"/>
  <c r="J186" i="58"/>
  <c r="L186" i="58"/>
  <c r="I186" i="58"/>
  <c r="M186" i="58"/>
  <c r="K185" i="58"/>
  <c r="J185" i="58"/>
  <c r="L185" i="58"/>
  <c r="I185" i="58"/>
  <c r="M185" i="58"/>
  <c r="K184" i="58"/>
  <c r="J184" i="58"/>
  <c r="L184" i="58"/>
  <c r="I184" i="58"/>
  <c r="M184" i="58"/>
  <c r="K183" i="58"/>
  <c r="J183" i="58"/>
  <c r="L183" i="58"/>
  <c r="I183" i="58"/>
  <c r="M183" i="58"/>
  <c r="K182" i="58"/>
  <c r="J182" i="58"/>
  <c r="L182" i="58"/>
  <c r="I182" i="58"/>
  <c r="M182" i="58"/>
  <c r="K181" i="58"/>
  <c r="J181" i="58"/>
  <c r="L181" i="58"/>
  <c r="I181" i="58"/>
  <c r="M181" i="58"/>
  <c r="K180" i="58"/>
  <c r="J180" i="58"/>
  <c r="L180" i="58"/>
  <c r="I180" i="58"/>
  <c r="M180" i="58"/>
  <c r="K179" i="58"/>
  <c r="J179" i="58"/>
  <c r="L179" i="58"/>
  <c r="I179" i="58"/>
  <c r="M179" i="58"/>
  <c r="K178" i="58"/>
  <c r="J178" i="58"/>
  <c r="L178" i="58"/>
  <c r="I178" i="58"/>
  <c r="M178" i="58"/>
  <c r="K177" i="58"/>
  <c r="J177" i="58"/>
  <c r="L177" i="58"/>
  <c r="I177" i="58"/>
  <c r="M177" i="58"/>
  <c r="K176" i="58"/>
  <c r="J176" i="58"/>
  <c r="L176" i="58"/>
  <c r="I176" i="58"/>
  <c r="M176" i="58"/>
  <c r="K175" i="58"/>
  <c r="J175" i="58"/>
  <c r="L175" i="58"/>
  <c r="I175" i="58"/>
  <c r="M175" i="58"/>
  <c r="K174" i="58"/>
  <c r="J174" i="58"/>
  <c r="L174" i="58"/>
  <c r="I174" i="58"/>
  <c r="M174" i="58"/>
  <c r="K173" i="58"/>
  <c r="J173" i="58"/>
  <c r="L173" i="58"/>
  <c r="I173" i="58"/>
  <c r="M173" i="58"/>
  <c r="K172" i="58"/>
  <c r="J172" i="58"/>
  <c r="L172" i="58"/>
  <c r="I172" i="58"/>
  <c r="M172" i="58"/>
  <c r="K171" i="58"/>
  <c r="J171" i="58"/>
  <c r="L171" i="58"/>
  <c r="I171" i="58"/>
  <c r="M171" i="58"/>
  <c r="K170" i="58"/>
  <c r="J170" i="58"/>
  <c r="L170" i="58"/>
  <c r="I170" i="58"/>
  <c r="M170" i="58"/>
  <c r="K169" i="58"/>
  <c r="J169" i="58"/>
  <c r="L169" i="58"/>
  <c r="I169" i="58"/>
  <c r="M169" i="58"/>
  <c r="K168" i="58"/>
  <c r="J168" i="58"/>
  <c r="L168" i="58"/>
  <c r="I168" i="58"/>
  <c r="M168" i="58"/>
  <c r="K167" i="58"/>
  <c r="J167" i="58"/>
  <c r="L167" i="58"/>
  <c r="I167" i="58"/>
  <c r="M167" i="58"/>
  <c r="K166" i="58"/>
  <c r="J166" i="58"/>
  <c r="L166" i="58"/>
  <c r="I166" i="58"/>
  <c r="M166" i="58"/>
  <c r="K165" i="58"/>
  <c r="J165" i="58"/>
  <c r="L165" i="58"/>
  <c r="I165" i="58"/>
  <c r="M165" i="58"/>
  <c r="K164" i="58"/>
  <c r="J164" i="58"/>
  <c r="L164" i="58"/>
  <c r="I164" i="58"/>
  <c r="M164" i="58"/>
  <c r="K163" i="58"/>
  <c r="J163" i="58"/>
  <c r="L163" i="58"/>
  <c r="I163" i="58"/>
  <c r="M163" i="58"/>
  <c r="K162" i="58"/>
  <c r="J162" i="58"/>
  <c r="L162" i="58"/>
  <c r="I162" i="58"/>
  <c r="M162" i="58"/>
  <c r="K161" i="58"/>
  <c r="J161" i="58"/>
  <c r="L161" i="58"/>
  <c r="I161" i="58"/>
  <c r="M161" i="58"/>
  <c r="K160" i="58"/>
  <c r="J160" i="58"/>
  <c r="L160" i="58"/>
  <c r="I160" i="58"/>
  <c r="M160" i="58"/>
  <c r="K159" i="58"/>
  <c r="J159" i="58"/>
  <c r="L159" i="58"/>
  <c r="I159" i="58"/>
  <c r="M159" i="58"/>
  <c r="K158" i="58"/>
  <c r="J158" i="58"/>
  <c r="L158" i="58"/>
  <c r="I158" i="58"/>
  <c r="M158" i="58"/>
  <c r="K157" i="58"/>
  <c r="J157" i="58"/>
  <c r="L157" i="58"/>
  <c r="I157" i="58"/>
  <c r="M157" i="58"/>
  <c r="K156" i="58"/>
  <c r="J156" i="58"/>
  <c r="L156" i="58"/>
  <c r="I156" i="58"/>
  <c r="M156" i="58"/>
  <c r="K155" i="58"/>
  <c r="J155" i="58"/>
  <c r="L155" i="58"/>
  <c r="I155" i="58"/>
  <c r="M155" i="58"/>
  <c r="K154" i="58"/>
  <c r="J154" i="58"/>
  <c r="L154" i="58"/>
  <c r="I154" i="58"/>
  <c r="M154" i="58"/>
  <c r="K153" i="58"/>
  <c r="J153" i="58"/>
  <c r="L153" i="58"/>
  <c r="I153" i="58"/>
  <c r="M153" i="58"/>
  <c r="K152" i="58"/>
  <c r="J152" i="58"/>
  <c r="L152" i="58"/>
  <c r="I152" i="58"/>
  <c r="M152" i="58"/>
  <c r="K151" i="58"/>
  <c r="J151" i="58"/>
  <c r="L151" i="58"/>
  <c r="I151" i="58"/>
  <c r="M151" i="58"/>
  <c r="K150" i="58"/>
  <c r="J150" i="58"/>
  <c r="L150" i="58"/>
  <c r="I150" i="58"/>
  <c r="M150" i="58"/>
  <c r="K149" i="58"/>
  <c r="J149" i="58"/>
  <c r="L149" i="58"/>
  <c r="I149" i="58"/>
  <c r="M149" i="58"/>
  <c r="K148" i="58"/>
  <c r="J148" i="58"/>
  <c r="L148" i="58"/>
  <c r="I148" i="58"/>
  <c r="M148" i="58"/>
  <c r="K147" i="58"/>
  <c r="J147" i="58"/>
  <c r="L147" i="58"/>
  <c r="I147" i="58"/>
  <c r="M147" i="58"/>
  <c r="K146" i="58"/>
  <c r="J146" i="58"/>
  <c r="L146" i="58"/>
  <c r="I146" i="58"/>
  <c r="M146" i="58"/>
  <c r="K145" i="58"/>
  <c r="J145" i="58"/>
  <c r="L145" i="58"/>
  <c r="I145" i="58"/>
  <c r="M145" i="58"/>
  <c r="K144" i="58"/>
  <c r="J144" i="58"/>
  <c r="L144" i="58"/>
  <c r="I144" i="58"/>
  <c r="M144" i="58"/>
  <c r="K143" i="58"/>
  <c r="J143" i="58"/>
  <c r="L143" i="58"/>
  <c r="I143" i="58"/>
  <c r="M143" i="58"/>
  <c r="K142" i="58"/>
  <c r="J142" i="58"/>
  <c r="L142" i="58"/>
  <c r="I142" i="58"/>
  <c r="M142" i="58"/>
  <c r="K141" i="58"/>
  <c r="J141" i="58"/>
  <c r="L141" i="58"/>
  <c r="I141" i="58"/>
  <c r="M141" i="58"/>
  <c r="K140" i="58"/>
  <c r="J140" i="58"/>
  <c r="L140" i="58"/>
  <c r="I140" i="58"/>
  <c r="M140" i="58"/>
  <c r="K139" i="58"/>
  <c r="J139" i="58"/>
  <c r="L139" i="58"/>
  <c r="I139" i="58"/>
  <c r="M139" i="58"/>
  <c r="K138" i="58"/>
  <c r="J138" i="58"/>
  <c r="L138" i="58"/>
  <c r="I138" i="58"/>
  <c r="M138" i="58"/>
  <c r="K137" i="58"/>
  <c r="J137" i="58"/>
  <c r="L137" i="58"/>
  <c r="I137" i="58"/>
  <c r="M137" i="58"/>
  <c r="K136" i="58"/>
  <c r="J136" i="58"/>
  <c r="L136" i="58"/>
  <c r="I136" i="58"/>
  <c r="M136" i="58"/>
  <c r="K135" i="58"/>
  <c r="J135" i="58"/>
  <c r="L135" i="58"/>
  <c r="I135" i="58"/>
  <c r="M135" i="58"/>
  <c r="K134" i="58"/>
  <c r="J134" i="58"/>
  <c r="L134" i="58"/>
  <c r="I134" i="58"/>
  <c r="M134" i="58"/>
  <c r="K133" i="58"/>
  <c r="J133" i="58"/>
  <c r="L133" i="58"/>
  <c r="I133" i="58"/>
  <c r="M133" i="58"/>
  <c r="K132" i="58"/>
  <c r="J132" i="58"/>
  <c r="L132" i="58"/>
  <c r="I132" i="58"/>
  <c r="M132" i="58"/>
  <c r="K131" i="58"/>
  <c r="J131" i="58"/>
  <c r="L131" i="58"/>
  <c r="I131" i="58"/>
  <c r="M131" i="58"/>
  <c r="K130" i="58"/>
  <c r="J130" i="58"/>
  <c r="L130" i="58"/>
  <c r="I130" i="58"/>
  <c r="M130" i="58"/>
  <c r="K129" i="58"/>
  <c r="J129" i="58"/>
  <c r="L129" i="58"/>
  <c r="I129" i="58"/>
  <c r="M129" i="58"/>
  <c r="K128" i="58"/>
  <c r="J128" i="58"/>
  <c r="L128" i="58"/>
  <c r="I128" i="58"/>
  <c r="M128" i="58"/>
  <c r="K127" i="58"/>
  <c r="J127" i="58"/>
  <c r="L127" i="58"/>
  <c r="I127" i="58"/>
  <c r="M127" i="58"/>
  <c r="K126" i="58"/>
  <c r="J126" i="58"/>
  <c r="L126" i="58"/>
  <c r="I126" i="58"/>
  <c r="M126" i="58"/>
  <c r="K125" i="58"/>
  <c r="J125" i="58"/>
  <c r="L125" i="58"/>
  <c r="I125" i="58"/>
  <c r="M125" i="58"/>
  <c r="K124" i="58"/>
  <c r="J124" i="58"/>
  <c r="L124" i="58"/>
  <c r="I124" i="58"/>
  <c r="M124" i="58"/>
  <c r="K123" i="58"/>
  <c r="J123" i="58"/>
  <c r="L123" i="58"/>
  <c r="I123" i="58"/>
  <c r="M123" i="58"/>
  <c r="K122" i="58"/>
  <c r="J122" i="58"/>
  <c r="L122" i="58"/>
  <c r="I122" i="58"/>
  <c r="M122" i="58"/>
  <c r="K121" i="58"/>
  <c r="J121" i="58"/>
  <c r="L121" i="58"/>
  <c r="I121" i="58"/>
  <c r="M121" i="58"/>
  <c r="K120" i="58"/>
  <c r="J120" i="58"/>
  <c r="L120" i="58"/>
  <c r="I120" i="58"/>
  <c r="M120" i="58"/>
  <c r="K119" i="58"/>
  <c r="J119" i="58"/>
  <c r="L119" i="58"/>
  <c r="I119" i="58"/>
  <c r="M119" i="58"/>
  <c r="K118" i="58"/>
  <c r="J118" i="58"/>
  <c r="L118" i="58"/>
  <c r="I118" i="58"/>
  <c r="M118" i="58"/>
  <c r="K117" i="58"/>
  <c r="J117" i="58"/>
  <c r="L117" i="58"/>
  <c r="I117" i="58"/>
  <c r="M117" i="58"/>
  <c r="K116" i="58"/>
  <c r="J116" i="58"/>
  <c r="L116" i="58"/>
  <c r="I116" i="58"/>
  <c r="M116" i="58"/>
  <c r="K115" i="58"/>
  <c r="J115" i="58"/>
  <c r="L115" i="58"/>
  <c r="I115" i="58"/>
  <c r="M115" i="58"/>
  <c r="K114" i="58"/>
  <c r="J114" i="58"/>
  <c r="L114" i="58"/>
  <c r="I114" i="58"/>
  <c r="M114" i="58"/>
  <c r="K113" i="58"/>
  <c r="J113" i="58"/>
  <c r="L113" i="58"/>
  <c r="I113" i="58"/>
  <c r="M113" i="58"/>
  <c r="K112" i="58"/>
  <c r="J112" i="58"/>
  <c r="L112" i="58"/>
  <c r="I112" i="58"/>
  <c r="M112" i="58"/>
  <c r="K111" i="58"/>
  <c r="J111" i="58"/>
  <c r="L111" i="58"/>
  <c r="I111" i="58"/>
  <c r="M111" i="58"/>
  <c r="K110" i="58"/>
  <c r="J110" i="58"/>
  <c r="L110" i="58"/>
  <c r="I110" i="58"/>
  <c r="M110" i="58"/>
  <c r="K109" i="58"/>
  <c r="J109" i="58"/>
  <c r="L109" i="58"/>
  <c r="I109" i="58"/>
  <c r="M109" i="58"/>
  <c r="K108" i="58"/>
  <c r="J108" i="58"/>
  <c r="L108" i="58"/>
  <c r="I108" i="58"/>
  <c r="M108" i="58"/>
  <c r="K107" i="58"/>
  <c r="J107" i="58"/>
  <c r="L107" i="58"/>
  <c r="I107" i="58"/>
  <c r="M107" i="58"/>
  <c r="K106" i="58"/>
  <c r="J106" i="58"/>
  <c r="L106" i="58"/>
  <c r="I106" i="58"/>
  <c r="M106" i="58"/>
  <c r="K105" i="58"/>
  <c r="J105" i="58"/>
  <c r="L105" i="58"/>
  <c r="I105" i="58"/>
  <c r="M105" i="58"/>
  <c r="K104" i="58"/>
  <c r="J104" i="58"/>
  <c r="L104" i="58"/>
  <c r="I104" i="58"/>
  <c r="M104" i="58"/>
  <c r="K103" i="58"/>
  <c r="J103" i="58"/>
  <c r="L103" i="58"/>
  <c r="I103" i="58"/>
  <c r="M103" i="58"/>
  <c r="K102" i="58"/>
  <c r="J102" i="58"/>
  <c r="L102" i="58"/>
  <c r="I102" i="58"/>
  <c r="M102" i="58"/>
  <c r="K101" i="58"/>
  <c r="J101" i="58"/>
  <c r="L101" i="58"/>
  <c r="I101" i="58"/>
  <c r="M101" i="58"/>
  <c r="K100" i="58"/>
  <c r="J100" i="58"/>
  <c r="L100" i="58"/>
  <c r="I100" i="58"/>
  <c r="M100" i="58"/>
  <c r="K99" i="58"/>
  <c r="J99" i="58"/>
  <c r="L99" i="58"/>
  <c r="I99" i="58"/>
  <c r="M99" i="58"/>
  <c r="K98" i="58"/>
  <c r="J98" i="58"/>
  <c r="L98" i="58"/>
  <c r="I98" i="58"/>
  <c r="M98" i="58"/>
  <c r="K97" i="58"/>
  <c r="J97" i="58"/>
  <c r="L97" i="58"/>
  <c r="I97" i="58"/>
  <c r="M97" i="58"/>
  <c r="K96" i="58"/>
  <c r="J96" i="58"/>
  <c r="L96" i="58"/>
  <c r="I96" i="58"/>
  <c r="M96" i="58"/>
  <c r="K95" i="58"/>
  <c r="J95" i="58"/>
  <c r="L95" i="58"/>
  <c r="I95" i="58"/>
  <c r="M95" i="58"/>
  <c r="K94" i="58"/>
  <c r="J94" i="58"/>
  <c r="L94" i="58"/>
  <c r="I94" i="58"/>
  <c r="M94" i="58"/>
  <c r="K93" i="58"/>
  <c r="J93" i="58"/>
  <c r="L93" i="58"/>
  <c r="I93" i="58"/>
  <c r="M93" i="58"/>
  <c r="K92" i="58"/>
  <c r="J92" i="58"/>
  <c r="L92" i="58"/>
  <c r="I92" i="58"/>
  <c r="M92" i="58"/>
  <c r="K91" i="58"/>
  <c r="J91" i="58"/>
  <c r="L91" i="58"/>
  <c r="I91" i="58"/>
  <c r="M91" i="58"/>
  <c r="K90" i="58"/>
  <c r="J90" i="58"/>
  <c r="L90" i="58"/>
  <c r="I90" i="58"/>
  <c r="M90" i="58"/>
  <c r="K89" i="58"/>
  <c r="J89" i="58"/>
  <c r="L89" i="58"/>
  <c r="I89" i="58"/>
  <c r="M89" i="58"/>
  <c r="K88" i="58"/>
  <c r="J88" i="58"/>
  <c r="L88" i="58"/>
  <c r="I88" i="58"/>
  <c r="M88" i="58"/>
  <c r="K87" i="58"/>
  <c r="J87" i="58"/>
  <c r="L87" i="58"/>
  <c r="I87" i="58"/>
  <c r="M87" i="58"/>
  <c r="K86" i="58"/>
  <c r="J86" i="58"/>
  <c r="L86" i="58"/>
  <c r="I86" i="58"/>
  <c r="M86" i="58"/>
  <c r="K85" i="58"/>
  <c r="J85" i="58"/>
  <c r="L85" i="58"/>
  <c r="I85" i="58"/>
  <c r="M85" i="58"/>
  <c r="K84" i="58"/>
  <c r="J84" i="58"/>
  <c r="L84" i="58"/>
  <c r="I84" i="58"/>
  <c r="M84" i="58"/>
  <c r="K83" i="58"/>
  <c r="J83" i="58"/>
  <c r="L83" i="58"/>
  <c r="I83" i="58"/>
  <c r="M83" i="58"/>
  <c r="K82" i="58"/>
  <c r="J82" i="58"/>
  <c r="L82" i="58"/>
  <c r="I82" i="58"/>
  <c r="M82" i="58"/>
  <c r="K81" i="58"/>
  <c r="J81" i="58"/>
  <c r="L81" i="58"/>
  <c r="I81" i="58"/>
  <c r="M81" i="58"/>
  <c r="K80" i="58"/>
  <c r="J80" i="58"/>
  <c r="L80" i="58"/>
  <c r="I80" i="58"/>
  <c r="M80" i="58"/>
  <c r="K79" i="58"/>
  <c r="J79" i="58"/>
  <c r="L79" i="58"/>
  <c r="I79" i="58"/>
  <c r="M79" i="58"/>
  <c r="K78" i="58"/>
  <c r="J78" i="58"/>
  <c r="L78" i="58"/>
  <c r="I78" i="58"/>
  <c r="M78" i="58"/>
  <c r="K77" i="58"/>
  <c r="J77" i="58"/>
  <c r="L77" i="58"/>
  <c r="I77" i="58"/>
  <c r="M77" i="58"/>
  <c r="K76" i="58"/>
  <c r="J76" i="58"/>
  <c r="L76" i="58"/>
  <c r="I76" i="58"/>
  <c r="M76" i="58"/>
  <c r="K75" i="58"/>
  <c r="J75" i="58"/>
  <c r="L75" i="58"/>
  <c r="I75" i="58"/>
  <c r="M75" i="58"/>
  <c r="K74" i="58"/>
  <c r="J74" i="58"/>
  <c r="L74" i="58"/>
  <c r="I74" i="58"/>
  <c r="M74" i="58"/>
  <c r="K73" i="58"/>
  <c r="J73" i="58"/>
  <c r="L73" i="58"/>
  <c r="I73" i="58"/>
  <c r="M73" i="58"/>
  <c r="K72" i="58"/>
  <c r="J72" i="58"/>
  <c r="L72" i="58"/>
  <c r="I72" i="58"/>
  <c r="M72" i="58"/>
  <c r="K71" i="58"/>
  <c r="J71" i="58"/>
  <c r="L71" i="58"/>
  <c r="I71" i="58"/>
  <c r="M71" i="58"/>
  <c r="K70" i="58"/>
  <c r="J70" i="58"/>
  <c r="L70" i="58"/>
  <c r="I70" i="58"/>
  <c r="M70" i="58"/>
  <c r="K69" i="58"/>
  <c r="J69" i="58"/>
  <c r="L69" i="58"/>
  <c r="I69" i="58"/>
  <c r="M69" i="58"/>
  <c r="K68" i="58"/>
  <c r="J68" i="58"/>
  <c r="L68" i="58"/>
  <c r="I68" i="58"/>
  <c r="M68" i="58"/>
  <c r="K67" i="58"/>
  <c r="J67" i="58"/>
  <c r="L67" i="58"/>
  <c r="I67" i="58"/>
  <c r="M67" i="58"/>
  <c r="K66" i="58"/>
  <c r="J66" i="58"/>
  <c r="L66" i="58"/>
  <c r="I66" i="58"/>
  <c r="M66" i="58"/>
  <c r="K65" i="58"/>
  <c r="J65" i="58"/>
  <c r="L65" i="58"/>
  <c r="I65" i="58"/>
  <c r="M65" i="58"/>
  <c r="K64" i="58"/>
  <c r="J64" i="58"/>
  <c r="L64" i="58"/>
  <c r="I64" i="58"/>
  <c r="M64" i="58"/>
  <c r="K63" i="58"/>
  <c r="J63" i="58"/>
  <c r="L63" i="58"/>
  <c r="I63" i="58"/>
  <c r="M63" i="58"/>
  <c r="K62" i="58"/>
  <c r="J62" i="58"/>
  <c r="L62" i="58"/>
  <c r="I62" i="58"/>
  <c r="M62" i="58"/>
  <c r="K61" i="58"/>
  <c r="J61" i="58"/>
  <c r="L61" i="58"/>
  <c r="I61" i="58"/>
  <c r="M61" i="58"/>
  <c r="K60" i="58"/>
  <c r="J60" i="58"/>
  <c r="L60" i="58"/>
  <c r="I60" i="58"/>
  <c r="M60" i="58"/>
  <c r="K59" i="58"/>
  <c r="J59" i="58"/>
  <c r="L59" i="58"/>
  <c r="I59" i="58"/>
  <c r="M59" i="58"/>
  <c r="K58" i="58"/>
  <c r="J58" i="58"/>
  <c r="L58" i="58"/>
  <c r="I58" i="58"/>
  <c r="M58" i="58"/>
  <c r="K57" i="58"/>
  <c r="J57" i="58"/>
  <c r="L57" i="58"/>
  <c r="I57" i="58"/>
  <c r="M57" i="58"/>
  <c r="K56" i="58"/>
  <c r="J56" i="58"/>
  <c r="L56" i="58"/>
  <c r="I56" i="58"/>
  <c r="M56" i="58"/>
  <c r="K55" i="58"/>
  <c r="J55" i="58"/>
  <c r="L55" i="58"/>
  <c r="I55" i="58"/>
  <c r="M55" i="58"/>
  <c r="K54" i="58"/>
  <c r="J54" i="58"/>
  <c r="L54" i="58"/>
  <c r="I54" i="58"/>
  <c r="M54" i="58"/>
  <c r="K53" i="58"/>
  <c r="J53" i="58"/>
  <c r="L53" i="58"/>
  <c r="I53" i="58"/>
  <c r="M53" i="58"/>
  <c r="K52" i="58"/>
  <c r="J52" i="58"/>
  <c r="L52" i="58"/>
  <c r="I52" i="58"/>
  <c r="M52" i="58"/>
  <c r="K51" i="58"/>
  <c r="J51" i="58"/>
  <c r="L51" i="58"/>
  <c r="I51" i="58"/>
  <c r="M51" i="58"/>
  <c r="K50" i="58"/>
  <c r="J50" i="58"/>
  <c r="L50" i="58"/>
  <c r="I50" i="58"/>
  <c r="M50" i="58"/>
  <c r="K49" i="58"/>
  <c r="J49" i="58"/>
  <c r="L49" i="58"/>
  <c r="I49" i="58"/>
  <c r="M49" i="58"/>
  <c r="K48" i="58"/>
  <c r="J48" i="58"/>
  <c r="L48" i="58"/>
  <c r="I48" i="58"/>
  <c r="M48" i="58"/>
  <c r="K47" i="58"/>
  <c r="J47" i="58"/>
  <c r="L47" i="58"/>
  <c r="I47" i="58"/>
  <c r="M47" i="58"/>
  <c r="K46" i="58"/>
  <c r="J46" i="58"/>
  <c r="L46" i="58"/>
  <c r="I46" i="58"/>
  <c r="M46" i="58"/>
  <c r="K45" i="58"/>
  <c r="J45" i="58"/>
  <c r="L45" i="58"/>
  <c r="I45" i="58"/>
  <c r="M45" i="58"/>
  <c r="K44" i="58"/>
  <c r="J44" i="58"/>
  <c r="L44" i="58"/>
  <c r="I44" i="58"/>
  <c r="M44" i="58"/>
  <c r="K43" i="58"/>
  <c r="J43" i="58"/>
  <c r="L43" i="58"/>
  <c r="I43" i="58"/>
  <c r="M43" i="58"/>
  <c r="K42" i="58"/>
  <c r="J42" i="58"/>
  <c r="L42" i="58"/>
  <c r="I42" i="58"/>
  <c r="M42" i="58"/>
  <c r="K41" i="58"/>
  <c r="J41" i="58"/>
  <c r="L41" i="58"/>
  <c r="I41" i="58"/>
  <c r="M41" i="58"/>
  <c r="K40" i="58"/>
  <c r="J40" i="58"/>
  <c r="L40" i="58"/>
  <c r="I40" i="58"/>
  <c r="M40" i="58"/>
  <c r="K39" i="58"/>
  <c r="J39" i="58"/>
  <c r="L39" i="58"/>
  <c r="I39" i="58"/>
  <c r="M39" i="58"/>
  <c r="K38" i="58"/>
  <c r="J38" i="58"/>
  <c r="L38" i="58"/>
  <c r="I38" i="58"/>
  <c r="M38" i="58"/>
  <c r="K37" i="58"/>
  <c r="J37" i="58"/>
  <c r="L37" i="58"/>
  <c r="I37" i="58"/>
  <c r="M37" i="58"/>
  <c r="K36" i="58"/>
  <c r="J36" i="58"/>
  <c r="L36" i="58"/>
  <c r="I36" i="58"/>
  <c r="M36" i="58"/>
  <c r="K35" i="58"/>
  <c r="J35" i="58"/>
  <c r="L35" i="58"/>
  <c r="I35" i="58"/>
  <c r="M35" i="58"/>
  <c r="K34" i="58"/>
  <c r="J34" i="58"/>
  <c r="L34" i="58"/>
  <c r="I34" i="58"/>
  <c r="M34" i="58"/>
  <c r="K33" i="58"/>
  <c r="J33" i="58"/>
  <c r="L33" i="58"/>
  <c r="I33" i="58"/>
  <c r="M33" i="58"/>
  <c r="K32" i="58"/>
  <c r="J32" i="58"/>
  <c r="L32" i="58"/>
  <c r="I32" i="58"/>
  <c r="M32" i="58"/>
  <c r="K30" i="58"/>
  <c r="J30" i="58"/>
  <c r="L30" i="58"/>
  <c r="I30" i="58"/>
  <c r="M30" i="58"/>
  <c r="K29" i="58"/>
  <c r="J29" i="58"/>
  <c r="L29" i="58"/>
  <c r="I29" i="58"/>
  <c r="M29" i="58"/>
  <c r="K28" i="58"/>
  <c r="J28" i="58"/>
  <c r="L28" i="58"/>
  <c r="I28" i="58"/>
  <c r="M28" i="58"/>
  <c r="K27" i="58"/>
  <c r="J27" i="58"/>
  <c r="L27" i="58"/>
  <c r="I27" i="58"/>
  <c r="M27" i="58"/>
  <c r="K26" i="58"/>
  <c r="J26" i="58"/>
  <c r="L26" i="58"/>
  <c r="I26" i="58"/>
  <c r="M26" i="58"/>
  <c r="K25" i="58"/>
  <c r="J25" i="58"/>
  <c r="L25" i="58"/>
  <c r="I25" i="58"/>
  <c r="M25" i="58"/>
  <c r="AE435" i="67"/>
  <c r="AD435" i="67"/>
  <c r="AC435" i="67"/>
  <c r="AB435" i="67"/>
  <c r="AA435" i="67"/>
  <c r="Z435" i="67"/>
  <c r="AE431" i="67"/>
  <c r="AD431" i="67"/>
  <c r="AC431" i="67"/>
  <c r="AB431" i="67"/>
  <c r="AA431" i="67"/>
  <c r="Z431" i="67"/>
  <c r="AE430" i="67"/>
  <c r="AD430" i="67"/>
  <c r="AC430" i="67"/>
  <c r="AB430" i="67"/>
  <c r="AA430" i="67"/>
  <c r="Z430" i="67"/>
  <c r="AE425" i="67"/>
  <c r="AD425" i="67"/>
  <c r="AC425" i="67"/>
  <c r="AB425" i="67"/>
  <c r="AA425" i="67"/>
  <c r="Z425" i="67"/>
  <c r="AE423" i="67"/>
  <c r="AD423" i="67"/>
  <c r="AC423" i="67"/>
  <c r="AB423" i="67"/>
  <c r="AA423" i="67"/>
  <c r="Z423" i="67"/>
  <c r="AE421" i="67"/>
  <c r="AD421" i="67"/>
  <c r="AC421" i="67"/>
  <c r="AB421" i="67"/>
  <c r="AA421" i="67"/>
  <c r="Z421" i="67"/>
  <c r="AE419" i="67"/>
  <c r="AD419" i="67"/>
  <c r="AC419" i="67"/>
  <c r="AB419" i="67"/>
  <c r="AA419" i="67"/>
  <c r="Z419" i="67"/>
  <c r="AE418" i="67"/>
  <c r="AD418" i="67"/>
  <c r="AC418" i="67"/>
  <c r="AB418" i="67"/>
  <c r="AA418" i="67"/>
  <c r="Z418" i="67"/>
  <c r="AE415" i="67"/>
  <c r="AD415" i="67"/>
  <c r="AC415" i="67"/>
  <c r="AB415" i="67"/>
  <c r="AA415" i="67"/>
  <c r="Z415" i="67"/>
  <c r="AE413" i="67"/>
  <c r="AD413" i="67"/>
  <c r="AC413" i="67"/>
  <c r="AB413" i="67"/>
  <c r="AA413" i="67"/>
  <c r="Z413" i="67"/>
  <c r="AE412" i="67"/>
  <c r="AD412" i="67"/>
  <c r="AC412" i="67"/>
  <c r="AB412" i="67"/>
  <c r="AA412" i="67"/>
  <c r="Z412" i="67"/>
  <c r="AE411" i="67"/>
  <c r="AD411" i="67"/>
  <c r="AC411" i="67"/>
  <c r="AB411" i="67"/>
  <c r="AA411" i="67"/>
  <c r="Z411" i="67"/>
  <c r="AE410" i="67"/>
  <c r="AD410" i="67"/>
  <c r="AC410" i="67"/>
  <c r="AB410" i="67"/>
  <c r="AA410" i="67"/>
  <c r="Z410" i="67"/>
  <c r="AE409" i="67"/>
  <c r="AD409" i="67"/>
  <c r="AC409" i="67"/>
  <c r="AB409" i="67"/>
  <c r="AA409" i="67"/>
  <c r="Z409" i="67"/>
  <c r="AE407" i="67"/>
  <c r="AD407" i="67"/>
  <c r="AC407" i="67"/>
  <c r="AB407" i="67"/>
  <c r="AA407" i="67"/>
  <c r="Z407" i="67"/>
  <c r="AE405" i="67"/>
  <c r="AD405" i="67"/>
  <c r="AC405" i="67"/>
  <c r="AB405" i="67"/>
  <c r="AA405" i="67"/>
  <c r="Z405" i="67"/>
  <c r="AE404" i="67"/>
  <c r="AD404" i="67"/>
  <c r="AC404" i="67"/>
  <c r="AB404" i="67"/>
  <c r="AA404" i="67"/>
  <c r="Z404" i="67"/>
  <c r="AE403" i="67"/>
  <c r="AD403" i="67"/>
  <c r="AC403" i="67"/>
  <c r="AB403" i="67"/>
  <c r="AA403" i="67"/>
  <c r="Z403" i="67"/>
  <c r="AE402" i="67"/>
  <c r="AD402" i="67"/>
  <c r="AC402" i="67"/>
  <c r="AB402" i="67"/>
  <c r="AA402" i="67"/>
  <c r="Z402" i="67"/>
  <c r="AE401" i="67"/>
  <c r="AD401" i="67"/>
  <c r="AC401" i="67"/>
  <c r="AB401" i="67"/>
  <c r="AA401" i="67"/>
  <c r="Z401" i="67"/>
  <c r="AE400" i="67"/>
  <c r="AD400" i="67"/>
  <c r="AC400" i="67"/>
  <c r="AB400" i="67"/>
  <c r="AA400" i="67"/>
  <c r="Z400" i="67"/>
  <c r="AE398" i="67"/>
  <c r="AD398" i="67"/>
  <c r="AC398" i="67"/>
  <c r="AB398" i="67"/>
  <c r="AA398" i="67"/>
  <c r="Z398" i="67"/>
  <c r="AE395" i="67"/>
  <c r="AC387" i="67"/>
  <c r="AD395" i="67"/>
  <c r="AC395" i="67"/>
  <c r="AB395" i="67"/>
  <c r="AA395" i="67"/>
  <c r="AE394" i="67"/>
  <c r="AD394" i="67"/>
  <c r="AC394" i="67"/>
  <c r="AB394" i="67"/>
  <c r="AA394" i="67"/>
  <c r="AE393" i="67"/>
  <c r="AD393" i="67"/>
  <c r="AC393" i="67"/>
  <c r="AB393" i="67"/>
  <c r="AA393" i="67"/>
  <c r="AE392" i="67"/>
  <c r="AD392" i="67"/>
  <c r="AC392" i="67"/>
  <c r="AB392" i="67"/>
  <c r="AA392" i="67"/>
  <c r="AE391" i="67"/>
  <c r="AD391" i="67"/>
  <c r="AC391" i="67"/>
  <c r="AB391" i="67"/>
  <c r="AA391" i="67"/>
  <c r="AE390" i="67"/>
  <c r="AD390" i="67"/>
  <c r="AC390" i="67"/>
  <c r="AB390" i="67"/>
  <c r="AA390" i="67"/>
  <c r="AE389" i="67"/>
  <c r="AD389" i="67"/>
  <c r="AC389" i="67"/>
  <c r="AB389" i="67"/>
  <c r="AA389" i="67"/>
  <c r="AE388" i="67"/>
  <c r="AD388" i="67"/>
  <c r="AC388" i="67"/>
  <c r="AB388" i="67"/>
  <c r="AA388" i="67"/>
  <c r="AE387" i="67"/>
  <c r="AD387" i="67"/>
  <c r="AB387" i="67"/>
  <c r="AA387" i="67"/>
  <c r="AE386" i="67"/>
  <c r="AD386" i="67"/>
  <c r="AC386" i="67"/>
  <c r="AB386" i="67"/>
  <c r="AA386" i="67"/>
  <c r="AE385" i="67"/>
  <c r="AD385" i="67"/>
  <c r="AC385" i="67"/>
  <c r="AB385" i="67"/>
  <c r="AA385" i="67"/>
  <c r="AE384" i="67"/>
  <c r="AD384" i="67"/>
  <c r="AC384" i="67"/>
  <c r="AB384" i="67"/>
  <c r="AA384" i="67"/>
  <c r="AE383" i="67"/>
  <c r="AD383" i="67"/>
  <c r="AC383" i="67"/>
  <c r="AB383" i="67"/>
  <c r="AA383" i="67"/>
  <c r="Z395" i="67"/>
  <c r="Z394" i="67"/>
  <c r="Z393" i="67"/>
  <c r="Z392" i="67"/>
  <c r="Z391" i="67"/>
  <c r="Z390" i="67"/>
  <c r="Z389" i="67"/>
  <c r="Z388" i="67"/>
  <c r="Z387" i="67"/>
  <c r="Z386" i="67"/>
  <c r="Z385" i="67"/>
  <c r="Z384" i="67"/>
  <c r="Z383" i="67"/>
  <c r="AE381" i="67"/>
  <c r="AD381" i="67"/>
  <c r="AC381" i="67"/>
  <c r="AB381" i="67"/>
  <c r="AA381" i="67"/>
  <c r="Z381" i="67"/>
  <c r="AE380" i="67"/>
  <c r="AD380" i="67"/>
  <c r="AC380" i="67"/>
  <c r="AB380" i="67"/>
  <c r="AA380" i="67"/>
  <c r="Z380" i="67"/>
  <c r="AE379" i="67"/>
  <c r="AD379" i="67"/>
  <c r="AC379" i="67"/>
  <c r="AB379" i="67"/>
  <c r="AA379" i="67"/>
  <c r="Z379" i="67"/>
  <c r="AE378" i="67"/>
  <c r="AD378" i="67"/>
  <c r="AC378" i="67"/>
  <c r="AB378" i="67"/>
  <c r="AA378" i="67"/>
  <c r="Z378" i="67"/>
  <c r="AE377" i="67"/>
  <c r="AD377" i="67"/>
  <c r="AC377" i="67"/>
  <c r="AB377" i="67"/>
  <c r="AA377" i="67"/>
  <c r="Z377" i="67"/>
  <c r="AE376" i="67"/>
  <c r="AD376" i="67"/>
  <c r="AC376" i="67"/>
  <c r="AB376" i="67"/>
  <c r="AA376" i="67"/>
  <c r="Z376" i="67"/>
  <c r="AE375" i="67"/>
  <c r="AD375" i="67"/>
  <c r="AC375" i="67"/>
  <c r="AB375" i="67"/>
  <c r="AA375" i="67"/>
  <c r="Z375" i="67"/>
  <c r="AE374" i="67"/>
  <c r="AD374" i="67"/>
  <c r="AC374" i="67"/>
  <c r="AB374" i="67"/>
  <c r="AA374" i="67"/>
  <c r="Z374" i="67"/>
  <c r="AE373" i="67"/>
  <c r="AD373" i="67"/>
  <c r="AC373" i="67"/>
  <c r="AB373" i="67"/>
  <c r="AA373" i="67"/>
  <c r="Z373" i="67"/>
  <c r="AE372" i="67"/>
  <c r="AD372" i="67"/>
  <c r="AC372" i="67"/>
  <c r="AB372" i="67"/>
  <c r="AA372" i="67"/>
  <c r="Z372" i="67"/>
  <c r="AE371" i="67"/>
  <c r="AD371" i="67"/>
  <c r="AC371" i="67"/>
  <c r="AB371" i="67"/>
  <c r="AA371" i="67"/>
  <c r="Z371" i="67"/>
  <c r="AE370" i="67"/>
  <c r="AD370" i="67"/>
  <c r="AC370" i="67"/>
  <c r="AB370" i="67"/>
  <c r="AA370" i="67"/>
  <c r="Z370" i="67"/>
  <c r="AE369" i="67"/>
  <c r="AD369" i="67"/>
  <c r="AC369" i="67"/>
  <c r="AB369" i="67"/>
  <c r="AA369" i="67"/>
  <c r="Z369" i="67"/>
  <c r="AE366" i="67"/>
  <c r="AD366" i="67"/>
  <c r="AC366" i="67"/>
  <c r="AB366" i="67"/>
  <c r="AA366" i="67"/>
  <c r="Z366" i="67"/>
  <c r="AE365" i="67"/>
  <c r="AD365" i="67"/>
  <c r="AC365" i="67"/>
  <c r="AB365" i="67"/>
  <c r="AA365" i="67"/>
  <c r="Z365" i="67"/>
  <c r="AE364" i="67"/>
  <c r="AD364" i="67"/>
  <c r="AC364" i="67"/>
  <c r="AB364" i="67"/>
  <c r="AA364" i="67"/>
  <c r="Z364" i="67"/>
  <c r="AE363" i="67"/>
  <c r="AD363" i="67"/>
  <c r="AC363" i="67"/>
  <c r="AB363" i="67"/>
  <c r="AA363" i="67"/>
  <c r="Z363" i="67"/>
  <c r="AE362" i="67"/>
  <c r="AD362" i="67"/>
  <c r="AC362" i="67"/>
  <c r="AB362" i="67"/>
  <c r="AA362" i="67"/>
  <c r="Z362" i="67"/>
  <c r="AE361" i="67"/>
  <c r="AD361" i="67"/>
  <c r="AC361" i="67"/>
  <c r="AB361" i="67"/>
  <c r="AA361" i="67"/>
  <c r="Z361" i="67"/>
  <c r="AE360" i="67"/>
  <c r="AD360" i="67"/>
  <c r="AC360" i="67"/>
  <c r="AB360" i="67"/>
  <c r="AA360" i="67"/>
  <c r="Z360" i="67"/>
  <c r="AE359" i="67"/>
  <c r="AD359" i="67"/>
  <c r="AC359" i="67"/>
  <c r="AB359" i="67"/>
  <c r="AA359" i="67"/>
  <c r="Z359" i="67"/>
  <c r="AE358" i="67"/>
  <c r="AD358" i="67"/>
  <c r="AC358" i="67"/>
  <c r="AB358" i="67"/>
  <c r="AA358" i="67"/>
  <c r="Z358" i="67"/>
  <c r="AE357" i="67"/>
  <c r="AD357" i="67"/>
  <c r="AC357" i="67"/>
  <c r="AB357" i="67"/>
  <c r="AA357" i="67"/>
  <c r="Z357" i="67"/>
  <c r="AE356" i="67"/>
  <c r="AD356" i="67"/>
  <c r="AC356" i="67"/>
  <c r="AB356" i="67"/>
  <c r="AA356" i="67"/>
  <c r="Z356" i="67"/>
  <c r="AE355" i="67"/>
  <c r="AD355" i="67"/>
  <c r="AC355" i="67"/>
  <c r="AB355" i="67"/>
  <c r="AA355" i="67"/>
  <c r="Z355" i="67"/>
  <c r="AE354" i="67"/>
  <c r="AD354" i="67"/>
  <c r="AC354" i="67"/>
  <c r="AB354" i="67"/>
  <c r="AA354" i="67"/>
  <c r="Z354" i="67"/>
  <c r="AE352" i="67"/>
  <c r="AD352" i="67"/>
  <c r="AC352" i="67"/>
  <c r="AB352" i="67"/>
  <c r="AA352" i="67"/>
  <c r="Z352" i="67"/>
  <c r="AE351" i="67"/>
  <c r="AD351" i="67"/>
  <c r="AC351" i="67"/>
  <c r="AB351" i="67"/>
  <c r="AA351" i="67"/>
  <c r="Z351" i="67"/>
  <c r="AE350" i="67"/>
  <c r="AD350" i="67"/>
  <c r="AC350" i="67"/>
  <c r="AB350" i="67"/>
  <c r="AA350" i="67"/>
  <c r="Z350" i="67"/>
  <c r="AE349" i="67"/>
  <c r="AD349" i="67"/>
  <c r="AC349" i="67"/>
  <c r="AB349" i="67"/>
  <c r="AA349" i="67"/>
  <c r="Z349" i="67"/>
  <c r="AE348" i="67"/>
  <c r="AD348" i="67"/>
  <c r="AC348" i="67"/>
  <c r="AB348" i="67"/>
  <c r="AA348" i="67"/>
  <c r="Z348" i="67"/>
  <c r="AE347" i="67"/>
  <c r="AD347" i="67"/>
  <c r="AC347" i="67"/>
  <c r="AB347" i="67"/>
  <c r="AA347" i="67"/>
  <c r="Z347" i="67"/>
  <c r="AE346" i="67"/>
  <c r="AD346" i="67"/>
  <c r="AC346" i="67"/>
  <c r="AB346" i="67"/>
  <c r="AA346" i="67"/>
  <c r="Z346" i="67"/>
  <c r="AE345" i="67"/>
  <c r="AD345" i="67"/>
  <c r="AC345" i="67"/>
  <c r="AB345" i="67"/>
  <c r="AA345" i="67"/>
  <c r="Z345" i="67"/>
  <c r="AE344" i="67"/>
  <c r="AD344" i="67"/>
  <c r="AC344" i="67"/>
  <c r="AB344" i="67"/>
  <c r="AA344" i="67"/>
  <c r="Z344" i="67"/>
  <c r="AE343" i="67"/>
  <c r="AD343" i="67"/>
  <c r="AC343" i="67"/>
  <c r="AB343" i="67"/>
  <c r="AA343" i="67"/>
  <c r="Z343" i="67"/>
  <c r="AE342" i="67"/>
  <c r="AD342" i="67"/>
  <c r="AC342" i="67"/>
  <c r="AB342" i="67"/>
  <c r="AA342" i="67"/>
  <c r="Z342" i="67"/>
  <c r="AE341" i="67"/>
  <c r="AD341" i="67"/>
  <c r="AC341" i="67"/>
  <c r="AB341" i="67"/>
  <c r="AA341" i="67"/>
  <c r="Z341" i="67"/>
  <c r="AE340" i="67"/>
  <c r="AD340" i="67"/>
  <c r="AC340" i="67"/>
  <c r="AB340" i="67"/>
  <c r="AA340" i="67"/>
  <c r="Z340" i="67"/>
  <c r="AE338" i="67"/>
  <c r="AD338" i="67"/>
  <c r="AC338" i="67"/>
  <c r="AB338" i="67"/>
  <c r="AA338" i="67"/>
  <c r="Z338" i="67"/>
  <c r="AE337" i="67"/>
  <c r="AD337" i="67"/>
  <c r="AC337" i="67"/>
  <c r="AB337" i="67"/>
  <c r="AA337" i="67"/>
  <c r="Z337" i="67"/>
  <c r="AE336" i="67"/>
  <c r="AD336" i="67"/>
  <c r="AC336" i="67"/>
  <c r="AB336" i="67"/>
  <c r="AA336" i="67"/>
  <c r="Z336" i="67"/>
  <c r="AE335" i="67"/>
  <c r="AD335" i="67"/>
  <c r="AC335" i="67"/>
  <c r="AB335" i="67"/>
  <c r="AA335" i="67"/>
  <c r="Z335" i="67"/>
  <c r="AE334" i="67"/>
  <c r="AD334" i="67"/>
  <c r="AC334" i="67"/>
  <c r="AB334" i="67"/>
  <c r="AA334" i="67"/>
  <c r="Z334" i="67"/>
  <c r="AE333" i="67"/>
  <c r="AD333" i="67"/>
  <c r="AC333" i="67"/>
  <c r="AB333" i="67"/>
  <c r="AA333" i="67"/>
  <c r="Z333" i="67"/>
  <c r="AE332" i="67"/>
  <c r="AD332" i="67"/>
  <c r="AC332" i="67"/>
  <c r="AB332" i="67"/>
  <c r="AA332" i="67"/>
  <c r="Z332" i="67"/>
  <c r="AE331" i="67"/>
  <c r="AD331" i="67"/>
  <c r="AC331" i="67"/>
  <c r="AB331" i="67"/>
  <c r="AA331" i="67"/>
  <c r="Z331" i="67"/>
  <c r="AE330" i="67"/>
  <c r="AD330" i="67"/>
  <c r="AC330" i="67"/>
  <c r="AB330" i="67"/>
  <c r="AA330" i="67"/>
  <c r="Z330" i="67"/>
  <c r="AE329" i="67"/>
  <c r="AD329" i="67"/>
  <c r="AC329" i="67"/>
  <c r="AB329" i="67"/>
  <c r="AA329" i="67"/>
  <c r="Z329" i="67"/>
  <c r="AE328" i="67"/>
  <c r="AD328" i="67"/>
  <c r="AC328" i="67"/>
  <c r="AB328" i="67"/>
  <c r="AA328" i="67"/>
  <c r="Z328" i="67"/>
  <c r="AE327" i="67"/>
  <c r="AD327" i="67"/>
  <c r="AC327" i="67"/>
  <c r="AB327" i="67"/>
  <c r="AA327" i="67"/>
  <c r="Z327" i="67"/>
  <c r="AE326" i="67"/>
  <c r="AD326" i="67"/>
  <c r="AC326" i="67"/>
  <c r="AB326" i="67"/>
  <c r="AA326" i="67"/>
  <c r="Z326" i="67"/>
  <c r="AE323" i="67"/>
  <c r="AD323" i="67"/>
  <c r="AC323" i="67"/>
  <c r="AB323" i="67"/>
  <c r="AA323" i="67"/>
  <c r="Z323" i="67"/>
  <c r="AE322" i="67"/>
  <c r="AD322" i="67"/>
  <c r="AC322" i="67"/>
  <c r="AB322" i="67"/>
  <c r="AA322" i="67"/>
  <c r="Z322" i="67"/>
  <c r="AE321" i="67"/>
  <c r="AD321" i="67"/>
  <c r="AC321" i="67"/>
  <c r="AB321" i="67"/>
  <c r="AA321" i="67"/>
  <c r="Z321" i="67"/>
  <c r="AE320" i="67"/>
  <c r="AD320" i="67"/>
  <c r="AC320" i="67"/>
  <c r="AB320" i="67"/>
  <c r="AA320" i="67"/>
  <c r="Z320" i="67"/>
  <c r="AE319" i="67"/>
  <c r="AD319" i="67"/>
  <c r="AC319" i="67"/>
  <c r="AB319" i="67"/>
  <c r="AA319" i="67"/>
  <c r="Z319" i="67"/>
  <c r="AE318" i="67"/>
  <c r="AD318" i="67"/>
  <c r="AC318" i="67"/>
  <c r="AB318" i="67"/>
  <c r="AA318" i="67"/>
  <c r="Z318" i="67"/>
  <c r="AE317" i="67"/>
  <c r="AD317" i="67"/>
  <c r="AC317" i="67"/>
  <c r="AB317" i="67"/>
  <c r="AA317" i="67"/>
  <c r="Z317" i="67"/>
  <c r="AE316" i="67"/>
  <c r="AD316" i="67"/>
  <c r="AC316" i="67"/>
  <c r="AB316" i="67"/>
  <c r="AA316" i="67"/>
  <c r="Z316" i="67"/>
  <c r="AE315" i="67"/>
  <c r="AD315" i="67"/>
  <c r="AC315" i="67"/>
  <c r="AB315" i="67"/>
  <c r="AA315" i="67"/>
  <c r="Z315" i="67"/>
  <c r="AE314" i="67"/>
  <c r="AD314" i="67"/>
  <c r="AC314" i="67"/>
  <c r="AB314" i="67"/>
  <c r="AA314" i="67"/>
  <c r="Z314" i="67"/>
  <c r="AE313" i="67"/>
  <c r="AD313" i="67"/>
  <c r="AC313" i="67"/>
  <c r="AB313" i="67"/>
  <c r="AA313" i="67"/>
  <c r="Z313" i="67"/>
  <c r="AE312" i="67"/>
  <c r="AD312" i="67"/>
  <c r="AC312" i="67"/>
  <c r="AB312" i="67"/>
  <c r="AA312" i="67"/>
  <c r="Z312" i="67"/>
  <c r="AE311" i="67"/>
  <c r="AD311" i="67"/>
  <c r="AC311" i="67"/>
  <c r="AB311" i="67"/>
  <c r="AA311" i="67"/>
  <c r="Z311" i="67"/>
  <c r="AE309" i="67"/>
  <c r="AD309" i="67"/>
  <c r="AC309" i="67"/>
  <c r="AB309" i="67"/>
  <c r="AA309" i="67"/>
  <c r="Z309" i="67"/>
  <c r="AE308" i="67"/>
  <c r="AD308" i="67"/>
  <c r="AC308" i="67"/>
  <c r="AB308" i="67"/>
  <c r="AA308" i="67"/>
  <c r="Z308" i="67"/>
  <c r="AE307" i="67"/>
  <c r="AD307" i="67"/>
  <c r="AC307" i="67"/>
  <c r="AB307" i="67"/>
  <c r="AA307" i="67"/>
  <c r="Z307" i="67"/>
  <c r="AE306" i="67"/>
  <c r="AD306" i="67"/>
  <c r="AC306" i="67"/>
  <c r="AB306" i="67"/>
  <c r="AA306" i="67"/>
  <c r="Z306" i="67"/>
  <c r="AE305" i="67"/>
  <c r="AD305" i="67"/>
  <c r="AC305" i="67"/>
  <c r="AB305" i="67"/>
  <c r="AA305" i="67"/>
  <c r="Z305" i="67"/>
  <c r="AE304" i="67"/>
  <c r="AD304" i="67"/>
  <c r="AC304" i="67"/>
  <c r="AB304" i="67"/>
  <c r="AA304" i="67"/>
  <c r="Z304" i="67"/>
  <c r="AE303" i="67"/>
  <c r="AD303" i="67"/>
  <c r="AC303" i="67"/>
  <c r="AB303" i="67"/>
  <c r="AA303" i="67"/>
  <c r="Z303" i="67"/>
  <c r="AE302" i="67"/>
  <c r="AD302" i="67"/>
  <c r="AC302" i="67"/>
  <c r="AB302" i="67"/>
  <c r="AA302" i="67"/>
  <c r="Z302" i="67"/>
  <c r="AE301" i="67"/>
  <c r="AD301" i="67"/>
  <c r="AC301" i="67"/>
  <c r="AB301" i="67"/>
  <c r="AA301" i="67"/>
  <c r="Z301" i="67"/>
  <c r="AE300" i="67"/>
  <c r="AD300" i="67"/>
  <c r="AC300" i="67"/>
  <c r="AB300" i="67"/>
  <c r="AA300" i="67"/>
  <c r="Z300" i="67"/>
  <c r="AE299" i="67"/>
  <c r="AD299" i="67"/>
  <c r="AC299" i="67"/>
  <c r="AB299" i="67"/>
  <c r="AA299" i="67"/>
  <c r="Z299" i="67"/>
  <c r="AE298" i="67"/>
  <c r="AD298" i="67"/>
  <c r="AC298" i="67"/>
  <c r="AB298" i="67"/>
  <c r="AA298" i="67"/>
  <c r="Z298" i="67"/>
  <c r="AE297" i="67"/>
  <c r="AD297" i="67"/>
  <c r="AC297" i="67"/>
  <c r="AB297" i="67"/>
  <c r="AA297" i="67"/>
  <c r="Z297" i="67"/>
  <c r="AE293" i="67"/>
  <c r="AD293" i="67"/>
  <c r="AC293" i="67"/>
  <c r="AB293" i="67"/>
  <c r="AA293" i="67"/>
  <c r="Z293" i="67"/>
  <c r="AE292" i="67"/>
  <c r="AD292" i="67"/>
  <c r="AC292" i="67"/>
  <c r="AB292" i="67"/>
  <c r="AA292" i="67"/>
  <c r="Z292" i="67"/>
  <c r="AE291" i="67"/>
  <c r="AD291" i="67"/>
  <c r="AC291" i="67"/>
  <c r="AB291" i="67"/>
  <c r="AA291" i="67"/>
  <c r="Z291" i="67"/>
  <c r="AE290" i="67"/>
  <c r="AD290" i="67"/>
  <c r="AC290" i="67"/>
  <c r="AB290" i="67"/>
  <c r="AA290" i="67"/>
  <c r="Z290" i="67"/>
  <c r="AE289" i="67"/>
  <c r="AD289" i="67"/>
  <c r="AC289" i="67"/>
  <c r="AB289" i="67"/>
  <c r="AA289" i="67"/>
  <c r="Z289" i="67"/>
  <c r="AE288" i="67"/>
  <c r="AD288" i="67"/>
  <c r="AC288" i="67"/>
  <c r="AB288" i="67"/>
  <c r="AA288" i="67"/>
  <c r="Z288" i="67"/>
  <c r="AE287" i="67"/>
  <c r="AD287" i="67"/>
  <c r="AC287" i="67"/>
  <c r="AB287" i="67"/>
  <c r="AA287" i="67"/>
  <c r="Z287" i="67"/>
  <c r="AE286" i="67"/>
  <c r="AD286" i="67"/>
  <c r="AC286" i="67"/>
  <c r="AB286" i="67"/>
  <c r="AA286" i="67"/>
  <c r="Z286" i="67"/>
  <c r="AE285" i="67"/>
  <c r="AD285" i="67"/>
  <c r="AC285" i="67"/>
  <c r="AB285" i="67"/>
  <c r="AA285" i="67"/>
  <c r="Z285" i="67"/>
  <c r="AE284" i="67"/>
  <c r="AD284" i="67"/>
  <c r="AC284" i="67"/>
  <c r="AB284" i="67"/>
  <c r="AA284" i="67"/>
  <c r="Z284" i="67"/>
  <c r="AE283" i="67"/>
  <c r="AD283" i="67"/>
  <c r="AC283" i="67"/>
  <c r="AB283" i="67"/>
  <c r="AA283" i="67"/>
  <c r="Z283" i="67"/>
  <c r="AE282" i="67"/>
  <c r="AD282" i="67"/>
  <c r="AC282" i="67"/>
  <c r="AB282" i="67"/>
  <c r="AA282" i="67"/>
  <c r="Z282" i="67"/>
  <c r="AE281" i="67"/>
  <c r="AD281" i="67"/>
  <c r="AC281" i="67"/>
  <c r="AB281" i="67"/>
  <c r="AA281" i="67"/>
  <c r="Z281" i="67"/>
  <c r="AE279" i="67"/>
  <c r="AD279" i="67"/>
  <c r="AC279" i="67"/>
  <c r="AB279" i="67"/>
  <c r="AA279" i="67"/>
  <c r="Z279" i="67"/>
  <c r="AE278" i="67"/>
  <c r="AD278" i="67"/>
  <c r="AC278" i="67"/>
  <c r="AB278" i="67"/>
  <c r="AA278" i="67"/>
  <c r="Z278" i="67"/>
  <c r="AE277" i="67"/>
  <c r="AD277" i="67"/>
  <c r="AC277" i="67"/>
  <c r="AB277" i="67"/>
  <c r="AA277" i="67"/>
  <c r="Z277" i="67"/>
  <c r="AE276" i="67"/>
  <c r="AD276" i="67"/>
  <c r="AC276" i="67"/>
  <c r="AB276" i="67"/>
  <c r="AA276" i="67"/>
  <c r="Z276" i="67"/>
  <c r="AE275" i="67"/>
  <c r="AD275" i="67"/>
  <c r="AC275" i="67"/>
  <c r="AB275" i="67"/>
  <c r="AA275" i="67"/>
  <c r="Z275" i="67"/>
  <c r="AE274" i="67"/>
  <c r="AD274" i="67"/>
  <c r="AC274" i="67"/>
  <c r="AB274" i="67"/>
  <c r="AA274" i="67"/>
  <c r="Z274" i="67"/>
  <c r="AE273" i="67"/>
  <c r="AD273" i="67"/>
  <c r="AC273" i="67"/>
  <c r="AB273" i="67"/>
  <c r="AA273" i="67"/>
  <c r="Z273" i="67"/>
  <c r="AE272" i="67"/>
  <c r="AD272" i="67"/>
  <c r="AC272" i="67"/>
  <c r="AB272" i="67"/>
  <c r="AA272" i="67"/>
  <c r="Z272" i="67"/>
  <c r="AE271" i="67"/>
  <c r="AD271" i="67"/>
  <c r="AC271" i="67"/>
  <c r="AB271" i="67"/>
  <c r="AA271" i="67"/>
  <c r="Z271" i="67"/>
  <c r="AE270" i="67"/>
  <c r="AD270" i="67"/>
  <c r="AC270" i="67"/>
  <c r="AB270" i="67"/>
  <c r="AA270" i="67"/>
  <c r="Z270" i="67"/>
  <c r="AE269" i="67"/>
  <c r="AD269" i="67"/>
  <c r="AC269" i="67"/>
  <c r="AB269" i="67"/>
  <c r="AA269" i="67"/>
  <c r="Z269" i="67"/>
  <c r="AE268" i="67"/>
  <c r="AD268" i="67"/>
  <c r="AC268" i="67"/>
  <c r="AB268" i="67"/>
  <c r="AA268" i="67"/>
  <c r="Z268" i="67"/>
  <c r="AE267" i="67"/>
  <c r="AD267" i="67"/>
  <c r="AC267" i="67"/>
  <c r="AB267" i="67"/>
  <c r="AA267" i="67"/>
  <c r="Z267" i="67"/>
  <c r="AE264" i="67"/>
  <c r="AD264" i="67"/>
  <c r="AC264" i="67"/>
  <c r="AB264" i="67"/>
  <c r="AA264" i="67"/>
  <c r="Z264" i="67"/>
  <c r="AE263" i="67"/>
  <c r="AD263" i="67"/>
  <c r="AC263" i="67"/>
  <c r="AB263" i="67"/>
  <c r="AA263" i="67"/>
  <c r="Z263" i="67"/>
  <c r="AE262" i="67"/>
  <c r="AD262" i="67"/>
  <c r="AC262" i="67"/>
  <c r="AB262" i="67"/>
  <c r="AA262" i="67"/>
  <c r="Z262" i="67"/>
  <c r="AE261" i="67"/>
  <c r="AD261" i="67"/>
  <c r="AC261" i="67"/>
  <c r="AB261" i="67"/>
  <c r="AA261" i="67"/>
  <c r="Z261" i="67"/>
  <c r="AE260" i="67"/>
  <c r="AD260" i="67"/>
  <c r="AC260" i="67"/>
  <c r="AB260" i="67"/>
  <c r="AA260" i="67"/>
  <c r="Z260" i="67"/>
  <c r="AE259" i="67"/>
  <c r="AD259" i="67"/>
  <c r="AC259" i="67"/>
  <c r="AB259" i="67"/>
  <c r="AA259" i="67"/>
  <c r="Z259" i="67"/>
  <c r="AE258" i="67"/>
  <c r="AD258" i="67"/>
  <c r="AC258" i="67"/>
  <c r="AB258" i="67"/>
  <c r="AA258" i="67"/>
  <c r="Z258" i="67"/>
  <c r="AE257" i="67"/>
  <c r="AD257" i="67"/>
  <c r="AC257" i="67"/>
  <c r="AB257" i="67"/>
  <c r="AA257" i="67"/>
  <c r="Z257" i="67"/>
  <c r="AE256" i="67"/>
  <c r="AD256" i="67"/>
  <c r="AC256" i="67"/>
  <c r="AB256" i="67"/>
  <c r="AA256" i="67"/>
  <c r="Z256" i="67"/>
  <c r="AE255" i="67"/>
  <c r="AD255" i="67"/>
  <c r="AC255" i="67"/>
  <c r="AB255" i="67"/>
  <c r="AA255" i="67"/>
  <c r="Z255" i="67"/>
  <c r="AE254" i="67"/>
  <c r="AD254" i="67"/>
  <c r="AC254" i="67"/>
  <c r="AB254" i="67"/>
  <c r="AA254" i="67"/>
  <c r="Z254" i="67"/>
  <c r="AE253" i="67"/>
  <c r="AD253" i="67"/>
  <c r="AC253" i="67"/>
  <c r="AB253" i="67"/>
  <c r="AA253" i="67"/>
  <c r="Z253" i="67"/>
  <c r="AE252" i="67"/>
  <c r="AD252" i="67"/>
  <c r="AC252" i="67"/>
  <c r="AB252" i="67"/>
  <c r="AA252" i="67"/>
  <c r="Z252" i="67"/>
  <c r="AE250" i="67"/>
  <c r="AD250" i="67"/>
  <c r="AC250" i="67"/>
  <c r="AB250" i="67"/>
  <c r="AA250" i="67"/>
  <c r="Z250" i="67"/>
  <c r="AE249" i="67"/>
  <c r="AD249" i="67"/>
  <c r="AC249" i="67"/>
  <c r="AB249" i="67"/>
  <c r="AA249" i="67"/>
  <c r="Z249" i="67"/>
  <c r="AE248" i="67"/>
  <c r="AD248" i="67"/>
  <c r="AC248" i="67"/>
  <c r="AB248" i="67"/>
  <c r="AA248" i="67"/>
  <c r="Z248" i="67"/>
  <c r="AE247" i="67"/>
  <c r="AD247" i="67"/>
  <c r="AC247" i="67"/>
  <c r="AB247" i="67"/>
  <c r="AA247" i="67"/>
  <c r="Z247" i="67"/>
  <c r="AE246" i="67"/>
  <c r="AD246" i="67"/>
  <c r="AC246" i="67"/>
  <c r="AB246" i="67"/>
  <c r="AA246" i="67"/>
  <c r="Z246" i="67"/>
  <c r="AE245" i="67"/>
  <c r="AD245" i="67"/>
  <c r="AC245" i="67"/>
  <c r="AB245" i="67"/>
  <c r="AA245" i="67"/>
  <c r="Z245" i="67"/>
  <c r="AE244" i="67"/>
  <c r="AD244" i="67"/>
  <c r="AC244" i="67"/>
  <c r="AB244" i="67"/>
  <c r="AA244" i="67"/>
  <c r="Z244" i="67"/>
  <c r="AE243" i="67"/>
  <c r="AD243" i="67"/>
  <c r="AC243" i="67"/>
  <c r="AB243" i="67"/>
  <c r="AA243" i="67"/>
  <c r="Z243" i="67"/>
  <c r="AE242" i="67"/>
  <c r="AD242" i="67"/>
  <c r="AC242" i="67"/>
  <c r="AB242" i="67"/>
  <c r="AA242" i="67"/>
  <c r="Z242" i="67"/>
  <c r="AE241" i="67"/>
  <c r="AD241" i="67"/>
  <c r="AC241" i="67"/>
  <c r="AB241" i="67"/>
  <c r="AA241" i="67"/>
  <c r="Z241" i="67"/>
  <c r="AE240" i="67"/>
  <c r="AD240" i="67"/>
  <c r="AC240" i="67"/>
  <c r="AB240" i="67"/>
  <c r="AA240" i="67"/>
  <c r="Z240" i="67"/>
  <c r="AE239" i="67"/>
  <c r="AD239" i="67"/>
  <c r="AC239" i="67"/>
  <c r="AB239" i="67"/>
  <c r="AA239" i="67"/>
  <c r="Z239" i="67"/>
  <c r="AE238" i="67"/>
  <c r="AD238" i="67"/>
  <c r="AC238" i="67"/>
  <c r="AB238" i="67"/>
  <c r="AA238" i="67"/>
  <c r="Z238" i="67"/>
  <c r="AE236" i="67"/>
  <c r="AD236" i="67"/>
  <c r="AC236" i="67"/>
  <c r="AB236" i="67"/>
  <c r="AA236" i="67"/>
  <c r="Z236" i="67"/>
  <c r="AE235" i="67"/>
  <c r="AD235" i="67"/>
  <c r="AC235" i="67"/>
  <c r="AB235" i="67"/>
  <c r="AA235" i="67"/>
  <c r="Z235" i="67"/>
  <c r="AE234" i="67"/>
  <c r="AD234" i="67"/>
  <c r="AC234" i="67"/>
  <c r="AB234" i="67"/>
  <c r="AA234" i="67"/>
  <c r="Z234" i="67"/>
  <c r="AE233" i="67"/>
  <c r="AD233" i="67"/>
  <c r="AC233" i="67"/>
  <c r="AB233" i="67"/>
  <c r="AA233" i="67"/>
  <c r="Z233" i="67"/>
  <c r="AE232" i="67"/>
  <c r="AD232" i="67"/>
  <c r="AC232" i="67"/>
  <c r="AB232" i="67"/>
  <c r="AA232" i="67"/>
  <c r="Z232" i="67"/>
  <c r="AE231" i="67"/>
  <c r="AD231" i="67"/>
  <c r="AC231" i="67"/>
  <c r="AB231" i="67"/>
  <c r="AA231" i="67"/>
  <c r="Z231" i="67"/>
  <c r="AE230" i="67"/>
  <c r="AD230" i="67"/>
  <c r="AC230" i="67"/>
  <c r="AB230" i="67"/>
  <c r="AA230" i="67"/>
  <c r="Z230" i="67"/>
  <c r="AE229" i="67"/>
  <c r="AD229" i="67"/>
  <c r="AC229" i="67"/>
  <c r="AB229" i="67"/>
  <c r="AA229" i="67"/>
  <c r="Z229" i="67"/>
  <c r="AE228" i="67"/>
  <c r="AD228" i="67"/>
  <c r="AC228" i="67"/>
  <c r="AB228" i="67"/>
  <c r="AA228" i="67"/>
  <c r="Z228" i="67"/>
  <c r="AE227" i="67"/>
  <c r="AD227" i="67"/>
  <c r="AC227" i="67"/>
  <c r="AB227" i="67"/>
  <c r="AA227" i="67"/>
  <c r="Z227" i="67"/>
  <c r="AE226" i="67"/>
  <c r="AD226" i="67"/>
  <c r="AC226" i="67"/>
  <c r="AB226" i="67"/>
  <c r="AA226" i="67"/>
  <c r="Z226" i="67"/>
  <c r="AE224" i="67"/>
  <c r="AD224" i="67"/>
  <c r="AC224" i="67"/>
  <c r="AB224" i="67"/>
  <c r="AA224" i="67"/>
  <c r="Z224" i="67"/>
  <c r="AE222" i="67"/>
  <c r="AD222" i="67"/>
  <c r="AC222" i="67"/>
  <c r="AB222" i="67"/>
  <c r="AA222" i="67"/>
  <c r="Z222" i="67"/>
  <c r="AE219" i="67"/>
  <c r="AD219" i="67"/>
  <c r="AC219" i="67"/>
  <c r="AB219" i="67"/>
  <c r="AA219" i="67"/>
  <c r="Z219" i="67"/>
  <c r="AE217" i="67"/>
  <c r="AD217" i="67"/>
  <c r="AC217" i="67"/>
  <c r="AB217" i="67"/>
  <c r="AA217" i="67"/>
  <c r="Z217" i="67"/>
  <c r="AE216" i="67"/>
  <c r="AD216" i="67"/>
  <c r="AC216" i="67"/>
  <c r="AB216" i="67"/>
  <c r="AA216" i="67"/>
  <c r="Z216" i="67"/>
  <c r="AE215" i="67"/>
  <c r="AD215" i="67"/>
  <c r="AC215" i="67"/>
  <c r="AB215" i="67"/>
  <c r="AA215" i="67"/>
  <c r="Z215" i="67"/>
  <c r="AE214" i="67"/>
  <c r="AD214" i="67"/>
  <c r="AC214" i="67"/>
  <c r="AB214" i="67"/>
  <c r="AA214" i="67"/>
  <c r="Z214" i="67"/>
  <c r="AE213" i="67"/>
  <c r="AD213" i="67"/>
  <c r="AC213" i="67"/>
  <c r="AB213" i="67"/>
  <c r="AA213" i="67"/>
  <c r="Z213" i="67"/>
  <c r="AE212" i="67"/>
  <c r="AD212" i="67"/>
  <c r="AC212" i="67"/>
  <c r="AB212" i="67"/>
  <c r="AA212" i="67"/>
  <c r="Z212" i="67"/>
  <c r="AE211" i="67"/>
  <c r="AD211" i="67"/>
  <c r="AC211" i="67"/>
  <c r="AB211" i="67"/>
  <c r="AA211" i="67"/>
  <c r="Z211" i="67"/>
  <c r="AE210" i="67"/>
  <c r="AD210" i="67"/>
  <c r="AC210" i="67"/>
  <c r="AB210" i="67"/>
  <c r="AA210" i="67"/>
  <c r="Z210" i="67"/>
  <c r="AE209" i="67"/>
  <c r="AD209" i="67"/>
  <c r="AC209" i="67"/>
  <c r="AB209" i="67"/>
  <c r="AA209" i="67"/>
  <c r="Z209" i="67"/>
  <c r="AE208" i="67"/>
  <c r="AD208" i="67"/>
  <c r="AC208" i="67"/>
  <c r="AB208" i="67"/>
  <c r="AA208" i="67"/>
  <c r="Z208" i="67"/>
  <c r="AE207" i="67"/>
  <c r="AD207" i="67"/>
  <c r="AC207" i="67"/>
  <c r="AB207" i="67"/>
  <c r="AA207" i="67"/>
  <c r="Z207" i="67"/>
  <c r="AE206" i="67"/>
  <c r="AD206" i="67"/>
  <c r="AC206" i="67"/>
  <c r="AB206" i="67"/>
  <c r="AA206" i="67"/>
  <c r="Z206" i="67"/>
  <c r="AE205" i="67"/>
  <c r="AD205" i="67"/>
  <c r="AC205" i="67"/>
  <c r="AB205" i="67"/>
  <c r="AA205" i="67"/>
  <c r="Z205" i="67"/>
  <c r="AE203" i="67"/>
  <c r="AD203" i="67"/>
  <c r="AC203" i="67"/>
  <c r="AB203" i="67"/>
  <c r="AA203" i="67"/>
  <c r="Z203" i="67"/>
  <c r="AE202" i="67"/>
  <c r="AD202" i="67"/>
  <c r="AC202" i="67"/>
  <c r="AB202" i="67"/>
  <c r="AA202" i="67"/>
  <c r="Z202" i="67"/>
  <c r="AE201" i="67"/>
  <c r="AD201" i="67"/>
  <c r="AC201" i="67"/>
  <c r="AB201" i="67"/>
  <c r="AA201" i="67"/>
  <c r="Z201" i="67"/>
  <c r="AE200" i="67"/>
  <c r="AD200" i="67"/>
  <c r="AC200" i="67"/>
  <c r="AB200" i="67"/>
  <c r="AA200" i="67"/>
  <c r="Z200" i="67"/>
  <c r="AE199" i="67"/>
  <c r="AD199" i="67"/>
  <c r="AC199" i="67"/>
  <c r="AB199" i="67"/>
  <c r="AA199" i="67"/>
  <c r="Z199" i="67"/>
  <c r="AE198" i="67"/>
  <c r="AD198" i="67"/>
  <c r="AC198" i="67"/>
  <c r="AB198" i="67"/>
  <c r="AA198" i="67"/>
  <c r="Z198" i="67"/>
  <c r="AE197" i="67"/>
  <c r="AD197" i="67"/>
  <c r="AC197" i="67"/>
  <c r="AB197" i="67"/>
  <c r="AA197" i="67"/>
  <c r="Z197" i="67"/>
  <c r="AE196" i="67"/>
  <c r="AD196" i="67"/>
  <c r="AC196" i="67"/>
  <c r="AB196" i="67"/>
  <c r="AA196" i="67"/>
  <c r="Z196" i="67"/>
  <c r="AE195" i="67"/>
  <c r="AD195" i="67"/>
  <c r="AC195" i="67"/>
  <c r="AB195" i="67"/>
  <c r="AA195" i="67"/>
  <c r="Z195" i="67"/>
  <c r="AE194" i="67"/>
  <c r="AD194" i="67"/>
  <c r="AC194" i="67"/>
  <c r="AB194" i="67"/>
  <c r="AA194" i="67"/>
  <c r="Z194" i="67"/>
  <c r="AE193" i="67"/>
  <c r="AD193" i="67"/>
  <c r="AC193" i="67"/>
  <c r="AB193" i="67"/>
  <c r="AA193" i="67"/>
  <c r="Z193" i="67"/>
  <c r="AE192" i="67"/>
  <c r="AD192" i="67"/>
  <c r="AC192" i="67"/>
  <c r="AB192" i="67"/>
  <c r="AA192" i="67"/>
  <c r="Z192" i="67"/>
  <c r="AE191" i="67"/>
  <c r="AD191" i="67"/>
  <c r="AC191" i="67"/>
  <c r="AB191" i="67"/>
  <c r="AA191" i="67"/>
  <c r="Z191" i="67"/>
  <c r="AE189" i="67"/>
  <c r="AD189" i="67"/>
  <c r="AC189" i="67"/>
  <c r="AB189" i="67"/>
  <c r="AA189" i="67"/>
  <c r="Z189" i="67"/>
  <c r="AE188" i="67"/>
  <c r="AD188" i="67"/>
  <c r="AC188" i="67"/>
  <c r="AB188" i="67"/>
  <c r="AA188" i="67"/>
  <c r="Z188" i="67"/>
  <c r="AE187" i="67"/>
  <c r="AD187" i="67"/>
  <c r="AC187" i="67"/>
  <c r="AB187" i="67"/>
  <c r="AA187" i="67"/>
  <c r="Z187" i="67"/>
  <c r="AE186" i="67"/>
  <c r="AD186" i="67"/>
  <c r="AC186" i="67"/>
  <c r="AB186" i="67"/>
  <c r="AA186" i="67"/>
  <c r="Z186" i="67"/>
  <c r="AE185" i="67"/>
  <c r="AD185" i="67"/>
  <c r="AC185" i="67"/>
  <c r="AB185" i="67"/>
  <c r="AA185" i="67"/>
  <c r="Z185" i="67"/>
  <c r="AE184" i="67"/>
  <c r="AD184" i="67"/>
  <c r="AC184" i="67"/>
  <c r="AB184" i="67"/>
  <c r="AA184" i="67"/>
  <c r="Z184" i="67"/>
  <c r="AE183" i="67"/>
  <c r="AD183" i="67"/>
  <c r="AC183" i="67"/>
  <c r="AB183" i="67"/>
  <c r="AA183" i="67"/>
  <c r="Z183" i="67"/>
  <c r="AE182" i="67"/>
  <c r="AD182" i="67"/>
  <c r="AC182" i="67"/>
  <c r="AB182" i="67"/>
  <c r="AA182" i="67"/>
  <c r="Z182" i="67"/>
  <c r="AE181" i="67"/>
  <c r="AD181" i="67"/>
  <c r="AC181" i="67"/>
  <c r="AB181" i="67"/>
  <c r="AA181" i="67"/>
  <c r="Z181" i="67"/>
  <c r="AE180" i="67"/>
  <c r="AD180" i="67"/>
  <c r="AC180" i="67"/>
  <c r="AB180" i="67"/>
  <c r="AA180" i="67"/>
  <c r="Z180" i="67"/>
  <c r="AE179" i="67"/>
  <c r="AD179" i="67"/>
  <c r="AC179" i="67"/>
  <c r="AB179" i="67"/>
  <c r="AA179" i="67"/>
  <c r="Z179" i="67"/>
  <c r="AE178" i="67"/>
  <c r="AD178" i="67"/>
  <c r="AC178" i="67"/>
  <c r="AB178" i="67"/>
  <c r="AA178" i="67"/>
  <c r="Z178" i="67"/>
  <c r="AE177" i="67"/>
  <c r="AD177" i="67"/>
  <c r="AC177" i="67"/>
  <c r="AB177" i="67"/>
  <c r="AA177" i="67"/>
  <c r="Z177" i="67"/>
  <c r="AE175" i="67"/>
  <c r="AD175" i="67"/>
  <c r="AC175" i="67"/>
  <c r="AB175" i="67"/>
  <c r="AA175" i="67"/>
  <c r="Z175" i="67"/>
  <c r="AE174" i="67"/>
  <c r="AD174" i="67"/>
  <c r="AC174" i="67"/>
  <c r="AB174" i="67"/>
  <c r="AA174" i="67"/>
  <c r="Z174" i="67"/>
  <c r="AE173" i="67"/>
  <c r="AD173" i="67"/>
  <c r="AC173" i="67"/>
  <c r="AB173" i="67"/>
  <c r="AA173" i="67"/>
  <c r="Z173" i="67"/>
  <c r="AE172" i="67"/>
  <c r="AD172" i="67"/>
  <c r="AC172" i="67"/>
  <c r="AB172" i="67"/>
  <c r="AA172" i="67"/>
  <c r="Z172" i="67"/>
  <c r="AE171" i="67"/>
  <c r="AD171" i="67"/>
  <c r="AC171" i="67"/>
  <c r="AB171" i="67"/>
  <c r="AA171" i="67"/>
  <c r="Z171" i="67"/>
  <c r="AE170" i="67"/>
  <c r="AD170" i="67"/>
  <c r="AC170" i="67"/>
  <c r="AB170" i="67"/>
  <c r="AA170" i="67"/>
  <c r="Z170" i="67"/>
  <c r="AE169" i="67"/>
  <c r="AD169" i="67"/>
  <c r="AC169" i="67"/>
  <c r="AB169" i="67"/>
  <c r="AA169" i="67"/>
  <c r="Z169" i="67"/>
  <c r="AE168" i="67"/>
  <c r="AD168" i="67"/>
  <c r="AC168" i="67"/>
  <c r="AB168" i="67"/>
  <c r="AA168" i="67"/>
  <c r="Z168" i="67"/>
  <c r="AE167" i="67"/>
  <c r="AD167" i="67"/>
  <c r="AC167" i="67"/>
  <c r="AB167" i="67"/>
  <c r="AA167" i="67"/>
  <c r="Z167" i="67"/>
  <c r="AE166" i="67"/>
  <c r="AD166" i="67"/>
  <c r="AC166" i="67"/>
  <c r="AB166" i="67"/>
  <c r="AA166" i="67"/>
  <c r="Z166" i="67"/>
  <c r="AE165" i="67"/>
  <c r="AD165" i="67"/>
  <c r="AC165" i="67"/>
  <c r="AB165" i="67"/>
  <c r="AA165" i="67"/>
  <c r="Z165" i="67"/>
  <c r="AE164" i="67"/>
  <c r="AD164" i="67"/>
  <c r="AC164" i="67"/>
  <c r="AB164" i="67"/>
  <c r="AA164" i="67"/>
  <c r="Z164" i="67"/>
  <c r="AE163" i="67"/>
  <c r="AD163" i="67"/>
  <c r="AC163" i="67"/>
  <c r="AB163" i="67"/>
  <c r="AA163" i="67"/>
  <c r="Z163" i="67"/>
  <c r="AE161" i="67"/>
  <c r="AD161" i="67"/>
  <c r="AC161" i="67"/>
  <c r="AB161" i="67"/>
  <c r="AA161" i="67"/>
  <c r="Z161" i="67"/>
  <c r="AE160" i="67"/>
  <c r="AD160" i="67"/>
  <c r="AC160" i="67"/>
  <c r="AB160" i="67"/>
  <c r="AA160" i="67"/>
  <c r="Z160" i="67"/>
  <c r="AE159" i="67"/>
  <c r="AD159" i="67"/>
  <c r="AC159" i="67"/>
  <c r="AB159" i="67"/>
  <c r="AA159" i="67"/>
  <c r="Z159" i="67"/>
  <c r="AE158" i="67"/>
  <c r="AD158" i="67"/>
  <c r="AC158" i="67"/>
  <c r="AB158" i="67"/>
  <c r="AA158" i="67"/>
  <c r="Z158" i="67"/>
  <c r="AE157" i="67"/>
  <c r="AD157" i="67"/>
  <c r="AC157" i="67"/>
  <c r="AB157" i="67"/>
  <c r="AA157" i="67"/>
  <c r="Z157" i="67"/>
  <c r="AE156" i="67"/>
  <c r="AD156" i="67"/>
  <c r="AC156" i="67"/>
  <c r="AB156" i="67"/>
  <c r="AA156" i="67"/>
  <c r="Z156" i="67"/>
  <c r="AE155" i="67"/>
  <c r="AD155" i="67"/>
  <c r="AC155" i="67"/>
  <c r="AB155" i="67"/>
  <c r="AA155" i="67"/>
  <c r="Z155" i="67"/>
  <c r="AE154" i="67"/>
  <c r="AD154" i="67"/>
  <c r="AC154" i="67"/>
  <c r="AB154" i="67"/>
  <c r="AA154" i="67"/>
  <c r="Z154" i="67"/>
  <c r="AE153" i="67"/>
  <c r="AD153" i="67"/>
  <c r="AC153" i="67"/>
  <c r="AB153" i="67"/>
  <c r="AA153" i="67"/>
  <c r="Z153" i="67"/>
  <c r="AE152" i="67"/>
  <c r="AD152" i="67"/>
  <c r="AC152" i="67"/>
  <c r="AB152" i="67"/>
  <c r="AA152" i="67"/>
  <c r="Z152" i="67"/>
  <c r="AE151" i="67"/>
  <c r="AD151" i="67"/>
  <c r="AC151" i="67"/>
  <c r="AB151" i="67"/>
  <c r="AA151" i="67"/>
  <c r="Z151" i="67"/>
  <c r="AE150" i="67"/>
  <c r="AD150" i="67"/>
  <c r="AC150" i="67"/>
  <c r="AB150" i="67"/>
  <c r="AA150" i="67"/>
  <c r="Z150" i="67"/>
  <c r="AE149" i="67"/>
  <c r="AD149" i="67"/>
  <c r="AC149" i="67"/>
  <c r="AB149" i="67"/>
  <c r="AA149" i="67"/>
  <c r="Z149" i="67"/>
  <c r="AE147" i="67"/>
  <c r="AD147" i="67"/>
  <c r="AC147" i="67"/>
  <c r="AB147" i="67"/>
  <c r="AA147" i="67"/>
  <c r="Z147" i="67"/>
  <c r="AE146" i="67"/>
  <c r="AD146" i="67"/>
  <c r="AC146" i="67"/>
  <c r="AB146" i="67"/>
  <c r="AA146" i="67"/>
  <c r="Z146" i="67"/>
  <c r="AE145" i="67"/>
  <c r="AD145" i="67"/>
  <c r="AC145" i="67"/>
  <c r="AB145" i="67"/>
  <c r="AA145" i="67"/>
  <c r="Z145" i="67"/>
  <c r="AE144" i="67"/>
  <c r="AD144" i="67"/>
  <c r="AC144" i="67"/>
  <c r="AB144" i="67"/>
  <c r="AA144" i="67"/>
  <c r="Z144" i="67"/>
  <c r="AE143" i="67"/>
  <c r="AD143" i="67"/>
  <c r="AC143" i="67"/>
  <c r="AB143" i="67"/>
  <c r="AA143" i="67"/>
  <c r="Z143" i="67"/>
  <c r="AE142" i="67"/>
  <c r="AD142" i="67"/>
  <c r="AC142" i="67"/>
  <c r="AB142" i="67"/>
  <c r="AA142" i="67"/>
  <c r="Z142" i="67"/>
  <c r="AE141" i="67"/>
  <c r="AD141" i="67"/>
  <c r="AC141" i="67"/>
  <c r="AB141" i="67"/>
  <c r="AA141" i="67"/>
  <c r="Z141" i="67"/>
  <c r="AE140" i="67"/>
  <c r="AD140" i="67"/>
  <c r="AC140" i="67"/>
  <c r="AB140" i="67"/>
  <c r="AA140" i="67"/>
  <c r="Z140" i="67"/>
  <c r="AE139" i="67"/>
  <c r="AD139" i="67"/>
  <c r="AC139" i="67"/>
  <c r="AB139" i="67"/>
  <c r="AA139" i="67"/>
  <c r="Z139" i="67"/>
  <c r="AE138" i="67"/>
  <c r="AD138" i="67"/>
  <c r="AC138" i="67"/>
  <c r="AB138" i="67"/>
  <c r="AA138" i="67"/>
  <c r="Z138" i="67"/>
  <c r="AE137" i="67"/>
  <c r="AD137" i="67"/>
  <c r="AC137" i="67"/>
  <c r="AB137" i="67"/>
  <c r="AA137" i="67"/>
  <c r="Z137" i="67"/>
  <c r="AE136" i="67"/>
  <c r="AD136" i="67"/>
  <c r="AC136" i="67"/>
  <c r="AB136" i="67"/>
  <c r="AA136" i="67"/>
  <c r="Z136" i="67"/>
  <c r="AE135" i="67"/>
  <c r="AD135" i="67"/>
  <c r="AC135" i="67"/>
  <c r="AB135" i="67"/>
  <c r="AA135" i="67"/>
  <c r="Z135" i="67"/>
  <c r="AE133" i="67"/>
  <c r="AD133" i="67"/>
  <c r="AC133" i="67"/>
  <c r="AB133" i="67"/>
  <c r="AA133" i="67"/>
  <c r="Z133" i="67"/>
  <c r="AE132" i="67"/>
  <c r="AD132" i="67"/>
  <c r="AC132" i="67"/>
  <c r="AB132" i="67"/>
  <c r="AA132" i="67"/>
  <c r="Z132" i="67"/>
  <c r="AE131" i="67"/>
  <c r="AD131" i="67"/>
  <c r="AC131" i="67"/>
  <c r="AB131" i="67"/>
  <c r="AA131" i="67"/>
  <c r="Z131" i="67"/>
  <c r="AE130" i="67"/>
  <c r="AD130" i="67"/>
  <c r="AC130" i="67"/>
  <c r="AB130" i="67"/>
  <c r="AA130" i="67"/>
  <c r="Z130" i="67"/>
  <c r="AE129" i="67"/>
  <c r="AD129" i="67"/>
  <c r="AC129" i="67"/>
  <c r="AB129" i="67"/>
  <c r="AA129" i="67"/>
  <c r="Z129" i="67"/>
  <c r="AE128" i="67"/>
  <c r="AD128" i="67"/>
  <c r="AC128" i="67"/>
  <c r="AB128" i="67"/>
  <c r="AA128" i="67"/>
  <c r="Z128" i="67"/>
  <c r="AE127" i="67"/>
  <c r="AD127" i="67"/>
  <c r="AC127" i="67"/>
  <c r="AB127" i="67"/>
  <c r="AA127" i="67"/>
  <c r="Z127" i="67"/>
  <c r="AE126" i="67"/>
  <c r="AD126" i="67"/>
  <c r="AC126" i="67"/>
  <c r="AB126" i="67"/>
  <c r="AA126" i="67"/>
  <c r="Z126" i="67"/>
  <c r="AE125" i="67"/>
  <c r="AD125" i="67"/>
  <c r="AC125" i="67"/>
  <c r="AB125" i="67"/>
  <c r="AA125" i="67"/>
  <c r="Z125" i="67"/>
  <c r="AE124" i="67"/>
  <c r="AD124" i="67"/>
  <c r="AC124" i="67"/>
  <c r="AB124" i="67"/>
  <c r="AA124" i="67"/>
  <c r="Z124" i="67"/>
  <c r="AE123" i="67"/>
  <c r="AD123" i="67"/>
  <c r="AC123" i="67"/>
  <c r="AB123" i="67"/>
  <c r="AA123" i="67"/>
  <c r="Z123" i="67"/>
  <c r="AE122" i="67"/>
  <c r="AD122" i="67"/>
  <c r="AC122" i="67"/>
  <c r="AB122" i="67"/>
  <c r="AA122" i="67"/>
  <c r="Z122" i="67"/>
  <c r="AE121" i="67"/>
  <c r="AD121" i="67"/>
  <c r="AC121" i="67"/>
  <c r="AB121" i="67"/>
  <c r="AA121" i="67"/>
  <c r="Z121" i="67"/>
  <c r="AE119" i="67"/>
  <c r="AD119" i="67"/>
  <c r="AC119" i="67"/>
  <c r="AB119" i="67"/>
  <c r="AA119" i="67"/>
  <c r="Z119" i="67"/>
  <c r="AE118" i="67"/>
  <c r="AD118" i="67"/>
  <c r="AC118" i="67"/>
  <c r="AB118" i="67"/>
  <c r="AA118" i="67"/>
  <c r="Z118" i="67"/>
  <c r="AE117" i="67"/>
  <c r="AD117" i="67"/>
  <c r="AC117" i="67"/>
  <c r="AB117" i="67"/>
  <c r="AA117" i="67"/>
  <c r="Z117" i="67"/>
  <c r="AE116" i="67"/>
  <c r="AD116" i="67"/>
  <c r="AC116" i="67"/>
  <c r="AB116" i="67"/>
  <c r="AA116" i="67"/>
  <c r="Z116" i="67"/>
  <c r="AE115" i="67"/>
  <c r="AD115" i="67"/>
  <c r="AC115" i="67"/>
  <c r="AB115" i="67"/>
  <c r="AA115" i="67"/>
  <c r="Z115" i="67"/>
  <c r="AE114" i="67"/>
  <c r="AD114" i="67"/>
  <c r="AC114" i="67"/>
  <c r="AB114" i="67"/>
  <c r="AA114" i="67"/>
  <c r="Z114" i="67"/>
  <c r="AE113" i="67"/>
  <c r="AD113" i="67"/>
  <c r="AC113" i="67"/>
  <c r="AB113" i="67"/>
  <c r="AA113" i="67"/>
  <c r="Z113" i="67"/>
  <c r="AE112" i="67"/>
  <c r="AD112" i="67"/>
  <c r="AC112" i="67"/>
  <c r="AB112" i="67"/>
  <c r="AA112" i="67"/>
  <c r="Z112" i="67"/>
  <c r="AE111" i="67"/>
  <c r="AD111" i="67"/>
  <c r="AC111" i="67"/>
  <c r="AB111" i="67"/>
  <c r="AA111" i="67"/>
  <c r="Z111" i="67"/>
  <c r="AE110" i="67"/>
  <c r="AD110" i="67"/>
  <c r="AC110" i="67"/>
  <c r="AB110" i="67"/>
  <c r="AA110" i="67"/>
  <c r="Z110" i="67"/>
  <c r="AE109" i="67"/>
  <c r="AD109" i="67"/>
  <c r="AC109" i="67"/>
  <c r="AB109" i="67"/>
  <c r="AA109" i="67"/>
  <c r="Z109" i="67"/>
  <c r="AE108" i="67"/>
  <c r="AD108" i="67"/>
  <c r="AC108" i="67"/>
  <c r="AB108" i="67"/>
  <c r="AA108" i="67"/>
  <c r="Z108" i="67"/>
  <c r="AE107" i="67"/>
  <c r="AD107" i="67"/>
  <c r="AC107" i="67"/>
  <c r="AB107" i="67"/>
  <c r="AA107" i="67"/>
  <c r="Z107" i="67"/>
  <c r="AE104" i="67"/>
  <c r="AD104" i="67"/>
  <c r="AC104" i="67"/>
  <c r="AB104" i="67"/>
  <c r="AA104" i="67"/>
  <c r="Z104" i="67"/>
  <c r="AE103" i="67"/>
  <c r="AD103" i="67"/>
  <c r="AC103" i="67"/>
  <c r="AB103" i="67"/>
  <c r="AA103" i="67"/>
  <c r="Z103" i="67"/>
  <c r="AE102" i="67"/>
  <c r="AD102" i="67"/>
  <c r="AC102" i="67"/>
  <c r="AB102" i="67"/>
  <c r="AA102" i="67"/>
  <c r="Z102" i="67"/>
  <c r="AE101" i="67"/>
  <c r="AD101" i="67"/>
  <c r="AC101" i="67"/>
  <c r="AB101" i="67"/>
  <c r="AA101" i="67"/>
  <c r="Z101" i="67"/>
  <c r="AE100" i="67"/>
  <c r="AD100" i="67"/>
  <c r="AC100" i="67"/>
  <c r="AB100" i="67"/>
  <c r="AA100" i="67"/>
  <c r="Z100" i="67"/>
  <c r="AE99" i="67"/>
  <c r="AD99" i="67"/>
  <c r="AC99" i="67"/>
  <c r="AB99" i="67"/>
  <c r="AA99" i="67"/>
  <c r="Z99" i="67"/>
  <c r="AE98" i="67"/>
  <c r="AD98" i="67"/>
  <c r="AC98" i="67"/>
  <c r="AB98" i="67"/>
  <c r="AA98" i="67"/>
  <c r="Z98" i="67"/>
  <c r="AE97" i="67"/>
  <c r="AD97" i="67"/>
  <c r="AC97" i="67"/>
  <c r="AB97" i="67"/>
  <c r="AA97" i="67"/>
  <c r="Z97" i="67"/>
  <c r="AE96" i="67"/>
  <c r="AD96" i="67"/>
  <c r="AC96" i="67"/>
  <c r="AB96" i="67"/>
  <c r="AA96" i="67"/>
  <c r="Z96" i="67"/>
  <c r="AE95" i="67"/>
  <c r="AD95" i="67"/>
  <c r="AC95" i="67"/>
  <c r="AB95" i="67"/>
  <c r="AA95" i="67"/>
  <c r="Z95" i="67"/>
  <c r="AE94" i="67"/>
  <c r="AD94" i="67"/>
  <c r="AC94" i="67"/>
  <c r="AB94" i="67"/>
  <c r="AA94" i="67"/>
  <c r="Z94" i="67"/>
  <c r="AE93" i="67"/>
  <c r="AD93" i="67"/>
  <c r="AC93" i="67"/>
  <c r="AB93" i="67"/>
  <c r="AA93" i="67"/>
  <c r="Z93" i="67"/>
  <c r="AE92" i="67"/>
  <c r="AD92" i="67"/>
  <c r="AC92" i="67"/>
  <c r="AB92" i="67"/>
  <c r="AA92" i="67"/>
  <c r="Z92" i="67"/>
  <c r="AE90" i="67"/>
  <c r="AD90" i="67"/>
  <c r="AC90" i="67"/>
  <c r="AB90" i="67"/>
  <c r="AA90" i="67"/>
  <c r="Z90" i="67"/>
  <c r="AE89" i="67"/>
  <c r="AD89" i="67"/>
  <c r="AC89" i="67"/>
  <c r="AB89" i="67"/>
  <c r="AA89" i="67"/>
  <c r="Z89" i="67"/>
  <c r="AE88" i="67"/>
  <c r="AD88" i="67"/>
  <c r="AC88" i="67"/>
  <c r="AB88" i="67"/>
  <c r="AA88" i="67"/>
  <c r="Z88" i="67"/>
  <c r="AE87" i="67"/>
  <c r="AD87" i="67"/>
  <c r="AC87" i="67"/>
  <c r="AB87" i="67"/>
  <c r="AA87" i="67"/>
  <c r="Z87" i="67"/>
  <c r="AE86" i="67"/>
  <c r="AD86" i="67"/>
  <c r="AC86" i="67"/>
  <c r="AB86" i="67"/>
  <c r="AA86" i="67"/>
  <c r="Z86" i="67"/>
  <c r="AE85" i="67"/>
  <c r="AD85" i="67"/>
  <c r="AC85" i="67"/>
  <c r="AB85" i="67"/>
  <c r="AA85" i="67"/>
  <c r="Z85" i="67"/>
  <c r="AE84" i="67"/>
  <c r="AD84" i="67"/>
  <c r="AC84" i="67"/>
  <c r="AB84" i="67"/>
  <c r="AA84" i="67"/>
  <c r="Z84" i="67"/>
  <c r="AE83" i="67"/>
  <c r="AD83" i="67"/>
  <c r="AC83" i="67"/>
  <c r="AB83" i="67"/>
  <c r="AA83" i="67"/>
  <c r="Z83" i="67"/>
  <c r="AE82" i="67"/>
  <c r="AD82" i="67"/>
  <c r="AC82" i="67"/>
  <c r="AB82" i="67"/>
  <c r="AA82" i="67"/>
  <c r="Z82" i="67"/>
  <c r="AE81" i="67"/>
  <c r="AD81" i="67"/>
  <c r="AC81" i="67"/>
  <c r="AB81" i="67"/>
  <c r="AA81" i="67"/>
  <c r="Z81" i="67"/>
  <c r="AE80" i="67"/>
  <c r="AD80" i="67"/>
  <c r="AC80" i="67"/>
  <c r="AB80" i="67"/>
  <c r="AA80" i="67"/>
  <c r="Z80" i="67"/>
  <c r="AE79" i="67"/>
  <c r="AD79" i="67"/>
  <c r="AC79" i="67"/>
  <c r="AB79" i="67"/>
  <c r="AA79" i="67"/>
  <c r="Z79" i="67"/>
  <c r="AE78" i="67"/>
  <c r="AD78" i="67"/>
  <c r="AC78" i="67"/>
  <c r="AB78" i="67"/>
  <c r="AA78" i="67"/>
  <c r="Z78" i="67"/>
  <c r="AE76" i="67"/>
  <c r="AD76" i="67"/>
  <c r="AC76" i="67"/>
  <c r="AB76" i="67"/>
  <c r="AA76" i="67"/>
  <c r="Z76" i="67"/>
  <c r="AE75" i="67"/>
  <c r="AD75" i="67"/>
  <c r="AC75" i="67"/>
  <c r="AB75" i="67"/>
  <c r="AA75" i="67"/>
  <c r="Z75" i="67"/>
  <c r="AE74" i="67"/>
  <c r="AD74" i="67"/>
  <c r="AC74" i="67"/>
  <c r="AB74" i="67"/>
  <c r="AA74" i="67"/>
  <c r="Z74" i="67"/>
  <c r="AE73" i="67"/>
  <c r="AD73" i="67"/>
  <c r="AC73" i="67"/>
  <c r="AB73" i="67"/>
  <c r="AA73" i="67"/>
  <c r="Z73" i="67"/>
  <c r="AE72" i="67"/>
  <c r="AD72" i="67"/>
  <c r="AC72" i="67"/>
  <c r="AB72" i="67"/>
  <c r="AA72" i="67"/>
  <c r="Z72" i="67"/>
  <c r="AE71" i="67"/>
  <c r="AD71" i="67"/>
  <c r="AC71" i="67"/>
  <c r="AB71" i="67"/>
  <c r="AA71" i="67"/>
  <c r="Z71" i="67"/>
  <c r="AE70" i="67"/>
  <c r="AD70" i="67"/>
  <c r="AC70" i="67"/>
  <c r="AB70" i="67"/>
  <c r="AA70" i="67"/>
  <c r="Z70" i="67"/>
  <c r="AE69" i="67"/>
  <c r="AD69" i="67"/>
  <c r="AC69" i="67"/>
  <c r="AB69" i="67"/>
  <c r="AA69" i="67"/>
  <c r="Z69" i="67"/>
  <c r="AE68" i="67"/>
  <c r="AD68" i="67"/>
  <c r="AC68" i="67"/>
  <c r="AB68" i="67"/>
  <c r="AA68" i="67"/>
  <c r="Z68" i="67"/>
  <c r="AE67" i="67"/>
  <c r="AD67" i="67"/>
  <c r="AC67" i="67"/>
  <c r="AB67" i="67"/>
  <c r="AA67" i="67"/>
  <c r="Z67" i="67"/>
  <c r="AE66" i="67"/>
  <c r="AD66" i="67"/>
  <c r="AC66" i="67"/>
  <c r="AB66" i="67"/>
  <c r="AA66" i="67"/>
  <c r="Z66" i="67"/>
  <c r="AE65" i="67"/>
  <c r="AD65" i="67"/>
  <c r="AC65" i="67"/>
  <c r="AB65" i="67"/>
  <c r="AA65" i="67"/>
  <c r="Z65" i="67"/>
  <c r="AE64" i="67"/>
  <c r="AD64" i="67"/>
  <c r="AC64" i="67"/>
  <c r="AB64" i="67"/>
  <c r="AA64" i="67"/>
  <c r="Z64" i="67"/>
  <c r="AE62" i="67"/>
  <c r="AD62" i="67"/>
  <c r="AC62" i="67"/>
  <c r="AB62" i="67"/>
  <c r="AA62" i="67"/>
  <c r="Z62" i="67"/>
  <c r="AE61" i="67"/>
  <c r="AD61" i="67"/>
  <c r="AC61" i="67"/>
  <c r="AB61" i="67"/>
  <c r="AA61" i="67"/>
  <c r="Z61" i="67"/>
  <c r="AE60" i="67"/>
  <c r="AD60" i="67"/>
  <c r="AC60" i="67"/>
  <c r="AB60" i="67"/>
  <c r="AA60" i="67"/>
  <c r="Z60" i="67"/>
  <c r="AE59" i="67"/>
  <c r="AD59" i="67"/>
  <c r="AC59" i="67"/>
  <c r="AB59" i="67"/>
  <c r="AA59" i="67"/>
  <c r="Z59" i="67"/>
  <c r="AE58" i="67"/>
  <c r="AD58" i="67"/>
  <c r="AC58" i="67"/>
  <c r="AB58" i="67"/>
  <c r="AA58" i="67"/>
  <c r="Z58" i="67"/>
  <c r="AE57" i="67"/>
  <c r="AD57" i="67"/>
  <c r="AC57" i="67"/>
  <c r="AB57" i="67"/>
  <c r="AA57" i="67"/>
  <c r="Z57" i="67"/>
  <c r="AE56" i="67"/>
  <c r="AD56" i="67"/>
  <c r="AC56" i="67"/>
  <c r="AB56" i="67"/>
  <c r="AA56" i="67"/>
  <c r="Z56" i="67"/>
  <c r="AE55" i="67"/>
  <c r="AD55" i="67"/>
  <c r="AC55" i="67"/>
  <c r="AB55" i="67"/>
  <c r="AA55" i="67"/>
  <c r="Z55" i="67"/>
  <c r="AE54" i="67"/>
  <c r="AD54" i="67"/>
  <c r="AC54" i="67"/>
  <c r="AB54" i="67"/>
  <c r="AA54" i="67"/>
  <c r="Z54" i="67"/>
  <c r="AE53" i="67"/>
  <c r="AD53" i="67"/>
  <c r="AC53" i="67"/>
  <c r="AB53" i="67"/>
  <c r="AA53" i="67"/>
  <c r="Z53" i="67"/>
  <c r="AE52" i="67"/>
  <c r="AD52" i="67"/>
  <c r="AC52" i="67"/>
  <c r="AB52" i="67"/>
  <c r="AA52" i="67"/>
  <c r="Z52" i="67"/>
  <c r="AE51" i="67"/>
  <c r="AD51" i="67"/>
  <c r="AC51" i="67"/>
  <c r="AB51" i="67"/>
  <c r="AA51" i="67"/>
  <c r="Z51" i="67"/>
  <c r="AE50" i="67"/>
  <c r="AD50" i="67"/>
  <c r="AC50" i="67"/>
  <c r="AB50" i="67"/>
  <c r="AA50" i="67"/>
  <c r="Z50" i="67"/>
  <c r="AE48" i="67"/>
  <c r="AD48" i="67"/>
  <c r="AC48" i="67"/>
  <c r="AB48" i="67"/>
  <c r="AA48" i="67"/>
  <c r="Z48" i="67"/>
  <c r="AE47" i="67"/>
  <c r="AD47" i="67"/>
  <c r="AC47" i="67"/>
  <c r="AB47" i="67"/>
  <c r="AA47" i="67"/>
  <c r="Z47" i="67"/>
  <c r="AE46" i="67"/>
  <c r="AD46" i="67"/>
  <c r="AC46" i="67"/>
  <c r="AB46" i="67"/>
  <c r="AA46" i="67"/>
  <c r="Z46" i="67"/>
  <c r="AE45" i="67"/>
  <c r="AD45" i="67"/>
  <c r="AC45" i="67"/>
  <c r="AB45" i="67"/>
  <c r="AA45" i="67"/>
  <c r="Z45" i="67"/>
  <c r="AE44" i="67"/>
  <c r="AD44" i="67"/>
  <c r="AC44" i="67"/>
  <c r="AB44" i="67"/>
  <c r="AA44" i="67"/>
  <c r="Z44" i="67"/>
  <c r="AE43" i="67"/>
  <c r="AD43" i="67"/>
  <c r="AC43" i="67"/>
  <c r="AB43" i="67"/>
  <c r="AA43" i="67"/>
  <c r="Z43" i="67"/>
  <c r="AE42" i="67"/>
  <c r="AD42" i="67"/>
  <c r="AC42" i="67"/>
  <c r="AB42" i="67"/>
  <c r="AA42" i="67"/>
  <c r="Z42" i="67"/>
  <c r="AE41" i="67"/>
  <c r="AD41" i="67"/>
  <c r="AC41" i="67"/>
  <c r="AB41" i="67"/>
  <c r="AA41" i="67"/>
  <c r="Z41" i="67"/>
  <c r="AE40" i="67"/>
  <c r="AD40" i="67"/>
  <c r="AC40" i="67"/>
  <c r="AB40" i="67"/>
  <c r="AA40" i="67"/>
  <c r="Z40" i="67"/>
  <c r="AE39" i="67"/>
  <c r="AD39" i="67"/>
  <c r="AC39" i="67"/>
  <c r="AB39" i="67"/>
  <c r="AA39" i="67"/>
  <c r="Z39" i="67"/>
  <c r="AE38" i="67"/>
  <c r="AD38" i="67"/>
  <c r="AC38" i="67"/>
  <c r="AB38" i="67"/>
  <c r="AA38" i="67"/>
  <c r="Z38" i="67"/>
  <c r="AE37" i="67"/>
  <c r="AD37" i="67"/>
  <c r="AC37" i="67"/>
  <c r="AB37" i="67"/>
  <c r="AA37" i="67"/>
  <c r="Z37" i="67"/>
  <c r="AE36" i="67"/>
  <c r="AD36" i="67"/>
  <c r="AC36" i="67"/>
  <c r="AB36" i="67"/>
  <c r="AA36" i="67"/>
  <c r="Z36" i="67"/>
  <c r="AE30" i="67"/>
  <c r="AD30" i="67"/>
  <c r="AC30" i="67"/>
  <c r="AB30" i="67"/>
  <c r="AA30" i="67"/>
  <c r="Z30" i="67"/>
  <c r="AE29" i="67"/>
  <c r="AD29" i="67"/>
  <c r="AC29" i="67"/>
  <c r="AB29" i="67"/>
  <c r="AA29" i="67"/>
  <c r="Z29" i="67"/>
  <c r="AE28" i="67"/>
  <c r="AD28" i="67"/>
  <c r="AC28" i="67"/>
  <c r="AB28" i="67"/>
  <c r="AA28" i="67"/>
  <c r="Z28" i="67"/>
  <c r="E445" i="67"/>
  <c r="E444" i="67"/>
  <c r="E443" i="67"/>
  <c r="E442" i="67"/>
  <c r="AW35" i="67"/>
  <c r="AZ35" i="67"/>
  <c r="AT35" i="67"/>
  <c r="AW19" i="67"/>
  <c r="AP10" i="67"/>
  <c r="AQ14" i="67"/>
  <c r="AQ13" i="67"/>
  <c r="AQ12" i="67"/>
  <c r="B15" i="66"/>
  <c r="C15" i="66"/>
  <c r="K22" i="58"/>
  <c r="AF2" i="58"/>
  <c r="AF28" i="58"/>
  <c r="AF437" i="58"/>
  <c r="AF435" i="58"/>
  <c r="AF433" i="58"/>
  <c r="AF431" i="58"/>
  <c r="AF430" i="58"/>
  <c r="AF429" i="58"/>
  <c r="AF427" i="58"/>
  <c r="AF425" i="58"/>
  <c r="AF424" i="58"/>
  <c r="AF423" i="58"/>
  <c r="AF422" i="58"/>
  <c r="AF421" i="58"/>
  <c r="AF420" i="58"/>
  <c r="AF419" i="58"/>
  <c r="AF418" i="58"/>
  <c r="AF417" i="58"/>
  <c r="AF416" i="58"/>
  <c r="AF415" i="58"/>
  <c r="AF414" i="58"/>
  <c r="AF413" i="58"/>
  <c r="AF412" i="58"/>
  <c r="AF411" i="58"/>
  <c r="AF410" i="58"/>
  <c r="AF409" i="58"/>
  <c r="AF408" i="58"/>
  <c r="AF407" i="58"/>
  <c r="AF406" i="58"/>
  <c r="AF405" i="58"/>
  <c r="AF404" i="58"/>
  <c r="AF403" i="58"/>
  <c r="AF402" i="58"/>
  <c r="AF401" i="58"/>
  <c r="AF400" i="58"/>
  <c r="AF399" i="58"/>
  <c r="AF398" i="58"/>
  <c r="AF397" i="58"/>
  <c r="AF396" i="58"/>
  <c r="AF395" i="58"/>
  <c r="AF394" i="58"/>
  <c r="AF393" i="58"/>
  <c r="AF392" i="58"/>
  <c r="AF391" i="58"/>
  <c r="AF390" i="58"/>
  <c r="AF389" i="58"/>
  <c r="AF388" i="58"/>
  <c r="AF387" i="58"/>
  <c r="AF386" i="58"/>
  <c r="AF385" i="58"/>
  <c r="AF384" i="58"/>
  <c r="AF383" i="58"/>
  <c r="AF382" i="58"/>
  <c r="AF381" i="58"/>
  <c r="AF380" i="58"/>
  <c r="AF379" i="58"/>
  <c r="AF378" i="58"/>
  <c r="AF377" i="58"/>
  <c r="AF376" i="58"/>
  <c r="AF375" i="58"/>
  <c r="AF374" i="58"/>
  <c r="AF373" i="58"/>
  <c r="AF372" i="58"/>
  <c r="AF371" i="58"/>
  <c r="AF370" i="58"/>
  <c r="AF369" i="58"/>
  <c r="AF368" i="58"/>
  <c r="AF367" i="58"/>
  <c r="AF366" i="58"/>
  <c r="AF365" i="58"/>
  <c r="AF364" i="58"/>
  <c r="AF363" i="58"/>
  <c r="AF362" i="58"/>
  <c r="AF361" i="58"/>
  <c r="AF360" i="58"/>
  <c r="AF359" i="58"/>
  <c r="AF358" i="58"/>
  <c r="AF357" i="58"/>
  <c r="AF356" i="58"/>
  <c r="AF355" i="58"/>
  <c r="AF354" i="58"/>
  <c r="AF353" i="58"/>
  <c r="AF352" i="58"/>
  <c r="AF351" i="58"/>
  <c r="AF350" i="58"/>
  <c r="AF349" i="58"/>
  <c r="AF348" i="58"/>
  <c r="AF347" i="58"/>
  <c r="AF346" i="58"/>
  <c r="AF345" i="58"/>
  <c r="AF344" i="58"/>
  <c r="AF343" i="58"/>
  <c r="AF342" i="58"/>
  <c r="AF341" i="58"/>
  <c r="AF340" i="58"/>
  <c r="AF339" i="58"/>
  <c r="AF338" i="58"/>
  <c r="AF337" i="58"/>
  <c r="AF336" i="58"/>
  <c r="AF335" i="58"/>
  <c r="AF334" i="58"/>
  <c r="AF333" i="58"/>
  <c r="AF332" i="58"/>
  <c r="AF331" i="58"/>
  <c r="AF330" i="58"/>
  <c r="AF329" i="58"/>
  <c r="AF328" i="58"/>
  <c r="AF327" i="58"/>
  <c r="AF326" i="58"/>
  <c r="AF325" i="58"/>
  <c r="AF324" i="58"/>
  <c r="AF323" i="58"/>
  <c r="AF322" i="58"/>
  <c r="AF321" i="58"/>
  <c r="AF320" i="58"/>
  <c r="AF319" i="58"/>
  <c r="AF318" i="58"/>
  <c r="AF317" i="58"/>
  <c r="AF316" i="58"/>
  <c r="AF315" i="58"/>
  <c r="AF314" i="58"/>
  <c r="AF313" i="58"/>
  <c r="AF312" i="58"/>
  <c r="AF311" i="58"/>
  <c r="AF310" i="58"/>
  <c r="AF309" i="58"/>
  <c r="AF308" i="58"/>
  <c r="AF307" i="58"/>
  <c r="AF306" i="58"/>
  <c r="AF305" i="58"/>
  <c r="AF304" i="58"/>
  <c r="AF303" i="58"/>
  <c r="AF302" i="58"/>
  <c r="AF301" i="58"/>
  <c r="AF300" i="58"/>
  <c r="AF299" i="58"/>
  <c r="AF298" i="58"/>
  <c r="AF297" i="58"/>
  <c r="AF296" i="58"/>
  <c r="AF295" i="58"/>
  <c r="AF294" i="58"/>
  <c r="AF293" i="58"/>
  <c r="AF292" i="58"/>
  <c r="AF291" i="58"/>
  <c r="AF290" i="58"/>
  <c r="AF289" i="58"/>
  <c r="AF288" i="58"/>
  <c r="AF287" i="58"/>
  <c r="AF286" i="58"/>
  <c r="AF285" i="58"/>
  <c r="AF284" i="58"/>
  <c r="AF283" i="58"/>
  <c r="AF282" i="58"/>
  <c r="AF281" i="58"/>
  <c r="AF280" i="58"/>
  <c r="AF279" i="58"/>
  <c r="AF278" i="58"/>
  <c r="AF277" i="58"/>
  <c r="AF276" i="58"/>
  <c r="AF275" i="58"/>
  <c r="AF274" i="58"/>
  <c r="AF273" i="58"/>
  <c r="AF272" i="58"/>
  <c r="AF271" i="58"/>
  <c r="AF270" i="58"/>
  <c r="AF269" i="58"/>
  <c r="AF268" i="58"/>
  <c r="AF267" i="58"/>
  <c r="AF266" i="58"/>
  <c r="AF265" i="58"/>
  <c r="AF264" i="58"/>
  <c r="AF263" i="58"/>
  <c r="AF262" i="58"/>
  <c r="AF261" i="58"/>
  <c r="AF260" i="58"/>
  <c r="AF259" i="58"/>
  <c r="AF258" i="58"/>
  <c r="AF257" i="58"/>
  <c r="AF256" i="58"/>
  <c r="AF255" i="58"/>
  <c r="AF254" i="58"/>
  <c r="AF253" i="58"/>
  <c r="AF252" i="58"/>
  <c r="AF251" i="58"/>
  <c r="AF250" i="58"/>
  <c r="AF249" i="58"/>
  <c r="AF248" i="58"/>
  <c r="AF247" i="58"/>
  <c r="AF246" i="58"/>
  <c r="AF245" i="58"/>
  <c r="AF244" i="58"/>
  <c r="AF243" i="58"/>
  <c r="AF242" i="58"/>
  <c r="AF241" i="58"/>
  <c r="AF240" i="58"/>
  <c r="AF239" i="58"/>
  <c r="AF238" i="58"/>
  <c r="AF237" i="58"/>
  <c r="AF236" i="58"/>
  <c r="AF235" i="58"/>
  <c r="AF234" i="58"/>
  <c r="AF233" i="58"/>
  <c r="AF232" i="58"/>
  <c r="AF231" i="58"/>
  <c r="AF230" i="58"/>
  <c r="AF229" i="58"/>
  <c r="AF228" i="58"/>
  <c r="AF227" i="58"/>
  <c r="AF226" i="58"/>
  <c r="AF225" i="58"/>
  <c r="AF224" i="58"/>
  <c r="AF223" i="58"/>
  <c r="AF222" i="58"/>
  <c r="AF221" i="58"/>
  <c r="AF220" i="58"/>
  <c r="AF219" i="58"/>
  <c r="AF218" i="58"/>
  <c r="AF217" i="58"/>
  <c r="AF216" i="58"/>
  <c r="AF215" i="58"/>
  <c r="AF214" i="58"/>
  <c r="AF213" i="58"/>
  <c r="AF212" i="58"/>
  <c r="AF211" i="58"/>
  <c r="AF210" i="58"/>
  <c r="AF209" i="58"/>
  <c r="AF208" i="58"/>
  <c r="AF207" i="58"/>
  <c r="AF206" i="58"/>
  <c r="AF205" i="58"/>
  <c r="AF204" i="58"/>
  <c r="AF203" i="58"/>
  <c r="AF202" i="58"/>
  <c r="AF201" i="58"/>
  <c r="AF200" i="58"/>
  <c r="AF199" i="58"/>
  <c r="AF198" i="58"/>
  <c r="AF197" i="58"/>
  <c r="AF196" i="58"/>
  <c r="AF195" i="58"/>
  <c r="AF194" i="58"/>
  <c r="AF193" i="58"/>
  <c r="AF192" i="58"/>
  <c r="AF191" i="58"/>
  <c r="AF190" i="58"/>
  <c r="AF189" i="58"/>
  <c r="AF188" i="58"/>
  <c r="AF187" i="58"/>
  <c r="AF186" i="58"/>
  <c r="AF185" i="58"/>
  <c r="AF184" i="58"/>
  <c r="AF183" i="58"/>
  <c r="AF182" i="58"/>
  <c r="AF181" i="58"/>
  <c r="AF180" i="58"/>
  <c r="AF179" i="58"/>
  <c r="AF178" i="58"/>
  <c r="AF177" i="58"/>
  <c r="AF176" i="58"/>
  <c r="AF175" i="58"/>
  <c r="AF174" i="58"/>
  <c r="AF173" i="58"/>
  <c r="AF172" i="58"/>
  <c r="AF171" i="58"/>
  <c r="AF170" i="58"/>
  <c r="AF169" i="58"/>
  <c r="AF168" i="58"/>
  <c r="AF167" i="58"/>
  <c r="AF166" i="58"/>
  <c r="AF165" i="58"/>
  <c r="AF164" i="58"/>
  <c r="AF163" i="58"/>
  <c r="AF162" i="58"/>
  <c r="AF161" i="58"/>
  <c r="AF160" i="58"/>
  <c r="AF159" i="58"/>
  <c r="AF158" i="58"/>
  <c r="AF157" i="58"/>
  <c r="AF156" i="58"/>
  <c r="AF155" i="58"/>
  <c r="AF154" i="58"/>
  <c r="AF153" i="58"/>
  <c r="AF152" i="58"/>
  <c r="AF151" i="58"/>
  <c r="AF150" i="58"/>
  <c r="AF149" i="58"/>
  <c r="AF148" i="58"/>
  <c r="AF147" i="58"/>
  <c r="AF146" i="58"/>
  <c r="AF145" i="58"/>
  <c r="AF144" i="58"/>
  <c r="AF143" i="58"/>
  <c r="AF142" i="58"/>
  <c r="AF141" i="58"/>
  <c r="AF140" i="58"/>
  <c r="AF139" i="58"/>
  <c r="AF138" i="58"/>
  <c r="AF137" i="58"/>
  <c r="AF136" i="58"/>
  <c r="AF135" i="58"/>
  <c r="AF134" i="58"/>
  <c r="AF133" i="58"/>
  <c r="AF132" i="58"/>
  <c r="AF131" i="58"/>
  <c r="AF130" i="58"/>
  <c r="AF129" i="58"/>
  <c r="AF128" i="58"/>
  <c r="AF127" i="58"/>
  <c r="AF126" i="58"/>
  <c r="AF125" i="58"/>
  <c r="AF124" i="58"/>
  <c r="AF123" i="58"/>
  <c r="AF122" i="58"/>
  <c r="AF121" i="58"/>
  <c r="AF120" i="58"/>
  <c r="AF119" i="58"/>
  <c r="AF118" i="58"/>
  <c r="AF117" i="58"/>
  <c r="AF116" i="58"/>
  <c r="AF115" i="58"/>
  <c r="AF114" i="58"/>
  <c r="AF113" i="58"/>
  <c r="AF112" i="58"/>
  <c r="AF111" i="58"/>
  <c r="AF110" i="58"/>
  <c r="AF109" i="58"/>
  <c r="AF108" i="58"/>
  <c r="AF107" i="58"/>
  <c r="AF106" i="58"/>
  <c r="AF105" i="58"/>
  <c r="AF104" i="58"/>
  <c r="AF103" i="58"/>
  <c r="AF102" i="58"/>
  <c r="AF101" i="58"/>
  <c r="AF100" i="58"/>
  <c r="AF99" i="58"/>
  <c r="AF98" i="58"/>
  <c r="AF97" i="58"/>
  <c r="AF96" i="58"/>
  <c r="AF95" i="58"/>
  <c r="AF94" i="58"/>
  <c r="AF93" i="58"/>
  <c r="AF92" i="58"/>
  <c r="AF91" i="58"/>
  <c r="AF90" i="58"/>
  <c r="AF89" i="58"/>
  <c r="AF88" i="58"/>
  <c r="AF87" i="58"/>
  <c r="AF86" i="58"/>
  <c r="AF85" i="58"/>
  <c r="AF84" i="58"/>
  <c r="AF83" i="58"/>
  <c r="AF82" i="58"/>
  <c r="AF81" i="58"/>
  <c r="AF80" i="58"/>
  <c r="AF79" i="58"/>
  <c r="AF78" i="58"/>
  <c r="AF77" i="58"/>
  <c r="AF76" i="58"/>
  <c r="AF75" i="58"/>
  <c r="AF74" i="58"/>
  <c r="AF73" i="58"/>
  <c r="AF72" i="58"/>
  <c r="AF71" i="58"/>
  <c r="AF70" i="58"/>
  <c r="AF69" i="58"/>
  <c r="AF68" i="58"/>
  <c r="AF67" i="58"/>
  <c r="AF66" i="58"/>
  <c r="AF65" i="58"/>
  <c r="AF64" i="58"/>
  <c r="AF63" i="58"/>
  <c r="AF62" i="58"/>
  <c r="AF61" i="58"/>
  <c r="AF60" i="58"/>
  <c r="AF59" i="58"/>
  <c r="AF58" i="58"/>
  <c r="AF57" i="58"/>
  <c r="AF56" i="58"/>
  <c r="AF55" i="58"/>
  <c r="AF54" i="58"/>
  <c r="AF53" i="58"/>
  <c r="AF52" i="58"/>
  <c r="AF51" i="58"/>
  <c r="AF50" i="58"/>
  <c r="AF49" i="58"/>
  <c r="AF48" i="58"/>
  <c r="AF47" i="58"/>
  <c r="AF46" i="58"/>
  <c r="AF45" i="58"/>
  <c r="AF44" i="58"/>
  <c r="AF43" i="58"/>
  <c r="AF42" i="58"/>
  <c r="AF41" i="58"/>
  <c r="AF40" i="58"/>
  <c r="AF39" i="58"/>
  <c r="AF38" i="58"/>
  <c r="AF37" i="58"/>
  <c r="AF36" i="58"/>
  <c r="AF35" i="58"/>
  <c r="AF34" i="58"/>
  <c r="AF33" i="58"/>
  <c r="AF32" i="58"/>
  <c r="AF30" i="58"/>
  <c r="AF29" i="58"/>
  <c r="AF27" i="58"/>
  <c r="AF26" i="58"/>
  <c r="AF25" i="58"/>
  <c r="Z2" i="58"/>
  <c r="AE2" i="58"/>
  <c r="AD2" i="58"/>
  <c r="AC2" i="58"/>
  <c r="AB2" i="58"/>
  <c r="AA2" i="58"/>
  <c r="Y2" i="58"/>
  <c r="Y430" i="58"/>
  <c r="X2" i="58"/>
  <c r="X430" i="58"/>
  <c r="W2" i="58"/>
  <c r="W430" i="58"/>
  <c r="V2" i="58"/>
  <c r="V430" i="58"/>
  <c r="U2" i="58"/>
  <c r="U430" i="58"/>
  <c r="T2" i="58"/>
  <c r="T430" i="58"/>
  <c r="AE429" i="58"/>
  <c r="AD429" i="58"/>
  <c r="AC429" i="58"/>
  <c r="AB429" i="58"/>
  <c r="AA429" i="58"/>
  <c r="Z429" i="58"/>
  <c r="Y429" i="58"/>
  <c r="X429" i="58"/>
  <c r="W429" i="58"/>
  <c r="V429" i="58"/>
  <c r="U429" i="58"/>
  <c r="T429" i="58"/>
  <c r="Q430" i="58"/>
  <c r="Q429" i="58"/>
  <c r="O2" i="58"/>
  <c r="O429" i="58"/>
  <c r="O430" i="58"/>
  <c r="E431" i="58"/>
  <c r="E430" i="58"/>
  <c r="E429" i="58"/>
  <c r="AW35" i="58"/>
  <c r="AZ35" i="58"/>
  <c r="A430" i="58"/>
  <c r="A429" i="58"/>
  <c r="Q435" i="58"/>
  <c r="Q437" i="58"/>
  <c r="Q433" i="58"/>
  <c r="Q431" i="58"/>
  <c r="Q427" i="58"/>
  <c r="Q42" i="58"/>
  <c r="Q43" i="58"/>
  <c r="Q44" i="58"/>
  <c r="Q45" i="58"/>
  <c r="Q46" i="58"/>
  <c r="Q47" i="58"/>
  <c r="Q48" i="58"/>
  <c r="Q49" i="58"/>
  <c r="Q50" i="58"/>
  <c r="Q51" i="58"/>
  <c r="Q52" i="58"/>
  <c r="Q53" i="58"/>
  <c r="Q54" i="58"/>
  <c r="Q55" i="58"/>
  <c r="Q56" i="58"/>
  <c r="Q57" i="58"/>
  <c r="Q58" i="58"/>
  <c r="Q59" i="58"/>
  <c r="Q60" i="58"/>
  <c r="Q61" i="58"/>
  <c r="Q62" i="58"/>
  <c r="Q63" i="58"/>
  <c r="Q64" i="58"/>
  <c r="Q65" i="58"/>
  <c r="Q66" i="58"/>
  <c r="Q67" i="58"/>
  <c r="Q68" i="58"/>
  <c r="Q69" i="58"/>
  <c r="Q70" i="58"/>
  <c r="Q71" i="58"/>
  <c r="Q72" i="58"/>
  <c r="Q73" i="58"/>
  <c r="Q74" i="58"/>
  <c r="Q75" i="58"/>
  <c r="Q76" i="58"/>
  <c r="Q77" i="58"/>
  <c r="Q78" i="58"/>
  <c r="Q79" i="58"/>
  <c r="Q80" i="58"/>
  <c r="Q81" i="58"/>
  <c r="Q82" i="58"/>
  <c r="Q83" i="58"/>
  <c r="Q84" i="58"/>
  <c r="Q85" i="58"/>
  <c r="Q86" i="58"/>
  <c r="Q87" i="58"/>
  <c r="Q88" i="58"/>
  <c r="Q89" i="58"/>
  <c r="Q90" i="58"/>
  <c r="Q91" i="58"/>
  <c r="Q92" i="58"/>
  <c r="Q93" i="58"/>
  <c r="Q94" i="58"/>
  <c r="Q95" i="58"/>
  <c r="Q96" i="58"/>
  <c r="Q97" i="58"/>
  <c r="Q98" i="58"/>
  <c r="Q99" i="58"/>
  <c r="Q100" i="58"/>
  <c r="Q101" i="58"/>
  <c r="Q102" i="58"/>
  <c r="Q103" i="58"/>
  <c r="Q104" i="58"/>
  <c r="Q105" i="58"/>
  <c r="Q106" i="58"/>
  <c r="Q107" i="58"/>
  <c r="Q108" i="58"/>
  <c r="Q109" i="58"/>
  <c r="Q110" i="58"/>
  <c r="Q111" i="58"/>
  <c r="Q112" i="58"/>
  <c r="Q113" i="58"/>
  <c r="Q114" i="58"/>
  <c r="Q115" i="58"/>
  <c r="Q116" i="58"/>
  <c r="Q117" i="58"/>
  <c r="Q118" i="58"/>
  <c r="Q119" i="58"/>
  <c r="Q120" i="58"/>
  <c r="Q121" i="58"/>
  <c r="Q122" i="58"/>
  <c r="Q123" i="58"/>
  <c r="Q124" i="58"/>
  <c r="Q125" i="58"/>
  <c r="Q126" i="58"/>
  <c r="Q127" i="58"/>
  <c r="Q128" i="58"/>
  <c r="Q129" i="58"/>
  <c r="Q130" i="58"/>
  <c r="Q131" i="58"/>
  <c r="Q132" i="58"/>
  <c r="Q133" i="58"/>
  <c r="Q134" i="58"/>
  <c r="Q135" i="58"/>
  <c r="Q136" i="58"/>
  <c r="Q137" i="58"/>
  <c r="Q138" i="58"/>
  <c r="Q139" i="58"/>
  <c r="Q140" i="58"/>
  <c r="Q141" i="58"/>
  <c r="Q142" i="58"/>
  <c r="Q143" i="58"/>
  <c r="Q144" i="58"/>
  <c r="Q145" i="58"/>
  <c r="Q146" i="58"/>
  <c r="Q147" i="58"/>
  <c r="Q148" i="58"/>
  <c r="Q149" i="58"/>
  <c r="Q150" i="58"/>
  <c r="Q151" i="58"/>
  <c r="Q152" i="58"/>
  <c r="Q153" i="58"/>
  <c r="Q154" i="58"/>
  <c r="Q155" i="58"/>
  <c r="Q156" i="58"/>
  <c r="Q157" i="58"/>
  <c r="Q158" i="58"/>
  <c r="Q159" i="58"/>
  <c r="Q160" i="58"/>
  <c r="Q161" i="58"/>
  <c r="Q162" i="58"/>
  <c r="Q163" i="58"/>
  <c r="Q164" i="58"/>
  <c r="Q165" i="58"/>
  <c r="Q166" i="58"/>
  <c r="Q167" i="58"/>
  <c r="Q168" i="58"/>
  <c r="Q169" i="58"/>
  <c r="Q170" i="58"/>
  <c r="Q171" i="58"/>
  <c r="Q172" i="58"/>
  <c r="Q173" i="58"/>
  <c r="Q174" i="58"/>
  <c r="Q175" i="58"/>
  <c r="Q176" i="58"/>
  <c r="Q177" i="58"/>
  <c r="Q178" i="58"/>
  <c r="Q179" i="58"/>
  <c r="Q180" i="58"/>
  <c r="Q181" i="58"/>
  <c r="Q182" i="58"/>
  <c r="Q183" i="58"/>
  <c r="Q184" i="58"/>
  <c r="Q185" i="58"/>
  <c r="Q186" i="58"/>
  <c r="Q187" i="58"/>
  <c r="Q188" i="58"/>
  <c r="Q189" i="58"/>
  <c r="Q190" i="58"/>
  <c r="Q191" i="58"/>
  <c r="Q192" i="58"/>
  <c r="Q193" i="58"/>
  <c r="Q194" i="58"/>
  <c r="Q195" i="58"/>
  <c r="Q196" i="58"/>
  <c r="Q197" i="58"/>
  <c r="Q198" i="58"/>
  <c r="Q199" i="58"/>
  <c r="Q200" i="58"/>
  <c r="Q201" i="58"/>
  <c r="Q202" i="58"/>
  <c r="Q203" i="58"/>
  <c r="Q204" i="58"/>
  <c r="Q205" i="58"/>
  <c r="Q206" i="58"/>
  <c r="Q207" i="58"/>
  <c r="Q208" i="58"/>
  <c r="Q209" i="58"/>
  <c r="Q210" i="58"/>
  <c r="Q211" i="58"/>
  <c r="Q212" i="58"/>
  <c r="Q213" i="58"/>
  <c r="Q214" i="58"/>
  <c r="Q215" i="58"/>
  <c r="Q216" i="58"/>
  <c r="Q217" i="58"/>
  <c r="Q218" i="58"/>
  <c r="Q219" i="58"/>
  <c r="Q220" i="58"/>
  <c r="Q221" i="58"/>
  <c r="Q222" i="58"/>
  <c r="Q223" i="58"/>
  <c r="Q224" i="58"/>
  <c r="Q225" i="58"/>
  <c r="Q226" i="58"/>
  <c r="Q227" i="58"/>
  <c r="Q228" i="58"/>
  <c r="Q229" i="58"/>
  <c r="Q230" i="58"/>
  <c r="Q231" i="58"/>
  <c r="Q232" i="58"/>
  <c r="Q233" i="58"/>
  <c r="Q234" i="58"/>
  <c r="Q235" i="58"/>
  <c r="Q236" i="58"/>
  <c r="Q237" i="58"/>
  <c r="Q238" i="58"/>
  <c r="Q239" i="58"/>
  <c r="Q240" i="58"/>
  <c r="Q241" i="58"/>
  <c r="Q242" i="58"/>
  <c r="Q243" i="58"/>
  <c r="Q244" i="58"/>
  <c r="Q245" i="58"/>
  <c r="Q246" i="58"/>
  <c r="Q247" i="58"/>
  <c r="Q248" i="58"/>
  <c r="Q249" i="58"/>
  <c r="Q250" i="58"/>
  <c r="Q251" i="58"/>
  <c r="Q252" i="58"/>
  <c r="Q253" i="58"/>
  <c r="Q254" i="58"/>
  <c r="Q255" i="58"/>
  <c r="Q256" i="58"/>
  <c r="Q257" i="58"/>
  <c r="Q258" i="58"/>
  <c r="Q259" i="58"/>
  <c r="Q260" i="58"/>
  <c r="Q261" i="58"/>
  <c r="Q262" i="58"/>
  <c r="Q263" i="58"/>
  <c r="Q264" i="58"/>
  <c r="Q265" i="58"/>
  <c r="Q266" i="58"/>
  <c r="Q267" i="58"/>
  <c r="Q268" i="58"/>
  <c r="Q269" i="58"/>
  <c r="Q270" i="58"/>
  <c r="Q271" i="58"/>
  <c r="Q272" i="58"/>
  <c r="Q273" i="58"/>
  <c r="Q274" i="58"/>
  <c r="Q275" i="58"/>
  <c r="Q276" i="58"/>
  <c r="Q277" i="58"/>
  <c r="Q278" i="58"/>
  <c r="Q279" i="58"/>
  <c r="Q280" i="58"/>
  <c r="Q281" i="58"/>
  <c r="Q282" i="58"/>
  <c r="Q283" i="58"/>
  <c r="Q284" i="58"/>
  <c r="Q285" i="58"/>
  <c r="Q286" i="58"/>
  <c r="Q287" i="58"/>
  <c r="Q288" i="58"/>
  <c r="Q289" i="58"/>
  <c r="Q290" i="58"/>
  <c r="Q291" i="58"/>
  <c r="Q292" i="58"/>
  <c r="Q293" i="58"/>
  <c r="Q294" i="58"/>
  <c r="Q295" i="58"/>
  <c r="Q296" i="58"/>
  <c r="Q297" i="58"/>
  <c r="Q298" i="58"/>
  <c r="Q299" i="58"/>
  <c r="Q300" i="58"/>
  <c r="Q301" i="58"/>
  <c r="Q302" i="58"/>
  <c r="Q303" i="58"/>
  <c r="Q304" i="58"/>
  <c r="Q305" i="58"/>
  <c r="Q306" i="58"/>
  <c r="Q307" i="58"/>
  <c r="Q308" i="58"/>
  <c r="Q309" i="58"/>
  <c r="Q310" i="58"/>
  <c r="Q311" i="58"/>
  <c r="Q312" i="58"/>
  <c r="Q313" i="58"/>
  <c r="Q314" i="58"/>
  <c r="Q315" i="58"/>
  <c r="Q316" i="58"/>
  <c r="Q317" i="58"/>
  <c r="Q318" i="58"/>
  <c r="Q319" i="58"/>
  <c r="Q320" i="58"/>
  <c r="Q321" i="58"/>
  <c r="Q322" i="58"/>
  <c r="Q323" i="58"/>
  <c r="Q324" i="58"/>
  <c r="Q325" i="58"/>
  <c r="Q326" i="58"/>
  <c r="Q327" i="58"/>
  <c r="Q328" i="58"/>
  <c r="Q329" i="58"/>
  <c r="Q330" i="58"/>
  <c r="Q331" i="58"/>
  <c r="Q332" i="58"/>
  <c r="Q333" i="58"/>
  <c r="Q334" i="58"/>
  <c r="Q335" i="58"/>
  <c r="Q336" i="58"/>
  <c r="Q337" i="58"/>
  <c r="Q338" i="58"/>
  <c r="Q339" i="58"/>
  <c r="Q340" i="58"/>
  <c r="Q341" i="58"/>
  <c r="Q342" i="58"/>
  <c r="Q343" i="58"/>
  <c r="Q344" i="58"/>
  <c r="Q345" i="58"/>
  <c r="Q346" i="58"/>
  <c r="Q347" i="58"/>
  <c r="Q348" i="58"/>
  <c r="Q349" i="58"/>
  <c r="Q350" i="58"/>
  <c r="Q351" i="58"/>
  <c r="Q352" i="58"/>
  <c r="Q353" i="58"/>
  <c r="Q354" i="58"/>
  <c r="Q355" i="58"/>
  <c r="Q356" i="58"/>
  <c r="Q357" i="58"/>
  <c r="Q358" i="58"/>
  <c r="Q359" i="58"/>
  <c r="Q360" i="58"/>
  <c r="Q361" i="58"/>
  <c r="Q362" i="58"/>
  <c r="Q363" i="58"/>
  <c r="Q364" i="58"/>
  <c r="Q365" i="58"/>
  <c r="Q366" i="58"/>
  <c r="Q367" i="58"/>
  <c r="Q368" i="58"/>
  <c r="Q369" i="58"/>
  <c r="Q370" i="58"/>
  <c r="Q371" i="58"/>
  <c r="Q372" i="58"/>
  <c r="Q373" i="58"/>
  <c r="Q374" i="58"/>
  <c r="Q375" i="58"/>
  <c r="Q376" i="58"/>
  <c r="Q377" i="58"/>
  <c r="Q378" i="58"/>
  <c r="Q379" i="58"/>
  <c r="Q380" i="58"/>
  <c r="Q381" i="58"/>
  <c r="Q382" i="58"/>
  <c r="Q383" i="58"/>
  <c r="Q384" i="58"/>
  <c r="Q385" i="58"/>
  <c r="Q386" i="58"/>
  <c r="Q387" i="58"/>
  <c r="Q388" i="58"/>
  <c r="Q389" i="58"/>
  <c r="Q390" i="58"/>
  <c r="Q391" i="58"/>
  <c r="Q392" i="58"/>
  <c r="Q393" i="58"/>
  <c r="Q394" i="58"/>
  <c r="Q395" i="58"/>
  <c r="Q396" i="58"/>
  <c r="Q397" i="58"/>
  <c r="Q398" i="58"/>
  <c r="Q399" i="58"/>
  <c r="Q400" i="58"/>
  <c r="Q401" i="58"/>
  <c r="Q402" i="58"/>
  <c r="Q403" i="58"/>
  <c r="Q404" i="58"/>
  <c r="Q405" i="58"/>
  <c r="Q406" i="58"/>
  <c r="Q407" i="58"/>
  <c r="Q408" i="58"/>
  <c r="Q409" i="58"/>
  <c r="Q410" i="58"/>
  <c r="Q411" i="58"/>
  <c r="Q412" i="58"/>
  <c r="Q413" i="58"/>
  <c r="Q414" i="58"/>
  <c r="Q415" i="58"/>
  <c r="Q416" i="58"/>
  <c r="Q417" i="58"/>
  <c r="Q418" i="58"/>
  <c r="Q419" i="58"/>
  <c r="Q420" i="58"/>
  <c r="Q421" i="58"/>
  <c r="Q422" i="58"/>
  <c r="Q423" i="58"/>
  <c r="Q424" i="58"/>
  <c r="Q425" i="58"/>
  <c r="Q41" i="58"/>
  <c r="Q40" i="58"/>
  <c r="Q39" i="58"/>
  <c r="Q38" i="58"/>
  <c r="Q37" i="58"/>
  <c r="Q36" i="58"/>
  <c r="Q35" i="58"/>
  <c r="Q34" i="58"/>
  <c r="Q33" i="58"/>
  <c r="Q32" i="58"/>
  <c r="Q26" i="58"/>
  <c r="Q27" i="58"/>
  <c r="Q28" i="58"/>
  <c r="Q29" i="58"/>
  <c r="Q30" i="58"/>
  <c r="Q25" i="58"/>
  <c r="E23" i="58"/>
  <c r="F23" i="58"/>
  <c r="V22" i="58"/>
  <c r="O36" i="58"/>
  <c r="V27" i="58"/>
  <c r="U27" i="58"/>
  <c r="Y22" i="58"/>
  <c r="X22" i="58"/>
  <c r="W22" i="58"/>
  <c r="U22" i="58"/>
  <c r="T22" i="58"/>
  <c r="F9" i="58"/>
  <c r="O25" i="58"/>
  <c r="O22" i="58"/>
  <c r="L22" i="58"/>
  <c r="I20" i="58"/>
  <c r="I22" i="58"/>
  <c r="J22" i="58"/>
  <c r="R22" i="58"/>
  <c r="AB26" i="58"/>
  <c r="AE437" i="58"/>
  <c r="AD437" i="58"/>
  <c r="AC437" i="58"/>
  <c r="AB437" i="58"/>
  <c r="AA437" i="58"/>
  <c r="Z437" i="58"/>
  <c r="Y437" i="58"/>
  <c r="X437" i="58"/>
  <c r="W437" i="58"/>
  <c r="V437" i="58"/>
  <c r="Y435" i="58"/>
  <c r="X435" i="58"/>
  <c r="W435" i="58"/>
  <c r="V435" i="58"/>
  <c r="AE433" i="58"/>
  <c r="AD433" i="58"/>
  <c r="AC433" i="58"/>
  <c r="AB433" i="58"/>
  <c r="AA433" i="58"/>
  <c r="Z433" i="58"/>
  <c r="Y433" i="58"/>
  <c r="X433" i="58"/>
  <c r="W433" i="58"/>
  <c r="V433" i="58"/>
  <c r="Y431" i="58"/>
  <c r="X431" i="58"/>
  <c r="W431" i="58"/>
  <c r="V431" i="58"/>
  <c r="AE427" i="58"/>
  <c r="AD427" i="58"/>
  <c r="AC427" i="58"/>
  <c r="AB427" i="58"/>
  <c r="AA427" i="58"/>
  <c r="Z427" i="58"/>
  <c r="Y427" i="58"/>
  <c r="X427" i="58"/>
  <c r="W427" i="58"/>
  <c r="V427" i="58"/>
  <c r="Y425" i="58"/>
  <c r="X425" i="58"/>
  <c r="W425" i="58"/>
  <c r="V425" i="58"/>
  <c r="AE424" i="58"/>
  <c r="AD424" i="58"/>
  <c r="AC424" i="58"/>
  <c r="AB424" i="58"/>
  <c r="AA424" i="58"/>
  <c r="Z424" i="58"/>
  <c r="Y424" i="58"/>
  <c r="X424" i="58"/>
  <c r="W424" i="58"/>
  <c r="V424" i="58"/>
  <c r="Y423" i="58"/>
  <c r="X423" i="58"/>
  <c r="W423" i="58"/>
  <c r="V423" i="58"/>
  <c r="AE422" i="58"/>
  <c r="AD422" i="58"/>
  <c r="AC422" i="58"/>
  <c r="AB422" i="58"/>
  <c r="AA422" i="58"/>
  <c r="Z422" i="58"/>
  <c r="Y422" i="58"/>
  <c r="X422" i="58"/>
  <c r="W422" i="58"/>
  <c r="V422" i="58"/>
  <c r="Y421" i="58"/>
  <c r="X421" i="58"/>
  <c r="W421" i="58"/>
  <c r="V421" i="58"/>
  <c r="AE420" i="58"/>
  <c r="AD420" i="58"/>
  <c r="AC420" i="58"/>
  <c r="AB420" i="58"/>
  <c r="AA420" i="58"/>
  <c r="Z420" i="58"/>
  <c r="Y420" i="58"/>
  <c r="X420" i="58"/>
  <c r="W420" i="58"/>
  <c r="V420" i="58"/>
  <c r="Y419" i="58"/>
  <c r="X419" i="58"/>
  <c r="W419" i="58"/>
  <c r="V419" i="58"/>
  <c r="Y418" i="58"/>
  <c r="X418" i="58"/>
  <c r="W418" i="58"/>
  <c r="V418" i="58"/>
  <c r="AE417" i="58"/>
  <c r="AD417" i="58"/>
  <c r="AC417" i="58"/>
  <c r="AB417" i="58"/>
  <c r="AA417" i="58"/>
  <c r="Z417" i="58"/>
  <c r="Y417" i="58"/>
  <c r="X417" i="58"/>
  <c r="W417" i="58"/>
  <c r="V417" i="58"/>
  <c r="AE416" i="58"/>
  <c r="AD416" i="58"/>
  <c r="AC416" i="58"/>
  <c r="AB416" i="58"/>
  <c r="AA416" i="58"/>
  <c r="Z416" i="58"/>
  <c r="Y416" i="58"/>
  <c r="X416" i="58"/>
  <c r="W416" i="58"/>
  <c r="V416" i="58"/>
  <c r="Y415" i="58"/>
  <c r="X415" i="58"/>
  <c r="W415" i="58"/>
  <c r="V415" i="58"/>
  <c r="AE414" i="58"/>
  <c r="AD414" i="58"/>
  <c r="AC414" i="58"/>
  <c r="AB414" i="58"/>
  <c r="AA414" i="58"/>
  <c r="Z414" i="58"/>
  <c r="Y414" i="58"/>
  <c r="X414" i="58"/>
  <c r="W414" i="58"/>
  <c r="V414" i="58"/>
  <c r="Y413" i="58"/>
  <c r="X413" i="58"/>
  <c r="W413" i="58"/>
  <c r="V413" i="58"/>
  <c r="Y412" i="58"/>
  <c r="X412" i="58"/>
  <c r="W412" i="58"/>
  <c r="V412" i="58"/>
  <c r="Y411" i="58"/>
  <c r="X411" i="58"/>
  <c r="W411" i="58"/>
  <c r="V411" i="58"/>
  <c r="Y410" i="58"/>
  <c r="X410" i="58"/>
  <c r="W410" i="58"/>
  <c r="V410" i="58"/>
  <c r="Y409" i="58"/>
  <c r="X409" i="58"/>
  <c r="W409" i="58"/>
  <c r="V409" i="58"/>
  <c r="AE408" i="58"/>
  <c r="AD408" i="58"/>
  <c r="AC408" i="58"/>
  <c r="AB408" i="58"/>
  <c r="AA408" i="58"/>
  <c r="Z408" i="58"/>
  <c r="Y408" i="58"/>
  <c r="X408" i="58"/>
  <c r="W408" i="58"/>
  <c r="V408" i="58"/>
  <c r="Y407" i="58"/>
  <c r="X407" i="58"/>
  <c r="W407" i="58"/>
  <c r="V407" i="58"/>
  <c r="AE406" i="58"/>
  <c r="AD406" i="58"/>
  <c r="AC406" i="58"/>
  <c r="AB406" i="58"/>
  <c r="AA406" i="58"/>
  <c r="Z406" i="58"/>
  <c r="Y406" i="58"/>
  <c r="X406" i="58"/>
  <c r="W406" i="58"/>
  <c r="V406" i="58"/>
  <c r="Y405" i="58"/>
  <c r="X405" i="58"/>
  <c r="W405" i="58"/>
  <c r="V405" i="58"/>
  <c r="Y404" i="58"/>
  <c r="X404" i="58"/>
  <c r="W404" i="58"/>
  <c r="V404" i="58"/>
  <c r="Y403" i="58"/>
  <c r="X403" i="58"/>
  <c r="W403" i="58"/>
  <c r="V403" i="58"/>
  <c r="Y402" i="58"/>
  <c r="X402" i="58"/>
  <c r="W402" i="58"/>
  <c r="V402" i="58"/>
  <c r="Y401" i="58"/>
  <c r="X401" i="58"/>
  <c r="W401" i="58"/>
  <c r="V401" i="58"/>
  <c r="Y400" i="58"/>
  <c r="X400" i="58"/>
  <c r="W400" i="58"/>
  <c r="V400" i="58"/>
  <c r="AE399" i="58"/>
  <c r="AD399" i="58"/>
  <c r="AC399" i="58"/>
  <c r="AB399" i="58"/>
  <c r="AA399" i="58"/>
  <c r="Z399" i="58"/>
  <c r="Y399" i="58"/>
  <c r="X399" i="58"/>
  <c r="W399" i="58"/>
  <c r="V399" i="58"/>
  <c r="Y398" i="58"/>
  <c r="X398" i="58"/>
  <c r="W398" i="58"/>
  <c r="V398" i="58"/>
  <c r="AE397" i="58"/>
  <c r="AD397" i="58"/>
  <c r="AC397" i="58"/>
  <c r="AB397" i="58"/>
  <c r="AA397" i="58"/>
  <c r="Z397" i="58"/>
  <c r="Y397" i="58"/>
  <c r="X397" i="58"/>
  <c r="W397" i="58"/>
  <c r="V397" i="58"/>
  <c r="AE396" i="58"/>
  <c r="AD396" i="58"/>
  <c r="AC396" i="58"/>
  <c r="AB396" i="58"/>
  <c r="AA396" i="58"/>
  <c r="Z396" i="58"/>
  <c r="Y396" i="58"/>
  <c r="X396" i="58"/>
  <c r="W396" i="58"/>
  <c r="V396" i="58"/>
  <c r="Y395" i="58"/>
  <c r="X395" i="58"/>
  <c r="W395" i="58"/>
  <c r="V395" i="58"/>
  <c r="Y394" i="58"/>
  <c r="X394" i="58"/>
  <c r="W394" i="58"/>
  <c r="V394" i="58"/>
  <c r="Y393" i="58"/>
  <c r="X393" i="58"/>
  <c r="W393" i="58"/>
  <c r="V393" i="58"/>
  <c r="Y392" i="58"/>
  <c r="X392" i="58"/>
  <c r="W392" i="58"/>
  <c r="V392" i="58"/>
  <c r="Y391" i="58"/>
  <c r="X391" i="58"/>
  <c r="W391" i="58"/>
  <c r="V391" i="58"/>
  <c r="Y390" i="58"/>
  <c r="X390" i="58"/>
  <c r="W390" i="58"/>
  <c r="V390" i="58"/>
  <c r="Y389" i="58"/>
  <c r="X389" i="58"/>
  <c r="W389" i="58"/>
  <c r="V389" i="58"/>
  <c r="Y388" i="58"/>
  <c r="X388" i="58"/>
  <c r="W388" i="58"/>
  <c r="V388" i="58"/>
  <c r="Y387" i="58"/>
  <c r="X387" i="58"/>
  <c r="W387" i="58"/>
  <c r="V387" i="58"/>
  <c r="Y386" i="58"/>
  <c r="X386" i="58"/>
  <c r="W386" i="58"/>
  <c r="V386" i="58"/>
  <c r="Y385" i="58"/>
  <c r="X385" i="58"/>
  <c r="W385" i="58"/>
  <c r="V385" i="58"/>
  <c r="Y384" i="58"/>
  <c r="X384" i="58"/>
  <c r="W384" i="58"/>
  <c r="V384" i="58"/>
  <c r="Y383" i="58"/>
  <c r="X383" i="58"/>
  <c r="W383" i="58"/>
  <c r="V383" i="58"/>
  <c r="AE382" i="58"/>
  <c r="AD382" i="58"/>
  <c r="AC382" i="58"/>
  <c r="AB382" i="58"/>
  <c r="AA382" i="58"/>
  <c r="Z382" i="58"/>
  <c r="Y382" i="58"/>
  <c r="X382" i="58"/>
  <c r="W382" i="58"/>
  <c r="V382" i="58"/>
  <c r="Y381" i="58"/>
  <c r="X381" i="58"/>
  <c r="W381" i="58"/>
  <c r="V381" i="58"/>
  <c r="Y380" i="58"/>
  <c r="X380" i="58"/>
  <c r="W380" i="58"/>
  <c r="V380" i="58"/>
  <c r="Y379" i="58"/>
  <c r="X379" i="58"/>
  <c r="W379" i="58"/>
  <c r="V379" i="58"/>
  <c r="Y378" i="58"/>
  <c r="X378" i="58"/>
  <c r="W378" i="58"/>
  <c r="V378" i="58"/>
  <c r="Y377" i="58"/>
  <c r="X377" i="58"/>
  <c r="W377" i="58"/>
  <c r="V377" i="58"/>
  <c r="Y376" i="58"/>
  <c r="X376" i="58"/>
  <c r="W376" i="58"/>
  <c r="V376" i="58"/>
  <c r="Y375" i="58"/>
  <c r="X375" i="58"/>
  <c r="W375" i="58"/>
  <c r="V375" i="58"/>
  <c r="Y374" i="58"/>
  <c r="X374" i="58"/>
  <c r="W374" i="58"/>
  <c r="V374" i="58"/>
  <c r="Y373" i="58"/>
  <c r="X373" i="58"/>
  <c r="W373" i="58"/>
  <c r="V373" i="58"/>
  <c r="Y372" i="58"/>
  <c r="X372" i="58"/>
  <c r="W372" i="58"/>
  <c r="V372" i="58"/>
  <c r="Y371" i="58"/>
  <c r="X371" i="58"/>
  <c r="W371" i="58"/>
  <c r="V371" i="58"/>
  <c r="Y370" i="58"/>
  <c r="X370" i="58"/>
  <c r="W370" i="58"/>
  <c r="V370" i="58"/>
  <c r="Y369" i="58"/>
  <c r="X369" i="58"/>
  <c r="W369" i="58"/>
  <c r="V369" i="58"/>
  <c r="AE368" i="58"/>
  <c r="AD368" i="58"/>
  <c r="AC368" i="58"/>
  <c r="AB368" i="58"/>
  <c r="AA368" i="58"/>
  <c r="Z368" i="58"/>
  <c r="Y368" i="58"/>
  <c r="X368" i="58"/>
  <c r="W368" i="58"/>
  <c r="V368" i="58"/>
  <c r="AE367" i="58"/>
  <c r="AD367" i="58"/>
  <c r="AC367" i="58"/>
  <c r="AB367" i="58"/>
  <c r="AA367" i="58"/>
  <c r="Z367" i="58"/>
  <c r="Y367" i="58"/>
  <c r="X367" i="58"/>
  <c r="W367" i="58"/>
  <c r="V367" i="58"/>
  <c r="Y366" i="58"/>
  <c r="X366" i="58"/>
  <c r="W366" i="58"/>
  <c r="V366" i="58"/>
  <c r="Y365" i="58"/>
  <c r="X365" i="58"/>
  <c r="W365" i="58"/>
  <c r="V365" i="58"/>
  <c r="Y364" i="58"/>
  <c r="X364" i="58"/>
  <c r="W364" i="58"/>
  <c r="V364" i="58"/>
  <c r="Y363" i="58"/>
  <c r="X363" i="58"/>
  <c r="W363" i="58"/>
  <c r="V363" i="58"/>
  <c r="Y362" i="58"/>
  <c r="X362" i="58"/>
  <c r="W362" i="58"/>
  <c r="V362" i="58"/>
  <c r="Y361" i="58"/>
  <c r="X361" i="58"/>
  <c r="W361" i="58"/>
  <c r="V361" i="58"/>
  <c r="Y360" i="58"/>
  <c r="X360" i="58"/>
  <c r="W360" i="58"/>
  <c r="V360" i="58"/>
  <c r="Y359" i="58"/>
  <c r="X359" i="58"/>
  <c r="W359" i="58"/>
  <c r="V359" i="58"/>
  <c r="Y358" i="58"/>
  <c r="X358" i="58"/>
  <c r="W358" i="58"/>
  <c r="V358" i="58"/>
  <c r="Y357" i="58"/>
  <c r="X357" i="58"/>
  <c r="W357" i="58"/>
  <c r="V357" i="58"/>
  <c r="Y356" i="58"/>
  <c r="X356" i="58"/>
  <c r="W356" i="58"/>
  <c r="V356" i="58"/>
  <c r="Y355" i="58"/>
  <c r="X355" i="58"/>
  <c r="W355" i="58"/>
  <c r="V355" i="58"/>
  <c r="Y354" i="58"/>
  <c r="X354" i="58"/>
  <c r="W354" i="58"/>
  <c r="V354" i="58"/>
  <c r="AE353" i="58"/>
  <c r="AD353" i="58"/>
  <c r="AC353" i="58"/>
  <c r="AB353" i="58"/>
  <c r="AA353" i="58"/>
  <c r="Z353" i="58"/>
  <c r="Y353" i="58"/>
  <c r="X353" i="58"/>
  <c r="W353" i="58"/>
  <c r="V353" i="58"/>
  <c r="Y352" i="58"/>
  <c r="X352" i="58"/>
  <c r="W352" i="58"/>
  <c r="V352" i="58"/>
  <c r="Y351" i="58"/>
  <c r="X351" i="58"/>
  <c r="W351" i="58"/>
  <c r="V351" i="58"/>
  <c r="Y350" i="58"/>
  <c r="X350" i="58"/>
  <c r="W350" i="58"/>
  <c r="V350" i="58"/>
  <c r="Y349" i="58"/>
  <c r="X349" i="58"/>
  <c r="W349" i="58"/>
  <c r="V349" i="58"/>
  <c r="Y348" i="58"/>
  <c r="X348" i="58"/>
  <c r="W348" i="58"/>
  <c r="V348" i="58"/>
  <c r="Y347" i="58"/>
  <c r="X347" i="58"/>
  <c r="W347" i="58"/>
  <c r="V347" i="58"/>
  <c r="Y346" i="58"/>
  <c r="X346" i="58"/>
  <c r="W346" i="58"/>
  <c r="V346" i="58"/>
  <c r="Y345" i="58"/>
  <c r="X345" i="58"/>
  <c r="W345" i="58"/>
  <c r="V345" i="58"/>
  <c r="Y344" i="58"/>
  <c r="X344" i="58"/>
  <c r="W344" i="58"/>
  <c r="V344" i="58"/>
  <c r="Y343" i="58"/>
  <c r="X343" i="58"/>
  <c r="W343" i="58"/>
  <c r="V343" i="58"/>
  <c r="Y342" i="58"/>
  <c r="X342" i="58"/>
  <c r="W342" i="58"/>
  <c r="V342" i="58"/>
  <c r="Y341" i="58"/>
  <c r="X341" i="58"/>
  <c r="W341" i="58"/>
  <c r="V341" i="58"/>
  <c r="Y340" i="58"/>
  <c r="X340" i="58"/>
  <c r="W340" i="58"/>
  <c r="V340" i="58"/>
  <c r="AE339" i="58"/>
  <c r="AD339" i="58"/>
  <c r="AC339" i="58"/>
  <c r="AB339" i="58"/>
  <c r="AA339" i="58"/>
  <c r="Z339" i="58"/>
  <c r="Y339" i="58"/>
  <c r="X339" i="58"/>
  <c r="W339" i="58"/>
  <c r="V339" i="58"/>
  <c r="Y338" i="58"/>
  <c r="X338" i="58"/>
  <c r="W338" i="58"/>
  <c r="V338" i="58"/>
  <c r="Y337" i="58"/>
  <c r="X337" i="58"/>
  <c r="W337" i="58"/>
  <c r="V337" i="58"/>
  <c r="Y336" i="58"/>
  <c r="X336" i="58"/>
  <c r="W336" i="58"/>
  <c r="V336" i="58"/>
  <c r="Y335" i="58"/>
  <c r="X335" i="58"/>
  <c r="W335" i="58"/>
  <c r="V335" i="58"/>
  <c r="Y334" i="58"/>
  <c r="X334" i="58"/>
  <c r="W334" i="58"/>
  <c r="V334" i="58"/>
  <c r="Y333" i="58"/>
  <c r="X333" i="58"/>
  <c r="W333" i="58"/>
  <c r="V333" i="58"/>
  <c r="Y332" i="58"/>
  <c r="X332" i="58"/>
  <c r="W332" i="58"/>
  <c r="V332" i="58"/>
  <c r="Y331" i="58"/>
  <c r="X331" i="58"/>
  <c r="W331" i="58"/>
  <c r="V331" i="58"/>
  <c r="Y330" i="58"/>
  <c r="X330" i="58"/>
  <c r="W330" i="58"/>
  <c r="V330" i="58"/>
  <c r="Y329" i="58"/>
  <c r="X329" i="58"/>
  <c r="W329" i="58"/>
  <c r="V329" i="58"/>
  <c r="Y328" i="58"/>
  <c r="X328" i="58"/>
  <c r="W328" i="58"/>
  <c r="V328" i="58"/>
  <c r="Y327" i="58"/>
  <c r="X327" i="58"/>
  <c r="W327" i="58"/>
  <c r="V327" i="58"/>
  <c r="Y326" i="58"/>
  <c r="X326" i="58"/>
  <c r="W326" i="58"/>
  <c r="V326" i="58"/>
  <c r="AE325" i="58"/>
  <c r="AD325" i="58"/>
  <c r="AC325" i="58"/>
  <c r="AB325" i="58"/>
  <c r="AA325" i="58"/>
  <c r="Z325" i="58"/>
  <c r="Y325" i="58"/>
  <c r="X325" i="58"/>
  <c r="W325" i="58"/>
  <c r="V325" i="58"/>
  <c r="AE324" i="58"/>
  <c r="AD324" i="58"/>
  <c r="AC324" i="58"/>
  <c r="AB324" i="58"/>
  <c r="AA324" i="58"/>
  <c r="Z324" i="58"/>
  <c r="Y324" i="58"/>
  <c r="X324" i="58"/>
  <c r="W324" i="58"/>
  <c r="V324" i="58"/>
  <c r="Y323" i="58"/>
  <c r="X323" i="58"/>
  <c r="W323" i="58"/>
  <c r="V323" i="58"/>
  <c r="Y322" i="58"/>
  <c r="X322" i="58"/>
  <c r="W322" i="58"/>
  <c r="V322" i="58"/>
  <c r="Y321" i="58"/>
  <c r="X321" i="58"/>
  <c r="W321" i="58"/>
  <c r="V321" i="58"/>
  <c r="Y320" i="58"/>
  <c r="X320" i="58"/>
  <c r="W320" i="58"/>
  <c r="V320" i="58"/>
  <c r="Y319" i="58"/>
  <c r="X319" i="58"/>
  <c r="W319" i="58"/>
  <c r="V319" i="58"/>
  <c r="Y318" i="58"/>
  <c r="X318" i="58"/>
  <c r="W318" i="58"/>
  <c r="V318" i="58"/>
  <c r="Y317" i="58"/>
  <c r="X317" i="58"/>
  <c r="W317" i="58"/>
  <c r="V317" i="58"/>
  <c r="Y316" i="58"/>
  <c r="X316" i="58"/>
  <c r="W316" i="58"/>
  <c r="V316" i="58"/>
  <c r="Y315" i="58"/>
  <c r="X315" i="58"/>
  <c r="W315" i="58"/>
  <c r="V315" i="58"/>
  <c r="Y314" i="58"/>
  <c r="X314" i="58"/>
  <c r="W314" i="58"/>
  <c r="V314" i="58"/>
  <c r="Y313" i="58"/>
  <c r="X313" i="58"/>
  <c r="W313" i="58"/>
  <c r="V313" i="58"/>
  <c r="Y312" i="58"/>
  <c r="X312" i="58"/>
  <c r="W312" i="58"/>
  <c r="V312" i="58"/>
  <c r="Y311" i="58"/>
  <c r="X311" i="58"/>
  <c r="W311" i="58"/>
  <c r="V311" i="58"/>
  <c r="AE310" i="58"/>
  <c r="AD310" i="58"/>
  <c r="AC310" i="58"/>
  <c r="AB310" i="58"/>
  <c r="AA310" i="58"/>
  <c r="Z310" i="58"/>
  <c r="Y310" i="58"/>
  <c r="X310" i="58"/>
  <c r="W310" i="58"/>
  <c r="V310" i="58"/>
  <c r="Y309" i="58"/>
  <c r="X309" i="58"/>
  <c r="W309" i="58"/>
  <c r="V309" i="58"/>
  <c r="Y308" i="58"/>
  <c r="X308" i="58"/>
  <c r="W308" i="58"/>
  <c r="V308" i="58"/>
  <c r="Y307" i="58"/>
  <c r="X307" i="58"/>
  <c r="W307" i="58"/>
  <c r="V307" i="58"/>
  <c r="Y306" i="58"/>
  <c r="X306" i="58"/>
  <c r="W306" i="58"/>
  <c r="V306" i="58"/>
  <c r="Y305" i="58"/>
  <c r="X305" i="58"/>
  <c r="W305" i="58"/>
  <c r="V305" i="58"/>
  <c r="Y304" i="58"/>
  <c r="X304" i="58"/>
  <c r="W304" i="58"/>
  <c r="V304" i="58"/>
  <c r="Y303" i="58"/>
  <c r="X303" i="58"/>
  <c r="W303" i="58"/>
  <c r="V303" i="58"/>
  <c r="Y302" i="58"/>
  <c r="X302" i="58"/>
  <c r="W302" i="58"/>
  <c r="V302" i="58"/>
  <c r="Y301" i="58"/>
  <c r="X301" i="58"/>
  <c r="W301" i="58"/>
  <c r="V301" i="58"/>
  <c r="Y300" i="58"/>
  <c r="X300" i="58"/>
  <c r="W300" i="58"/>
  <c r="V300" i="58"/>
  <c r="Y299" i="58"/>
  <c r="X299" i="58"/>
  <c r="W299" i="58"/>
  <c r="V299" i="58"/>
  <c r="Y298" i="58"/>
  <c r="X298" i="58"/>
  <c r="W298" i="58"/>
  <c r="V298" i="58"/>
  <c r="Y297" i="58"/>
  <c r="X297" i="58"/>
  <c r="W297" i="58"/>
  <c r="V297" i="58"/>
  <c r="AE296" i="58"/>
  <c r="AD296" i="58"/>
  <c r="AC296" i="58"/>
  <c r="AB296" i="58"/>
  <c r="AA296" i="58"/>
  <c r="Z296" i="58"/>
  <c r="Y296" i="58"/>
  <c r="X296" i="58"/>
  <c r="W296" i="58"/>
  <c r="V296" i="58"/>
  <c r="AE295" i="58"/>
  <c r="AD295" i="58"/>
  <c r="AC295" i="58"/>
  <c r="AB295" i="58"/>
  <c r="AA295" i="58"/>
  <c r="Z295" i="58"/>
  <c r="Y295" i="58"/>
  <c r="X295" i="58"/>
  <c r="W295" i="58"/>
  <c r="V295" i="58"/>
  <c r="AE294" i="58"/>
  <c r="AD294" i="58"/>
  <c r="AC294" i="58"/>
  <c r="AB294" i="58"/>
  <c r="AA294" i="58"/>
  <c r="Z294" i="58"/>
  <c r="Y294" i="58"/>
  <c r="X294" i="58"/>
  <c r="W294" i="58"/>
  <c r="V294" i="58"/>
  <c r="Y293" i="58"/>
  <c r="X293" i="58"/>
  <c r="W293" i="58"/>
  <c r="V293" i="58"/>
  <c r="Y292" i="58"/>
  <c r="X292" i="58"/>
  <c r="W292" i="58"/>
  <c r="V292" i="58"/>
  <c r="Y291" i="58"/>
  <c r="X291" i="58"/>
  <c r="W291" i="58"/>
  <c r="V291" i="58"/>
  <c r="Y290" i="58"/>
  <c r="X290" i="58"/>
  <c r="W290" i="58"/>
  <c r="V290" i="58"/>
  <c r="Y289" i="58"/>
  <c r="X289" i="58"/>
  <c r="W289" i="58"/>
  <c r="V289" i="58"/>
  <c r="Y288" i="58"/>
  <c r="X288" i="58"/>
  <c r="W288" i="58"/>
  <c r="V288" i="58"/>
  <c r="Y287" i="58"/>
  <c r="X287" i="58"/>
  <c r="W287" i="58"/>
  <c r="V287" i="58"/>
  <c r="Y286" i="58"/>
  <c r="X286" i="58"/>
  <c r="W286" i="58"/>
  <c r="V286" i="58"/>
  <c r="Y285" i="58"/>
  <c r="X285" i="58"/>
  <c r="W285" i="58"/>
  <c r="V285" i="58"/>
  <c r="Y284" i="58"/>
  <c r="X284" i="58"/>
  <c r="W284" i="58"/>
  <c r="V284" i="58"/>
  <c r="Y283" i="58"/>
  <c r="X283" i="58"/>
  <c r="W283" i="58"/>
  <c r="V283" i="58"/>
  <c r="Y282" i="58"/>
  <c r="X282" i="58"/>
  <c r="W282" i="58"/>
  <c r="V282" i="58"/>
  <c r="Y281" i="58"/>
  <c r="X281" i="58"/>
  <c r="W281" i="58"/>
  <c r="V281" i="58"/>
  <c r="AE280" i="58"/>
  <c r="AD280" i="58"/>
  <c r="AC280" i="58"/>
  <c r="AB280" i="58"/>
  <c r="AA280" i="58"/>
  <c r="Z280" i="58"/>
  <c r="Y280" i="58"/>
  <c r="X280" i="58"/>
  <c r="W280" i="58"/>
  <c r="V280" i="58"/>
  <c r="Y279" i="58"/>
  <c r="X279" i="58"/>
  <c r="W279" i="58"/>
  <c r="V279" i="58"/>
  <c r="Y278" i="58"/>
  <c r="X278" i="58"/>
  <c r="W278" i="58"/>
  <c r="V278" i="58"/>
  <c r="Y277" i="58"/>
  <c r="X277" i="58"/>
  <c r="W277" i="58"/>
  <c r="V277" i="58"/>
  <c r="Y276" i="58"/>
  <c r="X276" i="58"/>
  <c r="W276" i="58"/>
  <c r="V276" i="58"/>
  <c r="Y275" i="58"/>
  <c r="X275" i="58"/>
  <c r="W275" i="58"/>
  <c r="V275" i="58"/>
  <c r="Y274" i="58"/>
  <c r="X274" i="58"/>
  <c r="W274" i="58"/>
  <c r="V274" i="58"/>
  <c r="Y273" i="58"/>
  <c r="X273" i="58"/>
  <c r="W273" i="58"/>
  <c r="V273" i="58"/>
  <c r="Y272" i="58"/>
  <c r="X272" i="58"/>
  <c r="W272" i="58"/>
  <c r="V272" i="58"/>
  <c r="Y271" i="58"/>
  <c r="X271" i="58"/>
  <c r="W271" i="58"/>
  <c r="V271" i="58"/>
  <c r="Y270" i="58"/>
  <c r="X270" i="58"/>
  <c r="W270" i="58"/>
  <c r="V270" i="58"/>
  <c r="Y269" i="58"/>
  <c r="X269" i="58"/>
  <c r="W269" i="58"/>
  <c r="V269" i="58"/>
  <c r="Y268" i="58"/>
  <c r="X268" i="58"/>
  <c r="W268" i="58"/>
  <c r="V268" i="58"/>
  <c r="Y267" i="58"/>
  <c r="X267" i="58"/>
  <c r="W267" i="58"/>
  <c r="V267" i="58"/>
  <c r="AE266" i="58"/>
  <c r="AD266" i="58"/>
  <c r="AC266" i="58"/>
  <c r="AB266" i="58"/>
  <c r="AA266" i="58"/>
  <c r="Z266" i="58"/>
  <c r="Y266" i="58"/>
  <c r="X266" i="58"/>
  <c r="W266" i="58"/>
  <c r="V266" i="58"/>
  <c r="AE265" i="58"/>
  <c r="AD265" i="58"/>
  <c r="AC265" i="58"/>
  <c r="AB265" i="58"/>
  <c r="AA265" i="58"/>
  <c r="Z265" i="58"/>
  <c r="Y265" i="58"/>
  <c r="X265" i="58"/>
  <c r="W265" i="58"/>
  <c r="V265" i="58"/>
  <c r="Y264" i="58"/>
  <c r="X264" i="58"/>
  <c r="W264" i="58"/>
  <c r="V264" i="58"/>
  <c r="Y263" i="58"/>
  <c r="X263" i="58"/>
  <c r="W263" i="58"/>
  <c r="V263" i="58"/>
  <c r="Y262" i="58"/>
  <c r="X262" i="58"/>
  <c r="W262" i="58"/>
  <c r="V262" i="58"/>
  <c r="Y261" i="58"/>
  <c r="X261" i="58"/>
  <c r="W261" i="58"/>
  <c r="V261" i="58"/>
  <c r="Y260" i="58"/>
  <c r="X260" i="58"/>
  <c r="W260" i="58"/>
  <c r="V260" i="58"/>
  <c r="Y259" i="58"/>
  <c r="X259" i="58"/>
  <c r="W259" i="58"/>
  <c r="V259" i="58"/>
  <c r="Y258" i="58"/>
  <c r="X258" i="58"/>
  <c r="W258" i="58"/>
  <c r="V258" i="58"/>
  <c r="Y257" i="58"/>
  <c r="X257" i="58"/>
  <c r="W257" i="58"/>
  <c r="V257" i="58"/>
  <c r="Y256" i="58"/>
  <c r="X256" i="58"/>
  <c r="W256" i="58"/>
  <c r="V256" i="58"/>
  <c r="Y255" i="58"/>
  <c r="X255" i="58"/>
  <c r="W255" i="58"/>
  <c r="V255" i="58"/>
  <c r="Y254" i="58"/>
  <c r="X254" i="58"/>
  <c r="W254" i="58"/>
  <c r="V254" i="58"/>
  <c r="Y253" i="58"/>
  <c r="X253" i="58"/>
  <c r="W253" i="58"/>
  <c r="V253" i="58"/>
  <c r="Y252" i="58"/>
  <c r="X252" i="58"/>
  <c r="W252" i="58"/>
  <c r="V252" i="58"/>
  <c r="AE251" i="58"/>
  <c r="AD251" i="58"/>
  <c r="AC251" i="58"/>
  <c r="AB251" i="58"/>
  <c r="AA251" i="58"/>
  <c r="Z251" i="58"/>
  <c r="Y251" i="58"/>
  <c r="X251" i="58"/>
  <c r="W251" i="58"/>
  <c r="V251" i="58"/>
  <c r="Y250" i="58"/>
  <c r="X250" i="58"/>
  <c r="W250" i="58"/>
  <c r="V250" i="58"/>
  <c r="Y249" i="58"/>
  <c r="X249" i="58"/>
  <c r="W249" i="58"/>
  <c r="V249" i="58"/>
  <c r="Y248" i="58"/>
  <c r="X248" i="58"/>
  <c r="W248" i="58"/>
  <c r="V248" i="58"/>
  <c r="Y247" i="58"/>
  <c r="X247" i="58"/>
  <c r="W247" i="58"/>
  <c r="V247" i="58"/>
  <c r="Y246" i="58"/>
  <c r="X246" i="58"/>
  <c r="W246" i="58"/>
  <c r="V246" i="58"/>
  <c r="Y245" i="58"/>
  <c r="X245" i="58"/>
  <c r="W245" i="58"/>
  <c r="V245" i="58"/>
  <c r="Y244" i="58"/>
  <c r="X244" i="58"/>
  <c r="W244" i="58"/>
  <c r="V244" i="58"/>
  <c r="Y243" i="58"/>
  <c r="X243" i="58"/>
  <c r="W243" i="58"/>
  <c r="V243" i="58"/>
  <c r="Y242" i="58"/>
  <c r="X242" i="58"/>
  <c r="W242" i="58"/>
  <c r="V242" i="58"/>
  <c r="Y241" i="58"/>
  <c r="X241" i="58"/>
  <c r="W241" i="58"/>
  <c r="V241" i="58"/>
  <c r="Y240" i="58"/>
  <c r="X240" i="58"/>
  <c r="W240" i="58"/>
  <c r="V240" i="58"/>
  <c r="Y239" i="58"/>
  <c r="X239" i="58"/>
  <c r="W239" i="58"/>
  <c r="V239" i="58"/>
  <c r="Y238" i="58"/>
  <c r="X238" i="58"/>
  <c r="W238" i="58"/>
  <c r="V238" i="58"/>
  <c r="AE237" i="58"/>
  <c r="AD237" i="58"/>
  <c r="AC237" i="58"/>
  <c r="AB237" i="58"/>
  <c r="AA237" i="58"/>
  <c r="Z237" i="58"/>
  <c r="Y237" i="58"/>
  <c r="X237" i="58"/>
  <c r="W237" i="58"/>
  <c r="V237" i="58"/>
  <c r="Y236" i="58"/>
  <c r="X236" i="58"/>
  <c r="W236" i="58"/>
  <c r="V236" i="58"/>
  <c r="Y235" i="58"/>
  <c r="X235" i="58"/>
  <c r="W235" i="58"/>
  <c r="V235" i="58"/>
  <c r="Y234" i="58"/>
  <c r="X234" i="58"/>
  <c r="W234" i="58"/>
  <c r="V234" i="58"/>
  <c r="Y233" i="58"/>
  <c r="X233" i="58"/>
  <c r="W233" i="58"/>
  <c r="V233" i="58"/>
  <c r="Y232" i="58"/>
  <c r="X232" i="58"/>
  <c r="W232" i="58"/>
  <c r="V232" i="58"/>
  <c r="Y231" i="58"/>
  <c r="X231" i="58"/>
  <c r="W231" i="58"/>
  <c r="V231" i="58"/>
  <c r="Y230" i="58"/>
  <c r="X230" i="58"/>
  <c r="W230" i="58"/>
  <c r="V230" i="58"/>
  <c r="Y229" i="58"/>
  <c r="X229" i="58"/>
  <c r="W229" i="58"/>
  <c r="V229" i="58"/>
  <c r="Y228" i="58"/>
  <c r="X228" i="58"/>
  <c r="W228" i="58"/>
  <c r="V228" i="58"/>
  <c r="Y227" i="58"/>
  <c r="X227" i="58"/>
  <c r="W227" i="58"/>
  <c r="V227" i="58"/>
  <c r="Y226" i="58"/>
  <c r="X226" i="58"/>
  <c r="W226" i="58"/>
  <c r="V226" i="58"/>
  <c r="AE225" i="58"/>
  <c r="AD225" i="58"/>
  <c r="AC225" i="58"/>
  <c r="AB225" i="58"/>
  <c r="AA225" i="58"/>
  <c r="Z225" i="58"/>
  <c r="Y225" i="58"/>
  <c r="X225" i="58"/>
  <c r="W225" i="58"/>
  <c r="V225" i="58"/>
  <c r="Y224" i="58"/>
  <c r="X224" i="58"/>
  <c r="W224" i="58"/>
  <c r="V224" i="58"/>
  <c r="AE223" i="58"/>
  <c r="AD223" i="58"/>
  <c r="AC223" i="58"/>
  <c r="AB223" i="58"/>
  <c r="AA223" i="58"/>
  <c r="Z223" i="58"/>
  <c r="Y223" i="58"/>
  <c r="X223" i="58"/>
  <c r="W223" i="58"/>
  <c r="V223" i="58"/>
  <c r="Y222" i="58"/>
  <c r="X222" i="58"/>
  <c r="W222" i="58"/>
  <c r="V222" i="58"/>
  <c r="AE221" i="58"/>
  <c r="AD221" i="58"/>
  <c r="AC221" i="58"/>
  <c r="AB221" i="58"/>
  <c r="AA221" i="58"/>
  <c r="Z221" i="58"/>
  <c r="Y221" i="58"/>
  <c r="X221" i="58"/>
  <c r="W221" i="58"/>
  <c r="V221" i="58"/>
  <c r="AE220" i="58"/>
  <c r="AD220" i="58"/>
  <c r="AC220" i="58"/>
  <c r="AB220" i="58"/>
  <c r="AA220" i="58"/>
  <c r="Z220" i="58"/>
  <c r="Y220" i="58"/>
  <c r="X220" i="58"/>
  <c r="W220" i="58"/>
  <c r="V220" i="58"/>
  <c r="Y219" i="58"/>
  <c r="X219" i="58"/>
  <c r="W219" i="58"/>
  <c r="V219" i="58"/>
  <c r="AE218" i="58"/>
  <c r="AD218" i="58"/>
  <c r="AC218" i="58"/>
  <c r="AB218" i="58"/>
  <c r="AA218" i="58"/>
  <c r="Z218" i="58"/>
  <c r="Y218" i="58"/>
  <c r="X218" i="58"/>
  <c r="W218" i="58"/>
  <c r="V218" i="58"/>
  <c r="Y217" i="58"/>
  <c r="X217" i="58"/>
  <c r="W217" i="58"/>
  <c r="V217" i="58"/>
  <c r="Y216" i="58"/>
  <c r="X216" i="58"/>
  <c r="W216" i="58"/>
  <c r="V216" i="58"/>
  <c r="Y215" i="58"/>
  <c r="X215" i="58"/>
  <c r="W215" i="58"/>
  <c r="V215" i="58"/>
  <c r="Y214" i="58"/>
  <c r="X214" i="58"/>
  <c r="W214" i="58"/>
  <c r="V214" i="58"/>
  <c r="Y213" i="58"/>
  <c r="X213" i="58"/>
  <c r="W213" i="58"/>
  <c r="V213" i="58"/>
  <c r="Y212" i="58"/>
  <c r="X212" i="58"/>
  <c r="W212" i="58"/>
  <c r="V212" i="58"/>
  <c r="Y211" i="58"/>
  <c r="X211" i="58"/>
  <c r="W211" i="58"/>
  <c r="V211" i="58"/>
  <c r="Y210" i="58"/>
  <c r="X210" i="58"/>
  <c r="W210" i="58"/>
  <c r="V210" i="58"/>
  <c r="Y209" i="58"/>
  <c r="X209" i="58"/>
  <c r="W209" i="58"/>
  <c r="V209" i="58"/>
  <c r="Y208" i="58"/>
  <c r="X208" i="58"/>
  <c r="W208" i="58"/>
  <c r="V208" i="58"/>
  <c r="Y207" i="58"/>
  <c r="X207" i="58"/>
  <c r="W207" i="58"/>
  <c r="V207" i="58"/>
  <c r="Y206" i="58"/>
  <c r="X206" i="58"/>
  <c r="W206" i="58"/>
  <c r="V206" i="58"/>
  <c r="Y205" i="58"/>
  <c r="X205" i="58"/>
  <c r="W205" i="58"/>
  <c r="V205" i="58"/>
  <c r="AE204" i="58"/>
  <c r="AD204" i="58"/>
  <c r="AC204" i="58"/>
  <c r="AB204" i="58"/>
  <c r="AA204" i="58"/>
  <c r="Z204" i="58"/>
  <c r="Y204" i="58"/>
  <c r="X204" i="58"/>
  <c r="W204" i="58"/>
  <c r="V204" i="58"/>
  <c r="Y203" i="58"/>
  <c r="X203" i="58"/>
  <c r="W203" i="58"/>
  <c r="V203" i="58"/>
  <c r="Y202" i="58"/>
  <c r="X202" i="58"/>
  <c r="W202" i="58"/>
  <c r="V202" i="58"/>
  <c r="Y201" i="58"/>
  <c r="X201" i="58"/>
  <c r="W201" i="58"/>
  <c r="V201" i="58"/>
  <c r="Y200" i="58"/>
  <c r="X200" i="58"/>
  <c r="W200" i="58"/>
  <c r="V200" i="58"/>
  <c r="Y199" i="58"/>
  <c r="X199" i="58"/>
  <c r="W199" i="58"/>
  <c r="V199" i="58"/>
  <c r="Y198" i="58"/>
  <c r="X198" i="58"/>
  <c r="W198" i="58"/>
  <c r="V198" i="58"/>
  <c r="Y197" i="58"/>
  <c r="X197" i="58"/>
  <c r="W197" i="58"/>
  <c r="V197" i="58"/>
  <c r="Y196" i="58"/>
  <c r="X196" i="58"/>
  <c r="W196" i="58"/>
  <c r="V196" i="58"/>
  <c r="Y195" i="58"/>
  <c r="X195" i="58"/>
  <c r="W195" i="58"/>
  <c r="V195" i="58"/>
  <c r="Y194" i="58"/>
  <c r="X194" i="58"/>
  <c r="W194" i="58"/>
  <c r="V194" i="58"/>
  <c r="Y193" i="58"/>
  <c r="X193" i="58"/>
  <c r="W193" i="58"/>
  <c r="V193" i="58"/>
  <c r="Y192" i="58"/>
  <c r="X192" i="58"/>
  <c r="W192" i="58"/>
  <c r="V192" i="58"/>
  <c r="Y191" i="58"/>
  <c r="X191" i="58"/>
  <c r="W191" i="58"/>
  <c r="V191" i="58"/>
  <c r="AE190" i="58"/>
  <c r="AD190" i="58"/>
  <c r="AC190" i="58"/>
  <c r="AB190" i="58"/>
  <c r="AA190" i="58"/>
  <c r="Z190" i="58"/>
  <c r="Y190" i="58"/>
  <c r="X190" i="58"/>
  <c r="W190" i="58"/>
  <c r="V190" i="58"/>
  <c r="Y189" i="58"/>
  <c r="X189" i="58"/>
  <c r="W189" i="58"/>
  <c r="V189" i="58"/>
  <c r="Y188" i="58"/>
  <c r="X188" i="58"/>
  <c r="W188" i="58"/>
  <c r="V188" i="58"/>
  <c r="Y187" i="58"/>
  <c r="X187" i="58"/>
  <c r="W187" i="58"/>
  <c r="V187" i="58"/>
  <c r="Y186" i="58"/>
  <c r="X186" i="58"/>
  <c r="W186" i="58"/>
  <c r="V186" i="58"/>
  <c r="Y185" i="58"/>
  <c r="X185" i="58"/>
  <c r="W185" i="58"/>
  <c r="V185" i="58"/>
  <c r="Y184" i="58"/>
  <c r="X184" i="58"/>
  <c r="W184" i="58"/>
  <c r="V184" i="58"/>
  <c r="Y183" i="58"/>
  <c r="X183" i="58"/>
  <c r="W183" i="58"/>
  <c r="V183" i="58"/>
  <c r="Y182" i="58"/>
  <c r="X182" i="58"/>
  <c r="W182" i="58"/>
  <c r="V182" i="58"/>
  <c r="Y181" i="58"/>
  <c r="X181" i="58"/>
  <c r="W181" i="58"/>
  <c r="V181" i="58"/>
  <c r="Y180" i="58"/>
  <c r="X180" i="58"/>
  <c r="W180" i="58"/>
  <c r="V180" i="58"/>
  <c r="Y179" i="58"/>
  <c r="X179" i="58"/>
  <c r="W179" i="58"/>
  <c r="V179" i="58"/>
  <c r="Y178" i="58"/>
  <c r="X178" i="58"/>
  <c r="W178" i="58"/>
  <c r="V178" i="58"/>
  <c r="Y177" i="58"/>
  <c r="X177" i="58"/>
  <c r="W177" i="58"/>
  <c r="V177" i="58"/>
  <c r="AE176" i="58"/>
  <c r="AD176" i="58"/>
  <c r="AC176" i="58"/>
  <c r="AB176" i="58"/>
  <c r="AA176" i="58"/>
  <c r="Z176" i="58"/>
  <c r="Y176" i="58"/>
  <c r="X176" i="58"/>
  <c r="W176" i="58"/>
  <c r="V176" i="58"/>
  <c r="Y175" i="58"/>
  <c r="X175" i="58"/>
  <c r="W175" i="58"/>
  <c r="V175" i="58"/>
  <c r="Y174" i="58"/>
  <c r="X174" i="58"/>
  <c r="W174" i="58"/>
  <c r="V174" i="58"/>
  <c r="Y173" i="58"/>
  <c r="X173" i="58"/>
  <c r="W173" i="58"/>
  <c r="V173" i="58"/>
  <c r="Y172" i="58"/>
  <c r="X172" i="58"/>
  <c r="W172" i="58"/>
  <c r="V172" i="58"/>
  <c r="Y171" i="58"/>
  <c r="X171" i="58"/>
  <c r="W171" i="58"/>
  <c r="V171" i="58"/>
  <c r="Y170" i="58"/>
  <c r="X170" i="58"/>
  <c r="W170" i="58"/>
  <c r="V170" i="58"/>
  <c r="Y169" i="58"/>
  <c r="X169" i="58"/>
  <c r="W169" i="58"/>
  <c r="V169" i="58"/>
  <c r="Y168" i="58"/>
  <c r="X168" i="58"/>
  <c r="W168" i="58"/>
  <c r="V168" i="58"/>
  <c r="Y167" i="58"/>
  <c r="X167" i="58"/>
  <c r="W167" i="58"/>
  <c r="V167" i="58"/>
  <c r="Y166" i="58"/>
  <c r="X166" i="58"/>
  <c r="W166" i="58"/>
  <c r="V166" i="58"/>
  <c r="Y165" i="58"/>
  <c r="X165" i="58"/>
  <c r="W165" i="58"/>
  <c r="V165" i="58"/>
  <c r="Y164" i="58"/>
  <c r="X164" i="58"/>
  <c r="W164" i="58"/>
  <c r="V164" i="58"/>
  <c r="Y163" i="58"/>
  <c r="X163" i="58"/>
  <c r="W163" i="58"/>
  <c r="V163" i="58"/>
  <c r="AE162" i="58"/>
  <c r="AD162" i="58"/>
  <c r="AC162" i="58"/>
  <c r="AB162" i="58"/>
  <c r="AA162" i="58"/>
  <c r="Z162" i="58"/>
  <c r="Y162" i="58"/>
  <c r="X162" i="58"/>
  <c r="W162" i="58"/>
  <c r="V162" i="58"/>
  <c r="Y161" i="58"/>
  <c r="X161" i="58"/>
  <c r="W161" i="58"/>
  <c r="V161" i="58"/>
  <c r="Y160" i="58"/>
  <c r="X160" i="58"/>
  <c r="W160" i="58"/>
  <c r="V160" i="58"/>
  <c r="Y159" i="58"/>
  <c r="X159" i="58"/>
  <c r="W159" i="58"/>
  <c r="V159" i="58"/>
  <c r="Y158" i="58"/>
  <c r="X158" i="58"/>
  <c r="W158" i="58"/>
  <c r="V158" i="58"/>
  <c r="Y157" i="58"/>
  <c r="X157" i="58"/>
  <c r="W157" i="58"/>
  <c r="V157" i="58"/>
  <c r="Y156" i="58"/>
  <c r="X156" i="58"/>
  <c r="W156" i="58"/>
  <c r="V156" i="58"/>
  <c r="Y155" i="58"/>
  <c r="X155" i="58"/>
  <c r="W155" i="58"/>
  <c r="V155" i="58"/>
  <c r="Y154" i="58"/>
  <c r="X154" i="58"/>
  <c r="W154" i="58"/>
  <c r="V154" i="58"/>
  <c r="Y153" i="58"/>
  <c r="X153" i="58"/>
  <c r="W153" i="58"/>
  <c r="V153" i="58"/>
  <c r="Y152" i="58"/>
  <c r="X152" i="58"/>
  <c r="W152" i="58"/>
  <c r="V152" i="58"/>
  <c r="Y151" i="58"/>
  <c r="X151" i="58"/>
  <c r="W151" i="58"/>
  <c r="V151" i="58"/>
  <c r="Y150" i="58"/>
  <c r="X150" i="58"/>
  <c r="W150" i="58"/>
  <c r="V150" i="58"/>
  <c r="Y149" i="58"/>
  <c r="X149" i="58"/>
  <c r="W149" i="58"/>
  <c r="V149" i="58"/>
  <c r="AE148" i="58"/>
  <c r="AD148" i="58"/>
  <c r="AC148" i="58"/>
  <c r="AB148" i="58"/>
  <c r="AA148" i="58"/>
  <c r="Z148" i="58"/>
  <c r="Y148" i="58"/>
  <c r="X148" i="58"/>
  <c r="W148" i="58"/>
  <c r="V148" i="58"/>
  <c r="Y147" i="58"/>
  <c r="X147" i="58"/>
  <c r="W147" i="58"/>
  <c r="V147" i="58"/>
  <c r="Y146" i="58"/>
  <c r="X146" i="58"/>
  <c r="W146" i="58"/>
  <c r="V146" i="58"/>
  <c r="Y145" i="58"/>
  <c r="X145" i="58"/>
  <c r="W145" i="58"/>
  <c r="V145" i="58"/>
  <c r="Y144" i="58"/>
  <c r="X144" i="58"/>
  <c r="W144" i="58"/>
  <c r="V144" i="58"/>
  <c r="Y143" i="58"/>
  <c r="X143" i="58"/>
  <c r="W143" i="58"/>
  <c r="V143" i="58"/>
  <c r="Y142" i="58"/>
  <c r="X142" i="58"/>
  <c r="W142" i="58"/>
  <c r="V142" i="58"/>
  <c r="Y141" i="58"/>
  <c r="X141" i="58"/>
  <c r="W141" i="58"/>
  <c r="V141" i="58"/>
  <c r="Y140" i="58"/>
  <c r="X140" i="58"/>
  <c r="W140" i="58"/>
  <c r="V140" i="58"/>
  <c r="Y139" i="58"/>
  <c r="X139" i="58"/>
  <c r="W139" i="58"/>
  <c r="V139" i="58"/>
  <c r="Y138" i="58"/>
  <c r="X138" i="58"/>
  <c r="W138" i="58"/>
  <c r="V138" i="58"/>
  <c r="Y137" i="58"/>
  <c r="X137" i="58"/>
  <c r="W137" i="58"/>
  <c r="V137" i="58"/>
  <c r="Y136" i="58"/>
  <c r="X136" i="58"/>
  <c r="W136" i="58"/>
  <c r="V136" i="58"/>
  <c r="Y135" i="58"/>
  <c r="X135" i="58"/>
  <c r="W135" i="58"/>
  <c r="V135" i="58"/>
  <c r="AE134" i="58"/>
  <c r="AD134" i="58"/>
  <c r="AC134" i="58"/>
  <c r="AB134" i="58"/>
  <c r="AA134" i="58"/>
  <c r="Z134" i="58"/>
  <c r="Y134" i="58"/>
  <c r="X134" i="58"/>
  <c r="W134" i="58"/>
  <c r="V134" i="58"/>
  <c r="Y133" i="58"/>
  <c r="X133" i="58"/>
  <c r="W133" i="58"/>
  <c r="V133" i="58"/>
  <c r="Y132" i="58"/>
  <c r="X132" i="58"/>
  <c r="W132" i="58"/>
  <c r="V132" i="58"/>
  <c r="Y131" i="58"/>
  <c r="X131" i="58"/>
  <c r="W131" i="58"/>
  <c r="V131" i="58"/>
  <c r="Y130" i="58"/>
  <c r="X130" i="58"/>
  <c r="W130" i="58"/>
  <c r="V130" i="58"/>
  <c r="Y129" i="58"/>
  <c r="X129" i="58"/>
  <c r="W129" i="58"/>
  <c r="V129" i="58"/>
  <c r="Y128" i="58"/>
  <c r="X128" i="58"/>
  <c r="W128" i="58"/>
  <c r="V128" i="58"/>
  <c r="Y127" i="58"/>
  <c r="X127" i="58"/>
  <c r="W127" i="58"/>
  <c r="V127" i="58"/>
  <c r="Y126" i="58"/>
  <c r="X126" i="58"/>
  <c r="W126" i="58"/>
  <c r="V126" i="58"/>
  <c r="Y125" i="58"/>
  <c r="X125" i="58"/>
  <c r="W125" i="58"/>
  <c r="V125" i="58"/>
  <c r="Y124" i="58"/>
  <c r="X124" i="58"/>
  <c r="W124" i="58"/>
  <c r="V124" i="58"/>
  <c r="Y123" i="58"/>
  <c r="X123" i="58"/>
  <c r="W123" i="58"/>
  <c r="V123" i="58"/>
  <c r="Y122" i="58"/>
  <c r="X122" i="58"/>
  <c r="W122" i="58"/>
  <c r="V122" i="58"/>
  <c r="Y121" i="58"/>
  <c r="X121" i="58"/>
  <c r="W121" i="58"/>
  <c r="V121" i="58"/>
  <c r="AE120" i="58"/>
  <c r="AD120" i="58"/>
  <c r="AC120" i="58"/>
  <c r="AB120" i="58"/>
  <c r="AA120" i="58"/>
  <c r="Z120" i="58"/>
  <c r="Y120" i="58"/>
  <c r="X120" i="58"/>
  <c r="W120" i="58"/>
  <c r="V120" i="58"/>
  <c r="Y119" i="58"/>
  <c r="X119" i="58"/>
  <c r="W119" i="58"/>
  <c r="V119" i="58"/>
  <c r="Y118" i="58"/>
  <c r="X118" i="58"/>
  <c r="W118" i="58"/>
  <c r="V118" i="58"/>
  <c r="Y117" i="58"/>
  <c r="X117" i="58"/>
  <c r="W117" i="58"/>
  <c r="V117" i="58"/>
  <c r="Y116" i="58"/>
  <c r="X116" i="58"/>
  <c r="W116" i="58"/>
  <c r="V116" i="58"/>
  <c r="Y115" i="58"/>
  <c r="X115" i="58"/>
  <c r="W115" i="58"/>
  <c r="V115" i="58"/>
  <c r="Y114" i="58"/>
  <c r="X114" i="58"/>
  <c r="W114" i="58"/>
  <c r="V114" i="58"/>
  <c r="Y113" i="58"/>
  <c r="X113" i="58"/>
  <c r="W113" i="58"/>
  <c r="V113" i="58"/>
  <c r="Y112" i="58"/>
  <c r="X112" i="58"/>
  <c r="W112" i="58"/>
  <c r="V112" i="58"/>
  <c r="Y111" i="58"/>
  <c r="X111" i="58"/>
  <c r="W111" i="58"/>
  <c r="V111" i="58"/>
  <c r="Y110" i="58"/>
  <c r="X110" i="58"/>
  <c r="W110" i="58"/>
  <c r="V110" i="58"/>
  <c r="Y109" i="58"/>
  <c r="X109" i="58"/>
  <c r="W109" i="58"/>
  <c r="V109" i="58"/>
  <c r="Y108" i="58"/>
  <c r="X108" i="58"/>
  <c r="W108" i="58"/>
  <c r="V108" i="58"/>
  <c r="Y107" i="58"/>
  <c r="X107" i="58"/>
  <c r="W107" i="58"/>
  <c r="V107" i="58"/>
  <c r="AE106" i="58"/>
  <c r="AD106" i="58"/>
  <c r="AC106" i="58"/>
  <c r="AB106" i="58"/>
  <c r="AA106" i="58"/>
  <c r="Z106" i="58"/>
  <c r="Y106" i="58"/>
  <c r="X106" i="58"/>
  <c r="W106" i="58"/>
  <c r="V106" i="58"/>
  <c r="AE105" i="58"/>
  <c r="AD105" i="58"/>
  <c r="AC105" i="58"/>
  <c r="AB105" i="58"/>
  <c r="AA105" i="58"/>
  <c r="Z105" i="58"/>
  <c r="Y105" i="58"/>
  <c r="X105" i="58"/>
  <c r="W105" i="58"/>
  <c r="V105" i="58"/>
  <c r="Y104" i="58"/>
  <c r="X104" i="58"/>
  <c r="W104" i="58"/>
  <c r="V104" i="58"/>
  <c r="Y103" i="58"/>
  <c r="X103" i="58"/>
  <c r="W103" i="58"/>
  <c r="V103" i="58"/>
  <c r="Y102" i="58"/>
  <c r="X102" i="58"/>
  <c r="W102" i="58"/>
  <c r="V102" i="58"/>
  <c r="Y101" i="58"/>
  <c r="X101" i="58"/>
  <c r="W101" i="58"/>
  <c r="V101" i="58"/>
  <c r="Y100" i="58"/>
  <c r="X100" i="58"/>
  <c r="W100" i="58"/>
  <c r="V100" i="58"/>
  <c r="Y99" i="58"/>
  <c r="X99" i="58"/>
  <c r="W99" i="58"/>
  <c r="V99" i="58"/>
  <c r="Y98" i="58"/>
  <c r="X98" i="58"/>
  <c r="W98" i="58"/>
  <c r="V98" i="58"/>
  <c r="Y97" i="58"/>
  <c r="X97" i="58"/>
  <c r="W97" i="58"/>
  <c r="V97" i="58"/>
  <c r="Y96" i="58"/>
  <c r="X96" i="58"/>
  <c r="W96" i="58"/>
  <c r="V96" i="58"/>
  <c r="Y95" i="58"/>
  <c r="X95" i="58"/>
  <c r="W95" i="58"/>
  <c r="V95" i="58"/>
  <c r="Y94" i="58"/>
  <c r="X94" i="58"/>
  <c r="W94" i="58"/>
  <c r="V94" i="58"/>
  <c r="Y93" i="58"/>
  <c r="X93" i="58"/>
  <c r="W93" i="58"/>
  <c r="V93" i="58"/>
  <c r="Y92" i="58"/>
  <c r="X92" i="58"/>
  <c r="W92" i="58"/>
  <c r="V92" i="58"/>
  <c r="AE91" i="58"/>
  <c r="AD91" i="58"/>
  <c r="AC91" i="58"/>
  <c r="AB91" i="58"/>
  <c r="AA91" i="58"/>
  <c r="Z91" i="58"/>
  <c r="Y91" i="58"/>
  <c r="X91" i="58"/>
  <c r="W91" i="58"/>
  <c r="V91" i="58"/>
  <c r="Y90" i="58"/>
  <c r="X90" i="58"/>
  <c r="W90" i="58"/>
  <c r="V90" i="58"/>
  <c r="Y89" i="58"/>
  <c r="X89" i="58"/>
  <c r="W89" i="58"/>
  <c r="V89" i="58"/>
  <c r="Y88" i="58"/>
  <c r="X88" i="58"/>
  <c r="W88" i="58"/>
  <c r="V88" i="58"/>
  <c r="Y87" i="58"/>
  <c r="X87" i="58"/>
  <c r="W87" i="58"/>
  <c r="V87" i="58"/>
  <c r="Y86" i="58"/>
  <c r="X86" i="58"/>
  <c r="W86" i="58"/>
  <c r="V86" i="58"/>
  <c r="Y85" i="58"/>
  <c r="X85" i="58"/>
  <c r="W85" i="58"/>
  <c r="V85" i="58"/>
  <c r="Y84" i="58"/>
  <c r="X84" i="58"/>
  <c r="W84" i="58"/>
  <c r="V84" i="58"/>
  <c r="Y83" i="58"/>
  <c r="X83" i="58"/>
  <c r="W83" i="58"/>
  <c r="V83" i="58"/>
  <c r="Y82" i="58"/>
  <c r="X82" i="58"/>
  <c r="W82" i="58"/>
  <c r="V82" i="58"/>
  <c r="Y81" i="58"/>
  <c r="X81" i="58"/>
  <c r="W81" i="58"/>
  <c r="V81" i="58"/>
  <c r="Y80" i="58"/>
  <c r="X80" i="58"/>
  <c r="W80" i="58"/>
  <c r="V80" i="58"/>
  <c r="Y79" i="58"/>
  <c r="X79" i="58"/>
  <c r="W79" i="58"/>
  <c r="V79" i="58"/>
  <c r="Y78" i="58"/>
  <c r="X78" i="58"/>
  <c r="W78" i="58"/>
  <c r="V78" i="58"/>
  <c r="AE77" i="58"/>
  <c r="AD77" i="58"/>
  <c r="AC77" i="58"/>
  <c r="AB77" i="58"/>
  <c r="AA77" i="58"/>
  <c r="Z77" i="58"/>
  <c r="Y77" i="58"/>
  <c r="X77" i="58"/>
  <c r="W77" i="58"/>
  <c r="V77" i="58"/>
  <c r="Y76" i="58"/>
  <c r="X76" i="58"/>
  <c r="W76" i="58"/>
  <c r="V76" i="58"/>
  <c r="Y75" i="58"/>
  <c r="X75" i="58"/>
  <c r="W75" i="58"/>
  <c r="V75" i="58"/>
  <c r="Y74" i="58"/>
  <c r="X74" i="58"/>
  <c r="W74" i="58"/>
  <c r="V74" i="58"/>
  <c r="Y73" i="58"/>
  <c r="X73" i="58"/>
  <c r="W73" i="58"/>
  <c r="V73" i="58"/>
  <c r="Y72" i="58"/>
  <c r="X72" i="58"/>
  <c r="W72" i="58"/>
  <c r="V72" i="58"/>
  <c r="Y71" i="58"/>
  <c r="X71" i="58"/>
  <c r="W71" i="58"/>
  <c r="V71" i="58"/>
  <c r="Y70" i="58"/>
  <c r="X70" i="58"/>
  <c r="W70" i="58"/>
  <c r="V70" i="58"/>
  <c r="Y69" i="58"/>
  <c r="X69" i="58"/>
  <c r="W69" i="58"/>
  <c r="V69" i="58"/>
  <c r="Y68" i="58"/>
  <c r="X68" i="58"/>
  <c r="W68" i="58"/>
  <c r="V68" i="58"/>
  <c r="Y67" i="58"/>
  <c r="X67" i="58"/>
  <c r="W67" i="58"/>
  <c r="V67" i="58"/>
  <c r="Y66" i="58"/>
  <c r="X66" i="58"/>
  <c r="W66" i="58"/>
  <c r="V66" i="58"/>
  <c r="Y65" i="58"/>
  <c r="X65" i="58"/>
  <c r="W65" i="58"/>
  <c r="V65" i="58"/>
  <c r="Y64" i="58"/>
  <c r="X64" i="58"/>
  <c r="W64" i="58"/>
  <c r="V64" i="58"/>
  <c r="AE63" i="58"/>
  <c r="AD63" i="58"/>
  <c r="AC63" i="58"/>
  <c r="AB63" i="58"/>
  <c r="AA63" i="58"/>
  <c r="Z63" i="58"/>
  <c r="Y63" i="58"/>
  <c r="X63" i="58"/>
  <c r="W63" i="58"/>
  <c r="V63" i="58"/>
  <c r="Y62" i="58"/>
  <c r="X62" i="58"/>
  <c r="W62" i="58"/>
  <c r="V62" i="58"/>
  <c r="Y61" i="58"/>
  <c r="X61" i="58"/>
  <c r="W61" i="58"/>
  <c r="V61" i="58"/>
  <c r="Y60" i="58"/>
  <c r="X60" i="58"/>
  <c r="W60" i="58"/>
  <c r="V60" i="58"/>
  <c r="Y59" i="58"/>
  <c r="X59" i="58"/>
  <c r="W59" i="58"/>
  <c r="V59" i="58"/>
  <c r="Y58" i="58"/>
  <c r="X58" i="58"/>
  <c r="W58" i="58"/>
  <c r="V58" i="58"/>
  <c r="Y57" i="58"/>
  <c r="X57" i="58"/>
  <c r="W57" i="58"/>
  <c r="V57" i="58"/>
  <c r="Y56" i="58"/>
  <c r="X56" i="58"/>
  <c r="W56" i="58"/>
  <c r="V56" i="58"/>
  <c r="Y55" i="58"/>
  <c r="X55" i="58"/>
  <c r="W55" i="58"/>
  <c r="V55" i="58"/>
  <c r="Y54" i="58"/>
  <c r="X54" i="58"/>
  <c r="W54" i="58"/>
  <c r="V54" i="58"/>
  <c r="Y53" i="58"/>
  <c r="X53" i="58"/>
  <c r="W53" i="58"/>
  <c r="V53" i="58"/>
  <c r="Y52" i="58"/>
  <c r="X52" i="58"/>
  <c r="W52" i="58"/>
  <c r="V52" i="58"/>
  <c r="Y51" i="58"/>
  <c r="X51" i="58"/>
  <c r="W51" i="58"/>
  <c r="V51" i="58"/>
  <c r="Y50" i="58"/>
  <c r="X50" i="58"/>
  <c r="W50" i="58"/>
  <c r="V50" i="58"/>
  <c r="AE49" i="58"/>
  <c r="AD49" i="58"/>
  <c r="AC49" i="58"/>
  <c r="AB49" i="58"/>
  <c r="AA49" i="58"/>
  <c r="Z49" i="58"/>
  <c r="Y49" i="58"/>
  <c r="X49" i="58"/>
  <c r="W49" i="58"/>
  <c r="V49" i="58"/>
  <c r="Y48" i="58"/>
  <c r="X48" i="58"/>
  <c r="W48" i="58"/>
  <c r="V48" i="58"/>
  <c r="Y47" i="58"/>
  <c r="X47" i="58"/>
  <c r="W47" i="58"/>
  <c r="V47" i="58"/>
  <c r="Y46" i="58"/>
  <c r="X46" i="58"/>
  <c r="W46" i="58"/>
  <c r="V46" i="58"/>
  <c r="Y45" i="58"/>
  <c r="X45" i="58"/>
  <c r="W45" i="58"/>
  <c r="V45" i="58"/>
  <c r="Y44" i="58"/>
  <c r="X44" i="58"/>
  <c r="W44" i="58"/>
  <c r="V44" i="58"/>
  <c r="Y43" i="58"/>
  <c r="X43" i="58"/>
  <c r="W43" i="58"/>
  <c r="V43" i="58"/>
  <c r="Y42" i="58"/>
  <c r="X42" i="58"/>
  <c r="W42" i="58"/>
  <c r="V42" i="58"/>
  <c r="Y41" i="58"/>
  <c r="X41" i="58"/>
  <c r="W41" i="58"/>
  <c r="V41" i="58"/>
  <c r="Y40" i="58"/>
  <c r="X40" i="58"/>
  <c r="W40" i="58"/>
  <c r="V40" i="58"/>
  <c r="Y39" i="58"/>
  <c r="X39" i="58"/>
  <c r="W39" i="58"/>
  <c r="V39" i="58"/>
  <c r="Y38" i="58"/>
  <c r="X38" i="58"/>
  <c r="W38" i="58"/>
  <c r="V38" i="58"/>
  <c r="Y37" i="58"/>
  <c r="X37" i="58"/>
  <c r="W37" i="58"/>
  <c r="V37" i="58"/>
  <c r="Y36" i="58"/>
  <c r="X36" i="58"/>
  <c r="W36" i="58"/>
  <c r="V36" i="58"/>
  <c r="AE35" i="58"/>
  <c r="AD35" i="58"/>
  <c r="AC35" i="58"/>
  <c r="AB35" i="58"/>
  <c r="AA35" i="58"/>
  <c r="Z35" i="58"/>
  <c r="Y35" i="58"/>
  <c r="X35" i="58"/>
  <c r="W35" i="58"/>
  <c r="V35" i="58"/>
  <c r="AE34" i="58"/>
  <c r="AD34" i="58"/>
  <c r="AC34" i="58"/>
  <c r="AB34" i="58"/>
  <c r="AA34" i="58"/>
  <c r="Z34" i="58"/>
  <c r="Y34" i="58"/>
  <c r="X34" i="58"/>
  <c r="W34" i="58"/>
  <c r="V34" i="58"/>
  <c r="AE33" i="58"/>
  <c r="AD33" i="58"/>
  <c r="AC33" i="58"/>
  <c r="AB33" i="58"/>
  <c r="AA33" i="58"/>
  <c r="Z33" i="58"/>
  <c r="Y33" i="58"/>
  <c r="X33" i="58"/>
  <c r="W33" i="58"/>
  <c r="V33" i="58"/>
  <c r="AE32" i="58"/>
  <c r="AD32" i="58"/>
  <c r="AC32" i="58"/>
  <c r="AB32" i="58"/>
  <c r="AA32" i="58"/>
  <c r="Z32" i="58"/>
  <c r="Y32" i="58"/>
  <c r="X32" i="58"/>
  <c r="W32" i="58"/>
  <c r="V32" i="58"/>
  <c r="Y30" i="58"/>
  <c r="X30" i="58"/>
  <c r="W30" i="58"/>
  <c r="V30" i="58"/>
  <c r="Y29" i="58"/>
  <c r="X29" i="58"/>
  <c r="W29" i="58"/>
  <c r="V29" i="58"/>
  <c r="Y28" i="58"/>
  <c r="X28" i="58"/>
  <c r="W28" i="58"/>
  <c r="V28" i="58"/>
  <c r="AE27" i="58"/>
  <c r="AD27" i="58"/>
  <c r="AC27" i="58"/>
  <c r="AB27" i="58"/>
  <c r="AA27" i="58"/>
  <c r="Z27" i="58"/>
  <c r="Y27" i="58"/>
  <c r="X27" i="58"/>
  <c r="W27" i="58"/>
  <c r="AE26" i="58"/>
  <c r="AD26" i="58"/>
  <c r="AC26" i="58"/>
  <c r="AA26" i="58"/>
  <c r="Z26" i="58"/>
  <c r="Y26" i="58"/>
  <c r="X26" i="58"/>
  <c r="W26" i="58"/>
  <c r="V26" i="58"/>
  <c r="AE25" i="58"/>
  <c r="W25" i="58"/>
  <c r="X25" i="58"/>
  <c r="Y25" i="58"/>
  <c r="Z25" i="58"/>
  <c r="AA25" i="58"/>
  <c r="AB25" i="58"/>
  <c r="AC25" i="58"/>
  <c r="AD25" i="58"/>
  <c r="V25" i="58"/>
  <c r="U33" i="58"/>
  <c r="U437" i="58"/>
  <c r="U435" i="58"/>
  <c r="U433" i="58"/>
  <c r="U431" i="58"/>
  <c r="U427" i="58"/>
  <c r="U425" i="58"/>
  <c r="U424" i="58"/>
  <c r="U423" i="58"/>
  <c r="U422" i="58"/>
  <c r="U421" i="58"/>
  <c r="U420" i="58"/>
  <c r="U419" i="58"/>
  <c r="U418" i="58"/>
  <c r="U417" i="58"/>
  <c r="U416" i="58"/>
  <c r="U415" i="58"/>
  <c r="U414" i="58"/>
  <c r="U413" i="58"/>
  <c r="U412" i="58"/>
  <c r="U411" i="58"/>
  <c r="U410" i="58"/>
  <c r="U409" i="58"/>
  <c r="U408" i="58"/>
  <c r="U407" i="58"/>
  <c r="U406" i="58"/>
  <c r="U405" i="58"/>
  <c r="U404" i="58"/>
  <c r="U403" i="58"/>
  <c r="U402" i="58"/>
  <c r="U401" i="58"/>
  <c r="U400" i="58"/>
  <c r="U399" i="58"/>
  <c r="U398" i="58"/>
  <c r="U397" i="58"/>
  <c r="U396" i="58"/>
  <c r="U395" i="58"/>
  <c r="U394" i="58"/>
  <c r="U393" i="58"/>
  <c r="U392" i="58"/>
  <c r="U391" i="58"/>
  <c r="U390" i="58"/>
  <c r="U389" i="58"/>
  <c r="U388" i="58"/>
  <c r="U387" i="58"/>
  <c r="U386" i="58"/>
  <c r="U385" i="58"/>
  <c r="U384" i="58"/>
  <c r="U383" i="58"/>
  <c r="U382" i="58"/>
  <c r="U381" i="58"/>
  <c r="U380" i="58"/>
  <c r="U379" i="58"/>
  <c r="U378" i="58"/>
  <c r="U377" i="58"/>
  <c r="U376" i="58"/>
  <c r="U375" i="58"/>
  <c r="U374" i="58"/>
  <c r="U373" i="58"/>
  <c r="U372" i="58"/>
  <c r="U371" i="58"/>
  <c r="U370" i="58"/>
  <c r="U369" i="58"/>
  <c r="U368" i="58"/>
  <c r="U367" i="58"/>
  <c r="U366" i="58"/>
  <c r="U365" i="58"/>
  <c r="U364" i="58"/>
  <c r="U363" i="58"/>
  <c r="U362" i="58"/>
  <c r="U361" i="58"/>
  <c r="U360" i="58"/>
  <c r="U359" i="58"/>
  <c r="U358" i="58"/>
  <c r="U357" i="58"/>
  <c r="U356" i="58"/>
  <c r="U355" i="58"/>
  <c r="U354" i="58"/>
  <c r="U353" i="58"/>
  <c r="U352" i="58"/>
  <c r="U351" i="58"/>
  <c r="U350" i="58"/>
  <c r="U349" i="58"/>
  <c r="U348" i="58"/>
  <c r="U347" i="58"/>
  <c r="U346" i="58"/>
  <c r="U345" i="58"/>
  <c r="U344" i="58"/>
  <c r="U343" i="58"/>
  <c r="U342" i="58"/>
  <c r="U341" i="58"/>
  <c r="U340" i="58"/>
  <c r="U339" i="58"/>
  <c r="U338" i="58"/>
  <c r="U337" i="58"/>
  <c r="U336" i="58"/>
  <c r="U335" i="58"/>
  <c r="U334" i="58"/>
  <c r="U333" i="58"/>
  <c r="U332" i="58"/>
  <c r="U331" i="58"/>
  <c r="U330" i="58"/>
  <c r="U329" i="58"/>
  <c r="U328" i="58"/>
  <c r="U327" i="58"/>
  <c r="U326" i="58"/>
  <c r="U325" i="58"/>
  <c r="U324" i="58"/>
  <c r="U323" i="58"/>
  <c r="U322" i="58"/>
  <c r="U321" i="58"/>
  <c r="U320" i="58"/>
  <c r="U319" i="58"/>
  <c r="U318" i="58"/>
  <c r="U317" i="58"/>
  <c r="U316" i="58"/>
  <c r="U315" i="58"/>
  <c r="U314" i="58"/>
  <c r="U313" i="58"/>
  <c r="U312" i="58"/>
  <c r="U311" i="58"/>
  <c r="U310" i="58"/>
  <c r="U309" i="58"/>
  <c r="U308" i="58"/>
  <c r="U307" i="58"/>
  <c r="U306" i="58"/>
  <c r="U305" i="58"/>
  <c r="U304" i="58"/>
  <c r="U303" i="58"/>
  <c r="U302" i="58"/>
  <c r="U301" i="58"/>
  <c r="U300" i="58"/>
  <c r="U299" i="58"/>
  <c r="U298" i="58"/>
  <c r="U297" i="58"/>
  <c r="U296" i="58"/>
  <c r="U295" i="58"/>
  <c r="U294" i="58"/>
  <c r="U293" i="58"/>
  <c r="U292" i="58"/>
  <c r="U291" i="58"/>
  <c r="U290" i="58"/>
  <c r="U289" i="58"/>
  <c r="U288" i="58"/>
  <c r="U287" i="58"/>
  <c r="U286" i="58"/>
  <c r="U285" i="58"/>
  <c r="U284" i="58"/>
  <c r="U283" i="58"/>
  <c r="U282" i="58"/>
  <c r="U281" i="58"/>
  <c r="U280" i="58"/>
  <c r="U279" i="58"/>
  <c r="U278" i="58"/>
  <c r="U277" i="58"/>
  <c r="U276" i="58"/>
  <c r="U275" i="58"/>
  <c r="U274" i="58"/>
  <c r="U273" i="58"/>
  <c r="U272" i="58"/>
  <c r="U271" i="58"/>
  <c r="U270" i="58"/>
  <c r="U269" i="58"/>
  <c r="U268" i="58"/>
  <c r="U267" i="58"/>
  <c r="U266" i="58"/>
  <c r="U265" i="58"/>
  <c r="U264" i="58"/>
  <c r="U263" i="58"/>
  <c r="U262" i="58"/>
  <c r="U261" i="58"/>
  <c r="U260" i="58"/>
  <c r="U259" i="58"/>
  <c r="U258" i="58"/>
  <c r="U257" i="58"/>
  <c r="U256" i="58"/>
  <c r="U255" i="58"/>
  <c r="U254" i="58"/>
  <c r="U253" i="58"/>
  <c r="U252" i="58"/>
  <c r="U251" i="58"/>
  <c r="U250" i="58"/>
  <c r="U249" i="58"/>
  <c r="U248" i="58"/>
  <c r="U247" i="58"/>
  <c r="U246" i="58"/>
  <c r="U245" i="58"/>
  <c r="U244" i="58"/>
  <c r="U243" i="58"/>
  <c r="U242" i="58"/>
  <c r="U241" i="58"/>
  <c r="U240" i="58"/>
  <c r="U239" i="58"/>
  <c r="U238" i="58"/>
  <c r="U237" i="58"/>
  <c r="U236" i="58"/>
  <c r="U235" i="58"/>
  <c r="U234" i="58"/>
  <c r="U233" i="58"/>
  <c r="U232" i="58"/>
  <c r="U231" i="58"/>
  <c r="U230" i="58"/>
  <c r="U229" i="58"/>
  <c r="U228" i="58"/>
  <c r="U227" i="58"/>
  <c r="U226" i="58"/>
  <c r="U225" i="58"/>
  <c r="U224" i="58"/>
  <c r="U223" i="58"/>
  <c r="U222" i="58"/>
  <c r="U221" i="58"/>
  <c r="U220" i="58"/>
  <c r="U219" i="58"/>
  <c r="U218" i="58"/>
  <c r="U217" i="58"/>
  <c r="U216" i="58"/>
  <c r="U215" i="58"/>
  <c r="U214" i="58"/>
  <c r="U213" i="58"/>
  <c r="U212" i="58"/>
  <c r="U211" i="58"/>
  <c r="U210" i="58"/>
  <c r="U209" i="58"/>
  <c r="U208" i="58"/>
  <c r="U207" i="58"/>
  <c r="U206" i="58"/>
  <c r="U205" i="58"/>
  <c r="U204" i="58"/>
  <c r="U203" i="58"/>
  <c r="U202" i="58"/>
  <c r="U201" i="58"/>
  <c r="U200" i="58"/>
  <c r="U199" i="58"/>
  <c r="U198" i="58"/>
  <c r="U197" i="58"/>
  <c r="U196" i="58"/>
  <c r="U195" i="58"/>
  <c r="U194" i="58"/>
  <c r="U193" i="58"/>
  <c r="U192" i="58"/>
  <c r="U191" i="58"/>
  <c r="U190" i="58"/>
  <c r="U189" i="58"/>
  <c r="U188" i="58"/>
  <c r="U187" i="58"/>
  <c r="U186" i="58"/>
  <c r="U185" i="58"/>
  <c r="U184" i="58"/>
  <c r="U183" i="58"/>
  <c r="U182" i="58"/>
  <c r="U181" i="58"/>
  <c r="U180" i="58"/>
  <c r="U179" i="58"/>
  <c r="U178" i="58"/>
  <c r="U177" i="58"/>
  <c r="U176" i="58"/>
  <c r="U175" i="58"/>
  <c r="U174" i="58"/>
  <c r="U173" i="58"/>
  <c r="U172" i="58"/>
  <c r="U171" i="58"/>
  <c r="U170" i="58"/>
  <c r="U169" i="58"/>
  <c r="U168" i="58"/>
  <c r="U167" i="58"/>
  <c r="U166" i="58"/>
  <c r="U165" i="58"/>
  <c r="U164" i="58"/>
  <c r="U163" i="58"/>
  <c r="U162" i="58"/>
  <c r="U161" i="58"/>
  <c r="U160" i="58"/>
  <c r="U159" i="58"/>
  <c r="U158" i="58"/>
  <c r="U157" i="58"/>
  <c r="U156" i="58"/>
  <c r="U155" i="58"/>
  <c r="U154" i="58"/>
  <c r="U153" i="58"/>
  <c r="U152" i="58"/>
  <c r="U151" i="58"/>
  <c r="U150" i="58"/>
  <c r="U149" i="58"/>
  <c r="U148" i="58"/>
  <c r="U147" i="58"/>
  <c r="U146" i="58"/>
  <c r="U145" i="58"/>
  <c r="U144" i="58"/>
  <c r="U143" i="58"/>
  <c r="U142" i="58"/>
  <c r="U141" i="58"/>
  <c r="U140" i="58"/>
  <c r="U139" i="58"/>
  <c r="U138" i="58"/>
  <c r="U137" i="58"/>
  <c r="U136" i="58"/>
  <c r="U135" i="58"/>
  <c r="U134" i="58"/>
  <c r="U133" i="58"/>
  <c r="U132" i="58"/>
  <c r="U131" i="58"/>
  <c r="U130" i="58"/>
  <c r="U129" i="58"/>
  <c r="U128" i="58"/>
  <c r="U127" i="58"/>
  <c r="U126" i="58"/>
  <c r="U125" i="58"/>
  <c r="U124" i="58"/>
  <c r="U123" i="58"/>
  <c r="U122" i="58"/>
  <c r="U121" i="58"/>
  <c r="U120" i="58"/>
  <c r="U119" i="58"/>
  <c r="U118" i="58"/>
  <c r="U117" i="58"/>
  <c r="U116" i="58"/>
  <c r="U115" i="58"/>
  <c r="U114" i="58"/>
  <c r="U113" i="58"/>
  <c r="U112" i="58"/>
  <c r="U111" i="58"/>
  <c r="U110" i="58"/>
  <c r="U109" i="58"/>
  <c r="U108" i="58"/>
  <c r="U107" i="58"/>
  <c r="U106" i="58"/>
  <c r="U105" i="58"/>
  <c r="U104" i="58"/>
  <c r="U103" i="58"/>
  <c r="U102" i="58"/>
  <c r="U101" i="58"/>
  <c r="U100" i="58"/>
  <c r="U99" i="58"/>
  <c r="U98" i="58"/>
  <c r="U97" i="58"/>
  <c r="U96" i="58"/>
  <c r="U95" i="58"/>
  <c r="U94" i="58"/>
  <c r="U93" i="58"/>
  <c r="U92" i="58"/>
  <c r="U91" i="58"/>
  <c r="U90" i="58"/>
  <c r="U89" i="58"/>
  <c r="U88" i="58"/>
  <c r="U87" i="58"/>
  <c r="U86" i="58"/>
  <c r="U85" i="58"/>
  <c r="U84" i="58"/>
  <c r="U83" i="58"/>
  <c r="U82" i="58"/>
  <c r="U81" i="58"/>
  <c r="U80" i="58"/>
  <c r="U79" i="58"/>
  <c r="U78" i="58"/>
  <c r="U77" i="58"/>
  <c r="U76" i="58"/>
  <c r="U75" i="58"/>
  <c r="U74" i="58"/>
  <c r="U73" i="58"/>
  <c r="U72" i="58"/>
  <c r="U71" i="58"/>
  <c r="U70" i="58"/>
  <c r="U69" i="58"/>
  <c r="U68" i="58"/>
  <c r="U67" i="58"/>
  <c r="U66" i="58"/>
  <c r="U65" i="58"/>
  <c r="U64" i="58"/>
  <c r="U63" i="58"/>
  <c r="U62" i="58"/>
  <c r="U61" i="58"/>
  <c r="U60" i="58"/>
  <c r="U59" i="58"/>
  <c r="U58" i="58"/>
  <c r="U57" i="58"/>
  <c r="U56" i="58"/>
  <c r="U55" i="58"/>
  <c r="U54" i="58"/>
  <c r="U53" i="58"/>
  <c r="U52" i="58"/>
  <c r="U51" i="58"/>
  <c r="U50" i="58"/>
  <c r="U49" i="58"/>
  <c r="U48" i="58"/>
  <c r="U47" i="58"/>
  <c r="U46" i="58"/>
  <c r="U45" i="58"/>
  <c r="U44" i="58"/>
  <c r="U43" i="58"/>
  <c r="U42" i="58"/>
  <c r="U41" i="58"/>
  <c r="U40" i="58"/>
  <c r="U39" i="58"/>
  <c r="U38" i="58"/>
  <c r="U37" i="58"/>
  <c r="U36" i="58"/>
  <c r="U35" i="58"/>
  <c r="U34" i="58"/>
  <c r="U32" i="58"/>
  <c r="U30" i="58"/>
  <c r="U29" i="58"/>
  <c r="U28" i="58"/>
  <c r="U26" i="58"/>
  <c r="U25" i="58"/>
  <c r="T26" i="58"/>
  <c r="O437" i="58"/>
  <c r="O435" i="58"/>
  <c r="O433" i="58"/>
  <c r="O431" i="58"/>
  <c r="O427" i="58"/>
  <c r="O425" i="58"/>
  <c r="O424" i="58"/>
  <c r="O423" i="58"/>
  <c r="O422" i="58"/>
  <c r="O421" i="58"/>
  <c r="O420" i="58"/>
  <c r="O419" i="58"/>
  <c r="O418" i="58"/>
  <c r="O417" i="58"/>
  <c r="O416" i="58"/>
  <c r="O415" i="58"/>
  <c r="O414" i="58"/>
  <c r="O413" i="58"/>
  <c r="O412" i="58"/>
  <c r="O411" i="58"/>
  <c r="O410" i="58"/>
  <c r="O409" i="58"/>
  <c r="O408" i="58"/>
  <c r="O407" i="58"/>
  <c r="O406" i="58"/>
  <c r="O405" i="58"/>
  <c r="O404" i="58"/>
  <c r="O403" i="58"/>
  <c r="O402" i="58"/>
  <c r="O401" i="58"/>
  <c r="O400" i="58"/>
  <c r="O399" i="58"/>
  <c r="O398" i="58"/>
  <c r="O397" i="58"/>
  <c r="O396" i="58"/>
  <c r="O395" i="58"/>
  <c r="O394" i="58"/>
  <c r="O393" i="58"/>
  <c r="O392" i="58"/>
  <c r="O391" i="58"/>
  <c r="O390" i="58"/>
  <c r="O389" i="58"/>
  <c r="O388" i="58"/>
  <c r="O387" i="58"/>
  <c r="O386" i="58"/>
  <c r="O385" i="58"/>
  <c r="O384" i="58"/>
  <c r="O383" i="58"/>
  <c r="O382" i="58"/>
  <c r="O381" i="58"/>
  <c r="O380" i="58"/>
  <c r="O379" i="58"/>
  <c r="O378" i="58"/>
  <c r="O377" i="58"/>
  <c r="O376" i="58"/>
  <c r="O375" i="58"/>
  <c r="O374" i="58"/>
  <c r="O373" i="58"/>
  <c r="O372" i="58"/>
  <c r="O371" i="58"/>
  <c r="O370" i="58"/>
  <c r="O369" i="58"/>
  <c r="O368" i="58"/>
  <c r="O367" i="58"/>
  <c r="O366" i="58"/>
  <c r="O365" i="58"/>
  <c r="O364" i="58"/>
  <c r="O363" i="58"/>
  <c r="O362" i="58"/>
  <c r="O361" i="58"/>
  <c r="O360" i="58"/>
  <c r="O359" i="58"/>
  <c r="O358" i="58"/>
  <c r="O357" i="58"/>
  <c r="O356" i="58"/>
  <c r="O355" i="58"/>
  <c r="O354" i="58"/>
  <c r="O353" i="58"/>
  <c r="O352" i="58"/>
  <c r="O351" i="58"/>
  <c r="O350" i="58"/>
  <c r="O349" i="58"/>
  <c r="O348" i="58"/>
  <c r="O347" i="58"/>
  <c r="O346" i="58"/>
  <c r="O345" i="58"/>
  <c r="O344" i="58"/>
  <c r="O343" i="58"/>
  <c r="O342" i="58"/>
  <c r="O341" i="58"/>
  <c r="O340" i="58"/>
  <c r="O339" i="58"/>
  <c r="O338" i="58"/>
  <c r="O337" i="58"/>
  <c r="O336" i="58"/>
  <c r="O335" i="58"/>
  <c r="O334" i="58"/>
  <c r="O333" i="58"/>
  <c r="O332" i="58"/>
  <c r="O331" i="58"/>
  <c r="O330" i="58"/>
  <c r="O329" i="58"/>
  <c r="O328" i="58"/>
  <c r="O327" i="58"/>
  <c r="O326" i="58"/>
  <c r="O325" i="58"/>
  <c r="O324" i="58"/>
  <c r="O323" i="58"/>
  <c r="O322" i="58"/>
  <c r="O321" i="58"/>
  <c r="O320" i="58"/>
  <c r="O319" i="58"/>
  <c r="O318" i="58"/>
  <c r="O317" i="58"/>
  <c r="O316" i="58"/>
  <c r="O315" i="58"/>
  <c r="O314" i="58"/>
  <c r="O313" i="58"/>
  <c r="O312" i="58"/>
  <c r="O311" i="58"/>
  <c r="O310" i="58"/>
  <c r="O309" i="58"/>
  <c r="O308" i="58"/>
  <c r="O307" i="58"/>
  <c r="O306" i="58"/>
  <c r="O305" i="58"/>
  <c r="O304" i="58"/>
  <c r="O303" i="58"/>
  <c r="O302" i="58"/>
  <c r="O301" i="58"/>
  <c r="O300" i="58"/>
  <c r="O299" i="58"/>
  <c r="O298" i="58"/>
  <c r="O297" i="58"/>
  <c r="O296" i="58"/>
  <c r="O295" i="58"/>
  <c r="O294" i="58"/>
  <c r="O293" i="58"/>
  <c r="O292" i="58"/>
  <c r="O291" i="58"/>
  <c r="O290" i="58"/>
  <c r="O289" i="58"/>
  <c r="O288" i="58"/>
  <c r="O287" i="58"/>
  <c r="O286" i="58"/>
  <c r="O285" i="58"/>
  <c r="O284" i="58"/>
  <c r="O283" i="58"/>
  <c r="O282" i="58"/>
  <c r="O281" i="58"/>
  <c r="O280" i="58"/>
  <c r="O279" i="58"/>
  <c r="O278" i="58"/>
  <c r="O277" i="58"/>
  <c r="O276" i="58"/>
  <c r="O275" i="58"/>
  <c r="O274" i="58"/>
  <c r="O273" i="58"/>
  <c r="O272" i="58"/>
  <c r="O271" i="58"/>
  <c r="O270" i="58"/>
  <c r="O269" i="58"/>
  <c r="O268" i="58"/>
  <c r="O267" i="58"/>
  <c r="O266" i="58"/>
  <c r="O265" i="58"/>
  <c r="O264" i="58"/>
  <c r="O263" i="58"/>
  <c r="O262" i="58"/>
  <c r="O261" i="58"/>
  <c r="O260" i="58"/>
  <c r="O259" i="58"/>
  <c r="O258" i="58"/>
  <c r="O257" i="58"/>
  <c r="O256" i="58"/>
  <c r="O255" i="58"/>
  <c r="O254" i="58"/>
  <c r="O253" i="58"/>
  <c r="O252" i="58"/>
  <c r="O251" i="58"/>
  <c r="O250" i="58"/>
  <c r="O249" i="58"/>
  <c r="O248" i="58"/>
  <c r="O247" i="58"/>
  <c r="O246" i="58"/>
  <c r="O245" i="58"/>
  <c r="O244" i="58"/>
  <c r="O243" i="58"/>
  <c r="O242" i="58"/>
  <c r="O241" i="58"/>
  <c r="O240" i="58"/>
  <c r="O239" i="58"/>
  <c r="O238" i="58"/>
  <c r="O237" i="58"/>
  <c r="O236" i="58"/>
  <c r="O235" i="58"/>
  <c r="O234" i="58"/>
  <c r="O233" i="58"/>
  <c r="O232" i="58"/>
  <c r="O231" i="58"/>
  <c r="O230" i="58"/>
  <c r="O229" i="58"/>
  <c r="O228" i="58"/>
  <c r="O227" i="58"/>
  <c r="O226" i="58"/>
  <c r="O225" i="58"/>
  <c r="O224" i="58"/>
  <c r="O223" i="58"/>
  <c r="O222" i="58"/>
  <c r="O221" i="58"/>
  <c r="O220" i="58"/>
  <c r="O219" i="58"/>
  <c r="O218" i="58"/>
  <c r="O217" i="58"/>
  <c r="O216" i="58"/>
  <c r="O215" i="58"/>
  <c r="O214" i="58"/>
  <c r="O213" i="58"/>
  <c r="O212" i="58"/>
  <c r="O211" i="58"/>
  <c r="O210" i="58"/>
  <c r="O209" i="58"/>
  <c r="O208" i="58"/>
  <c r="O207" i="58"/>
  <c r="O206" i="58"/>
  <c r="O205" i="58"/>
  <c r="O204" i="58"/>
  <c r="O203" i="58"/>
  <c r="O202" i="58"/>
  <c r="O201" i="58"/>
  <c r="O200" i="58"/>
  <c r="O199" i="58"/>
  <c r="O198" i="58"/>
  <c r="O197" i="58"/>
  <c r="O196" i="58"/>
  <c r="O195" i="58"/>
  <c r="O194" i="58"/>
  <c r="O193" i="58"/>
  <c r="O192" i="58"/>
  <c r="O191" i="58"/>
  <c r="O190" i="58"/>
  <c r="O189" i="58"/>
  <c r="O188" i="58"/>
  <c r="O187" i="58"/>
  <c r="O186" i="58"/>
  <c r="O185" i="58"/>
  <c r="O184" i="58"/>
  <c r="O183" i="58"/>
  <c r="O182" i="58"/>
  <c r="O181" i="58"/>
  <c r="O180" i="58"/>
  <c r="O179" i="58"/>
  <c r="O178" i="58"/>
  <c r="O177" i="58"/>
  <c r="O176" i="58"/>
  <c r="O175" i="58"/>
  <c r="O174" i="58"/>
  <c r="O173" i="58"/>
  <c r="O172" i="58"/>
  <c r="O171" i="58"/>
  <c r="O170" i="58"/>
  <c r="O169" i="58"/>
  <c r="O168" i="58"/>
  <c r="O167" i="58"/>
  <c r="O166" i="58"/>
  <c r="O165" i="58"/>
  <c r="O164" i="58"/>
  <c r="O163" i="58"/>
  <c r="O162" i="58"/>
  <c r="O161" i="58"/>
  <c r="O160" i="58"/>
  <c r="O159" i="58"/>
  <c r="O158" i="58"/>
  <c r="O157" i="58"/>
  <c r="O156" i="58"/>
  <c r="O155" i="58"/>
  <c r="O154" i="58"/>
  <c r="O153" i="58"/>
  <c r="O152" i="58"/>
  <c r="O151" i="58"/>
  <c r="O150" i="58"/>
  <c r="O149" i="58"/>
  <c r="O148" i="58"/>
  <c r="O147" i="58"/>
  <c r="O146" i="58"/>
  <c r="O145" i="58"/>
  <c r="O144" i="58"/>
  <c r="O143" i="58"/>
  <c r="O142" i="58"/>
  <c r="O141" i="58"/>
  <c r="O140" i="58"/>
  <c r="O139" i="58"/>
  <c r="O138" i="58"/>
  <c r="O137" i="58"/>
  <c r="O136" i="58"/>
  <c r="O135" i="58"/>
  <c r="O134" i="58"/>
  <c r="O133" i="58"/>
  <c r="O132" i="58"/>
  <c r="O131" i="58"/>
  <c r="O130" i="58"/>
  <c r="O129" i="58"/>
  <c r="O128" i="58"/>
  <c r="O127" i="58"/>
  <c r="O126" i="58"/>
  <c r="O125" i="58"/>
  <c r="O124" i="58"/>
  <c r="O123" i="58"/>
  <c r="O122" i="58"/>
  <c r="O121" i="58"/>
  <c r="O120" i="58"/>
  <c r="O119" i="58"/>
  <c r="O118" i="58"/>
  <c r="O117" i="58"/>
  <c r="O116" i="58"/>
  <c r="O115" i="58"/>
  <c r="O114" i="58"/>
  <c r="O113" i="58"/>
  <c r="O112" i="58"/>
  <c r="O111" i="58"/>
  <c r="O110" i="58"/>
  <c r="O109" i="58"/>
  <c r="O108" i="58"/>
  <c r="O107" i="58"/>
  <c r="O106" i="58"/>
  <c r="O105" i="58"/>
  <c r="O104" i="58"/>
  <c r="O103" i="58"/>
  <c r="O102" i="58"/>
  <c r="O101" i="58"/>
  <c r="O100" i="58"/>
  <c r="O99" i="58"/>
  <c r="O98" i="58"/>
  <c r="O97" i="58"/>
  <c r="O96" i="58"/>
  <c r="O95" i="58"/>
  <c r="O94" i="58"/>
  <c r="O93" i="58"/>
  <c r="O92" i="58"/>
  <c r="O91" i="58"/>
  <c r="O90" i="58"/>
  <c r="O89" i="58"/>
  <c r="O88" i="58"/>
  <c r="O87" i="58"/>
  <c r="O86" i="58"/>
  <c r="O85" i="58"/>
  <c r="O84" i="58"/>
  <c r="O83" i="58"/>
  <c r="O82" i="58"/>
  <c r="O81" i="58"/>
  <c r="O80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5" i="58"/>
  <c r="O34" i="58"/>
  <c r="O33" i="58"/>
  <c r="O32" i="58"/>
  <c r="O28" i="58"/>
  <c r="O30" i="58"/>
  <c r="O29" i="58"/>
  <c r="O27" i="58"/>
  <c r="O26" i="58"/>
  <c r="T25" i="58"/>
  <c r="T20" i="58"/>
  <c r="AF22" i="58"/>
  <c r="O20" i="58"/>
  <c r="AQ14" i="58"/>
  <c r="F4" i="58"/>
  <c r="M18" i="58"/>
  <c r="AQ13" i="58"/>
  <c r="E419" i="58"/>
  <c r="AQ12" i="58"/>
  <c r="T418" i="58"/>
  <c r="E418" i="58"/>
  <c r="A418" i="58"/>
  <c r="E398" i="58"/>
  <c r="B63" i="58"/>
  <c r="A26" i="58"/>
  <c r="A27" i="58"/>
  <c r="A28" i="58"/>
  <c r="A29" i="58"/>
  <c r="A30" i="58"/>
  <c r="A31" i="58"/>
  <c r="A32" i="58"/>
  <c r="A33" i="58"/>
  <c r="A34" i="58"/>
  <c r="A35" i="58"/>
  <c r="B36" i="58"/>
  <c r="A36" i="58"/>
  <c r="B37" i="58"/>
  <c r="A37" i="58"/>
  <c r="B38" i="58"/>
  <c r="A38" i="58"/>
  <c r="B39" i="58"/>
  <c r="A39" i="58"/>
  <c r="B40" i="58"/>
  <c r="A40" i="58"/>
  <c r="B41" i="58"/>
  <c r="A41" i="58"/>
  <c r="B42" i="58"/>
  <c r="A42" i="58"/>
  <c r="B43" i="58"/>
  <c r="A43" i="58"/>
  <c r="B44" i="58"/>
  <c r="A44" i="58"/>
  <c r="B45" i="58"/>
  <c r="A45" i="58"/>
  <c r="B46" i="58"/>
  <c r="A46" i="58"/>
  <c r="B47" i="58"/>
  <c r="A47" i="58"/>
  <c r="B48" i="58"/>
  <c r="A48" i="58"/>
  <c r="B49" i="58"/>
  <c r="A49" i="58"/>
  <c r="B50" i="58"/>
  <c r="A50" i="58"/>
  <c r="B51" i="58"/>
  <c r="A51" i="58"/>
  <c r="B52" i="58"/>
  <c r="A52" i="58"/>
  <c r="B53" i="58"/>
  <c r="A53" i="58"/>
  <c r="B54" i="58"/>
  <c r="A54" i="58"/>
  <c r="B55" i="58"/>
  <c r="A55" i="58"/>
  <c r="B56" i="58"/>
  <c r="A56" i="58"/>
  <c r="B57" i="58"/>
  <c r="A57" i="58"/>
  <c r="B58" i="58"/>
  <c r="A58" i="58"/>
  <c r="B59" i="58"/>
  <c r="A59" i="58"/>
  <c r="B60" i="58"/>
  <c r="A60" i="58"/>
  <c r="B61" i="58"/>
  <c r="A61" i="58"/>
  <c r="B62" i="58"/>
  <c r="A62" i="58"/>
  <c r="A63" i="58"/>
  <c r="B64" i="58"/>
  <c r="A64" i="58"/>
  <c r="B65" i="58"/>
  <c r="A65" i="58"/>
  <c r="B66" i="58"/>
  <c r="A66" i="58"/>
  <c r="B67" i="58"/>
  <c r="A67" i="58"/>
  <c r="B68" i="58"/>
  <c r="A68" i="58"/>
  <c r="B69" i="58"/>
  <c r="A69" i="58"/>
  <c r="B70" i="58"/>
  <c r="A70" i="58"/>
  <c r="B71" i="58"/>
  <c r="A71" i="58"/>
  <c r="B72" i="58"/>
  <c r="A72" i="58"/>
  <c r="B73" i="58"/>
  <c r="A73" i="58"/>
  <c r="B74" i="58"/>
  <c r="A74" i="58"/>
  <c r="B75" i="58"/>
  <c r="A75" i="58"/>
  <c r="B76" i="58"/>
  <c r="A76" i="58"/>
  <c r="B77" i="58"/>
  <c r="A77" i="58"/>
  <c r="B78" i="58"/>
  <c r="A78" i="58"/>
  <c r="B79" i="58"/>
  <c r="A79" i="58"/>
  <c r="B80" i="58"/>
  <c r="A80" i="58"/>
  <c r="B81" i="58"/>
  <c r="A81" i="58"/>
  <c r="B82" i="58"/>
  <c r="A82" i="58"/>
  <c r="B83" i="58"/>
  <c r="A83" i="58"/>
  <c r="B84" i="58"/>
  <c r="A84" i="58"/>
  <c r="B85" i="58"/>
  <c r="A85" i="58"/>
  <c r="B86" i="58"/>
  <c r="A86" i="58"/>
  <c r="B87" i="58"/>
  <c r="A87" i="58"/>
  <c r="B88" i="58"/>
  <c r="A88" i="58"/>
  <c r="B89" i="58"/>
  <c r="A89" i="58"/>
  <c r="B90" i="58"/>
  <c r="A90" i="58"/>
  <c r="B91" i="58"/>
  <c r="A91" i="58"/>
  <c r="B92" i="58"/>
  <c r="A92" i="58"/>
  <c r="B93" i="58"/>
  <c r="A93" i="58"/>
  <c r="B94" i="58"/>
  <c r="A94" i="58"/>
  <c r="B95" i="58"/>
  <c r="A95" i="58"/>
  <c r="B96" i="58"/>
  <c r="A96" i="58"/>
  <c r="B97" i="58"/>
  <c r="A97" i="58"/>
  <c r="B98" i="58"/>
  <c r="A98" i="58"/>
  <c r="B99" i="58"/>
  <c r="A99" i="58"/>
  <c r="B100" i="58"/>
  <c r="A100" i="58"/>
  <c r="B101" i="58"/>
  <c r="A101" i="58"/>
  <c r="B102" i="58"/>
  <c r="A102" i="58"/>
  <c r="B103" i="58"/>
  <c r="A103" i="58"/>
  <c r="B104" i="58"/>
  <c r="A104" i="58"/>
  <c r="B105" i="58"/>
  <c r="A105" i="58"/>
  <c r="B106" i="58"/>
  <c r="A106" i="58"/>
  <c r="B107" i="58"/>
  <c r="A107" i="58"/>
  <c r="B108" i="58"/>
  <c r="A108" i="58"/>
  <c r="B109" i="58"/>
  <c r="A109" i="58"/>
  <c r="B110" i="58"/>
  <c r="A110" i="58"/>
  <c r="B111" i="58"/>
  <c r="A111" i="58"/>
  <c r="B112" i="58"/>
  <c r="A112" i="58"/>
  <c r="B113" i="58"/>
  <c r="A113" i="58"/>
  <c r="B114" i="58"/>
  <c r="A114" i="58"/>
  <c r="B115" i="58"/>
  <c r="A115" i="58"/>
  <c r="B116" i="58"/>
  <c r="A116" i="58"/>
  <c r="B117" i="58"/>
  <c r="A117" i="58"/>
  <c r="B118" i="58"/>
  <c r="A118" i="58"/>
  <c r="B119" i="58"/>
  <c r="A119" i="58"/>
  <c r="B120" i="58"/>
  <c r="A120" i="58"/>
  <c r="B121" i="58"/>
  <c r="A121" i="58"/>
  <c r="B122" i="58"/>
  <c r="A122" i="58"/>
  <c r="B123" i="58"/>
  <c r="A123" i="58"/>
  <c r="B124" i="58"/>
  <c r="A124" i="58"/>
  <c r="B125" i="58"/>
  <c r="A125" i="58"/>
  <c r="B126" i="58"/>
  <c r="A126" i="58"/>
  <c r="B127" i="58"/>
  <c r="A127" i="58"/>
  <c r="B128" i="58"/>
  <c r="A128" i="58"/>
  <c r="B129" i="58"/>
  <c r="A129" i="58"/>
  <c r="B130" i="58"/>
  <c r="A130" i="58"/>
  <c r="B131" i="58"/>
  <c r="A131" i="58"/>
  <c r="B132" i="58"/>
  <c r="A132" i="58"/>
  <c r="B133" i="58"/>
  <c r="A133" i="58"/>
  <c r="B134" i="58"/>
  <c r="A134" i="58"/>
  <c r="B135" i="58"/>
  <c r="A135" i="58"/>
  <c r="B136" i="58"/>
  <c r="A136" i="58"/>
  <c r="B137" i="58"/>
  <c r="A137" i="58"/>
  <c r="B138" i="58"/>
  <c r="A138" i="58"/>
  <c r="B139" i="58"/>
  <c r="A139" i="58"/>
  <c r="B140" i="58"/>
  <c r="A140" i="58"/>
  <c r="B141" i="58"/>
  <c r="A141" i="58"/>
  <c r="B142" i="58"/>
  <c r="A142" i="58"/>
  <c r="B143" i="58"/>
  <c r="A143" i="58"/>
  <c r="B144" i="58"/>
  <c r="A144" i="58"/>
  <c r="B145" i="58"/>
  <c r="A145" i="58"/>
  <c r="B146" i="58"/>
  <c r="A146" i="58"/>
  <c r="B147" i="58"/>
  <c r="A147" i="58"/>
  <c r="B148" i="58"/>
  <c r="A148" i="58"/>
  <c r="B149" i="58"/>
  <c r="A149" i="58"/>
  <c r="B150" i="58"/>
  <c r="A150" i="58"/>
  <c r="B151" i="58"/>
  <c r="A151" i="58"/>
  <c r="B152" i="58"/>
  <c r="A152" i="58"/>
  <c r="B153" i="58"/>
  <c r="A153" i="58"/>
  <c r="B154" i="58"/>
  <c r="A154" i="58"/>
  <c r="B155" i="58"/>
  <c r="A155" i="58"/>
  <c r="B156" i="58"/>
  <c r="A156" i="58"/>
  <c r="B157" i="58"/>
  <c r="A157" i="58"/>
  <c r="B158" i="58"/>
  <c r="A158" i="58"/>
  <c r="B159" i="58"/>
  <c r="A159" i="58"/>
  <c r="B160" i="58"/>
  <c r="A160" i="58"/>
  <c r="B161" i="58"/>
  <c r="A161" i="58"/>
  <c r="B162" i="58"/>
  <c r="A162" i="58"/>
  <c r="B163" i="58"/>
  <c r="A163" i="58"/>
  <c r="B164" i="58"/>
  <c r="A164" i="58"/>
  <c r="B165" i="58"/>
  <c r="A165" i="58"/>
  <c r="B166" i="58"/>
  <c r="A166" i="58"/>
  <c r="B167" i="58"/>
  <c r="A167" i="58"/>
  <c r="B168" i="58"/>
  <c r="A168" i="58"/>
  <c r="B169" i="58"/>
  <c r="A169" i="58"/>
  <c r="B170" i="58"/>
  <c r="A170" i="58"/>
  <c r="B171" i="58"/>
  <c r="A171" i="58"/>
  <c r="B172" i="58"/>
  <c r="A172" i="58"/>
  <c r="B173" i="58"/>
  <c r="A173" i="58"/>
  <c r="B174" i="58"/>
  <c r="A174" i="58"/>
  <c r="B175" i="58"/>
  <c r="A175" i="58"/>
  <c r="B176" i="58"/>
  <c r="A176" i="58"/>
  <c r="B177" i="58"/>
  <c r="A177" i="58"/>
  <c r="B178" i="58"/>
  <c r="A178" i="58"/>
  <c r="B179" i="58"/>
  <c r="A179" i="58"/>
  <c r="B180" i="58"/>
  <c r="A180" i="58"/>
  <c r="B181" i="58"/>
  <c r="A181" i="58"/>
  <c r="B182" i="58"/>
  <c r="A182" i="58"/>
  <c r="B183" i="58"/>
  <c r="A183" i="58"/>
  <c r="B184" i="58"/>
  <c r="A184" i="58"/>
  <c r="B185" i="58"/>
  <c r="A185" i="58"/>
  <c r="B186" i="58"/>
  <c r="A186" i="58"/>
  <c r="B187" i="58"/>
  <c r="A187" i="58"/>
  <c r="B188" i="58"/>
  <c r="A188" i="58"/>
  <c r="B189" i="58"/>
  <c r="A189" i="58"/>
  <c r="B190" i="58"/>
  <c r="A190" i="58"/>
  <c r="B191" i="58"/>
  <c r="A191" i="58"/>
  <c r="B192" i="58"/>
  <c r="A192" i="58"/>
  <c r="B193" i="58"/>
  <c r="A193" i="58"/>
  <c r="B194" i="58"/>
  <c r="A194" i="58"/>
  <c r="B195" i="58"/>
  <c r="A195" i="58"/>
  <c r="B196" i="58"/>
  <c r="A196" i="58"/>
  <c r="B197" i="58"/>
  <c r="A197" i="58"/>
  <c r="B198" i="58"/>
  <c r="A198" i="58"/>
  <c r="B199" i="58"/>
  <c r="A199" i="58"/>
  <c r="B200" i="58"/>
  <c r="A200" i="58"/>
  <c r="B201" i="58"/>
  <c r="A201" i="58"/>
  <c r="B202" i="58"/>
  <c r="A202" i="58"/>
  <c r="B203" i="58"/>
  <c r="A203" i="58"/>
  <c r="B204" i="58"/>
  <c r="A204" i="58"/>
  <c r="B205" i="58"/>
  <c r="A205" i="58"/>
  <c r="B206" i="58"/>
  <c r="A206" i="58"/>
  <c r="B207" i="58"/>
  <c r="A207" i="58"/>
  <c r="B208" i="58"/>
  <c r="A208" i="58"/>
  <c r="B209" i="58"/>
  <c r="A209" i="58"/>
  <c r="B210" i="58"/>
  <c r="A210" i="58"/>
  <c r="B211" i="58"/>
  <c r="A211" i="58"/>
  <c r="B212" i="58"/>
  <c r="A212" i="58"/>
  <c r="B213" i="58"/>
  <c r="A213" i="58"/>
  <c r="B214" i="58"/>
  <c r="A214" i="58"/>
  <c r="B215" i="58"/>
  <c r="A215" i="58"/>
  <c r="B216" i="58"/>
  <c r="A216" i="58"/>
  <c r="B217" i="58"/>
  <c r="A217" i="58"/>
  <c r="B218" i="58"/>
  <c r="A218" i="58"/>
  <c r="B219" i="58"/>
  <c r="A219" i="58"/>
  <c r="B220" i="58"/>
  <c r="A220" i="58"/>
  <c r="B221" i="58"/>
  <c r="A221" i="58"/>
  <c r="B222" i="58"/>
  <c r="A222" i="58"/>
  <c r="B223" i="58"/>
  <c r="A223" i="58"/>
  <c r="B224" i="58"/>
  <c r="A224" i="58"/>
  <c r="B225" i="58"/>
  <c r="A225" i="58"/>
  <c r="B226" i="58"/>
  <c r="A226" i="58"/>
  <c r="B227" i="58"/>
  <c r="A227" i="58"/>
  <c r="B228" i="58"/>
  <c r="A228" i="58"/>
  <c r="B229" i="58"/>
  <c r="A229" i="58"/>
  <c r="B230" i="58"/>
  <c r="A230" i="58"/>
  <c r="B231" i="58"/>
  <c r="A231" i="58"/>
  <c r="B232" i="58"/>
  <c r="A232" i="58"/>
  <c r="B233" i="58"/>
  <c r="A233" i="58"/>
  <c r="B234" i="58"/>
  <c r="A234" i="58"/>
  <c r="B235" i="58"/>
  <c r="A235" i="58"/>
  <c r="B236" i="58"/>
  <c r="A236" i="58"/>
  <c r="B237" i="58"/>
  <c r="A237" i="58"/>
  <c r="B238" i="58"/>
  <c r="A238" i="58"/>
  <c r="B239" i="58"/>
  <c r="A239" i="58"/>
  <c r="B240" i="58"/>
  <c r="A240" i="58"/>
  <c r="B241" i="58"/>
  <c r="A241" i="58"/>
  <c r="B242" i="58"/>
  <c r="A242" i="58"/>
  <c r="B243" i="58"/>
  <c r="A243" i="58"/>
  <c r="B244" i="58"/>
  <c r="A244" i="58"/>
  <c r="B245" i="58"/>
  <c r="A245" i="58"/>
  <c r="B246" i="58"/>
  <c r="A246" i="58"/>
  <c r="B247" i="58"/>
  <c r="A247" i="58"/>
  <c r="B248" i="58"/>
  <c r="A248" i="58"/>
  <c r="B249" i="58"/>
  <c r="A249" i="58"/>
  <c r="B250" i="58"/>
  <c r="A250" i="58"/>
  <c r="B251" i="58"/>
  <c r="A251" i="58"/>
  <c r="B252" i="58"/>
  <c r="A252" i="58"/>
  <c r="B253" i="58"/>
  <c r="A253" i="58"/>
  <c r="B254" i="58"/>
  <c r="A254" i="58"/>
  <c r="B255" i="58"/>
  <c r="A255" i="58"/>
  <c r="B256" i="58"/>
  <c r="A256" i="58"/>
  <c r="B257" i="58"/>
  <c r="A257" i="58"/>
  <c r="B258" i="58"/>
  <c r="A258" i="58"/>
  <c r="B259" i="58"/>
  <c r="A259" i="58"/>
  <c r="B260" i="58"/>
  <c r="A260" i="58"/>
  <c r="B261" i="58"/>
  <c r="A261" i="58"/>
  <c r="B262" i="58"/>
  <c r="A262" i="58"/>
  <c r="B263" i="58"/>
  <c r="A263" i="58"/>
  <c r="B264" i="58"/>
  <c r="A264" i="58"/>
  <c r="B265" i="58"/>
  <c r="A265" i="58"/>
  <c r="B266" i="58"/>
  <c r="A266" i="58"/>
  <c r="B267" i="58"/>
  <c r="A267" i="58"/>
  <c r="B268" i="58"/>
  <c r="A268" i="58"/>
  <c r="B269" i="58"/>
  <c r="A269" i="58"/>
  <c r="B270" i="58"/>
  <c r="A270" i="58"/>
  <c r="B271" i="58"/>
  <c r="A271" i="58"/>
  <c r="B272" i="58"/>
  <c r="A272" i="58"/>
  <c r="B273" i="58"/>
  <c r="A273" i="58"/>
  <c r="B274" i="58"/>
  <c r="A274" i="58"/>
  <c r="B275" i="58"/>
  <c r="A275" i="58"/>
  <c r="B276" i="58"/>
  <c r="A276" i="58"/>
  <c r="B277" i="58"/>
  <c r="A277" i="58"/>
  <c r="B278" i="58"/>
  <c r="A278" i="58"/>
  <c r="B279" i="58"/>
  <c r="A279" i="58"/>
  <c r="B280" i="58"/>
  <c r="A280" i="58"/>
  <c r="B281" i="58"/>
  <c r="A281" i="58"/>
  <c r="B282" i="58"/>
  <c r="A282" i="58"/>
  <c r="B283" i="58"/>
  <c r="A283" i="58"/>
  <c r="B284" i="58"/>
  <c r="A284" i="58"/>
  <c r="B285" i="58"/>
  <c r="A285" i="58"/>
  <c r="B286" i="58"/>
  <c r="A286" i="58"/>
  <c r="B287" i="58"/>
  <c r="A287" i="58"/>
  <c r="B288" i="58"/>
  <c r="A288" i="58"/>
  <c r="B289" i="58"/>
  <c r="A289" i="58"/>
  <c r="B290" i="58"/>
  <c r="A290" i="58"/>
  <c r="B291" i="58"/>
  <c r="A291" i="58"/>
  <c r="B292" i="58"/>
  <c r="A292" i="58"/>
  <c r="B293" i="58"/>
  <c r="A293" i="58"/>
  <c r="B294" i="58"/>
  <c r="A294" i="58"/>
  <c r="B295" i="58"/>
  <c r="A295" i="58"/>
  <c r="B296" i="58"/>
  <c r="A296" i="58"/>
  <c r="B310" i="58"/>
  <c r="A310" i="58"/>
  <c r="B324" i="58"/>
  <c r="A324" i="58"/>
  <c r="B325" i="58"/>
  <c r="A325" i="58"/>
  <c r="B326" i="58"/>
  <c r="A326" i="58"/>
  <c r="B327" i="58"/>
  <c r="A327" i="58"/>
  <c r="B328" i="58"/>
  <c r="A328" i="58"/>
  <c r="B329" i="58"/>
  <c r="A329" i="58"/>
  <c r="B330" i="58"/>
  <c r="A330" i="58"/>
  <c r="B331" i="58"/>
  <c r="A331" i="58"/>
  <c r="B332" i="58"/>
  <c r="A332" i="58"/>
  <c r="B333" i="58"/>
  <c r="A333" i="58"/>
  <c r="B334" i="58"/>
  <c r="A334" i="58"/>
  <c r="B335" i="58"/>
  <c r="A335" i="58"/>
  <c r="B336" i="58"/>
  <c r="A336" i="58"/>
  <c r="B337" i="58"/>
  <c r="A337" i="58"/>
  <c r="B338" i="58"/>
  <c r="A338" i="58"/>
  <c r="B339" i="58"/>
  <c r="A339" i="58"/>
  <c r="B340" i="58"/>
  <c r="A340" i="58"/>
  <c r="B341" i="58"/>
  <c r="A341" i="58"/>
  <c r="B342" i="58"/>
  <c r="A342" i="58"/>
  <c r="B343" i="58"/>
  <c r="A343" i="58"/>
  <c r="B344" i="58"/>
  <c r="A344" i="58"/>
  <c r="B345" i="58"/>
  <c r="A345" i="58"/>
  <c r="B346" i="58"/>
  <c r="A346" i="58"/>
  <c r="B347" i="58"/>
  <c r="A347" i="58"/>
  <c r="B348" i="58"/>
  <c r="A348" i="58"/>
  <c r="B349" i="58"/>
  <c r="A349" i="58"/>
  <c r="B350" i="58"/>
  <c r="A350" i="58"/>
  <c r="B351" i="58"/>
  <c r="A351" i="58"/>
  <c r="B352" i="58"/>
  <c r="A352" i="58"/>
  <c r="B353" i="58"/>
  <c r="A353" i="58"/>
  <c r="B354" i="58"/>
  <c r="A354" i="58"/>
  <c r="B355" i="58"/>
  <c r="A355" i="58"/>
  <c r="B356" i="58"/>
  <c r="A356" i="58"/>
  <c r="B357" i="58"/>
  <c r="A357" i="58"/>
  <c r="B358" i="58"/>
  <c r="A358" i="58"/>
  <c r="B359" i="58"/>
  <c r="A359" i="58"/>
  <c r="B360" i="58"/>
  <c r="A360" i="58"/>
  <c r="B361" i="58"/>
  <c r="A361" i="58"/>
  <c r="B362" i="58"/>
  <c r="A362" i="58"/>
  <c r="B363" i="58"/>
  <c r="A363" i="58"/>
  <c r="B364" i="58"/>
  <c r="A364" i="58"/>
  <c r="B365" i="58"/>
  <c r="A365" i="58"/>
  <c r="B366" i="58"/>
  <c r="A366" i="58"/>
  <c r="B367" i="58"/>
  <c r="A367" i="58"/>
  <c r="B368" i="58"/>
  <c r="A368" i="58"/>
  <c r="B369" i="58"/>
  <c r="A369" i="58"/>
  <c r="B370" i="58"/>
  <c r="A370" i="58"/>
  <c r="B371" i="58"/>
  <c r="A371" i="58"/>
  <c r="B372" i="58"/>
  <c r="A372" i="58"/>
  <c r="B373" i="58"/>
  <c r="A373" i="58"/>
  <c r="B374" i="58"/>
  <c r="A374" i="58"/>
  <c r="B375" i="58"/>
  <c r="A375" i="58"/>
  <c r="B376" i="58"/>
  <c r="A376" i="58"/>
  <c r="B377" i="58"/>
  <c r="A377" i="58"/>
  <c r="B378" i="58"/>
  <c r="A378" i="58"/>
  <c r="B379" i="58"/>
  <c r="A379" i="58"/>
  <c r="B380" i="58"/>
  <c r="A380" i="58"/>
  <c r="B381" i="58"/>
  <c r="A381" i="58"/>
  <c r="B382" i="58"/>
  <c r="A382" i="58"/>
  <c r="B383" i="58"/>
  <c r="A383" i="58"/>
  <c r="B384" i="58"/>
  <c r="A384" i="58"/>
  <c r="B385" i="58"/>
  <c r="A385" i="58"/>
  <c r="B386" i="58"/>
  <c r="A386" i="58"/>
  <c r="B387" i="58"/>
  <c r="A387" i="58"/>
  <c r="B388" i="58"/>
  <c r="A388" i="58"/>
  <c r="B389" i="58"/>
  <c r="A389" i="58"/>
  <c r="B390" i="58"/>
  <c r="A390" i="58"/>
  <c r="B391" i="58"/>
  <c r="A391" i="58"/>
  <c r="B392" i="58"/>
  <c r="A392" i="58"/>
  <c r="B393" i="58"/>
  <c r="A393" i="58"/>
  <c r="B394" i="58"/>
  <c r="A394" i="58"/>
  <c r="B395" i="58"/>
  <c r="A395" i="58"/>
  <c r="A396" i="58"/>
  <c r="A397" i="58"/>
  <c r="A398" i="58"/>
  <c r="A399" i="58"/>
  <c r="A400" i="58"/>
  <c r="A401" i="58"/>
  <c r="A402" i="58"/>
  <c r="A403" i="58"/>
  <c r="A404" i="58"/>
  <c r="A405" i="58"/>
  <c r="A406" i="58"/>
  <c r="A407" i="58"/>
  <c r="A408" i="58"/>
  <c r="A409" i="58"/>
  <c r="A410" i="58"/>
  <c r="A411" i="58"/>
  <c r="A412" i="58"/>
  <c r="A413" i="58"/>
  <c r="A414" i="58"/>
  <c r="A415" i="58"/>
  <c r="A416" i="58"/>
  <c r="A417" i="58"/>
  <c r="A419" i="58"/>
  <c r="A420" i="58"/>
  <c r="A421" i="58"/>
  <c r="A422" i="58"/>
  <c r="A423" i="58"/>
  <c r="A424" i="58"/>
  <c r="A425" i="58"/>
  <c r="A426" i="58"/>
  <c r="A427" i="58"/>
  <c r="A428" i="58"/>
  <c r="A431" i="58"/>
  <c r="A432" i="58"/>
  <c r="A433" i="58"/>
  <c r="A434" i="58"/>
  <c r="A435" i="58"/>
  <c r="A436" i="58"/>
  <c r="A437" i="58"/>
  <c r="A25" i="58"/>
  <c r="T28" i="58"/>
  <c r="T29" i="58"/>
  <c r="T437" i="58"/>
  <c r="T435" i="58"/>
  <c r="T433" i="58"/>
  <c r="T431" i="58"/>
  <c r="T427" i="58"/>
  <c r="T425" i="58"/>
  <c r="T424" i="58"/>
  <c r="T423" i="58"/>
  <c r="T422" i="58"/>
  <c r="T421" i="58"/>
  <c r="T420" i="58"/>
  <c r="T419" i="58"/>
  <c r="T417" i="58"/>
  <c r="T416" i="58"/>
  <c r="T415" i="58"/>
  <c r="T414" i="58"/>
  <c r="T413" i="58"/>
  <c r="T412" i="58"/>
  <c r="T411" i="58"/>
  <c r="T410" i="58"/>
  <c r="T409" i="58"/>
  <c r="T408" i="58"/>
  <c r="T407" i="58"/>
  <c r="T406" i="58"/>
  <c r="T405" i="58"/>
  <c r="T404" i="58"/>
  <c r="T403" i="58"/>
  <c r="T402" i="58"/>
  <c r="T401" i="58"/>
  <c r="T400" i="58"/>
  <c r="T399" i="58"/>
  <c r="T398" i="58"/>
  <c r="T397" i="58"/>
  <c r="T396" i="58"/>
  <c r="T395" i="58"/>
  <c r="T394" i="58"/>
  <c r="T393" i="58"/>
  <c r="T392" i="58"/>
  <c r="T391" i="58"/>
  <c r="T390" i="58"/>
  <c r="T389" i="58"/>
  <c r="T388" i="58"/>
  <c r="T387" i="58"/>
  <c r="T386" i="58"/>
  <c r="T385" i="58"/>
  <c r="T384" i="58"/>
  <c r="T383" i="58"/>
  <c r="T382" i="58"/>
  <c r="T381" i="58"/>
  <c r="T380" i="58"/>
  <c r="T379" i="58"/>
  <c r="T378" i="58"/>
  <c r="T377" i="58"/>
  <c r="T376" i="58"/>
  <c r="T375" i="58"/>
  <c r="T374" i="58"/>
  <c r="T373" i="58"/>
  <c r="T372" i="58"/>
  <c r="T371" i="58"/>
  <c r="T370" i="58"/>
  <c r="T369" i="58"/>
  <c r="T368" i="58"/>
  <c r="T367" i="58"/>
  <c r="T366" i="58"/>
  <c r="T365" i="58"/>
  <c r="T364" i="58"/>
  <c r="T363" i="58"/>
  <c r="T362" i="58"/>
  <c r="T361" i="58"/>
  <c r="T360" i="58"/>
  <c r="T359" i="58"/>
  <c r="T358" i="58"/>
  <c r="T357" i="58"/>
  <c r="T356" i="58"/>
  <c r="T355" i="58"/>
  <c r="T354" i="58"/>
  <c r="T353" i="58"/>
  <c r="T352" i="58"/>
  <c r="T351" i="58"/>
  <c r="T350" i="58"/>
  <c r="T349" i="58"/>
  <c r="T348" i="58"/>
  <c r="T347" i="58"/>
  <c r="T346" i="58"/>
  <c r="T345" i="58"/>
  <c r="T344" i="58"/>
  <c r="T343" i="58"/>
  <c r="T342" i="58"/>
  <c r="T341" i="58"/>
  <c r="T340" i="58"/>
  <c r="T339" i="58"/>
  <c r="T338" i="58"/>
  <c r="T337" i="58"/>
  <c r="T336" i="58"/>
  <c r="T335" i="58"/>
  <c r="T334" i="58"/>
  <c r="T333" i="58"/>
  <c r="T332" i="58"/>
  <c r="T331" i="58"/>
  <c r="T330" i="58"/>
  <c r="T329" i="58"/>
  <c r="T328" i="58"/>
  <c r="T327" i="58"/>
  <c r="T326" i="58"/>
  <c r="T325" i="58"/>
  <c r="T324" i="58"/>
  <c r="T323" i="58"/>
  <c r="T322" i="58"/>
  <c r="T321" i="58"/>
  <c r="T320" i="58"/>
  <c r="T319" i="58"/>
  <c r="T318" i="58"/>
  <c r="T317" i="58"/>
  <c r="T316" i="58"/>
  <c r="T315" i="58"/>
  <c r="T314" i="58"/>
  <c r="T313" i="58"/>
  <c r="T312" i="58"/>
  <c r="T311" i="58"/>
  <c r="T310" i="58"/>
  <c r="T309" i="58"/>
  <c r="T308" i="58"/>
  <c r="T307" i="58"/>
  <c r="T306" i="58"/>
  <c r="T305" i="58"/>
  <c r="T304" i="58"/>
  <c r="T303" i="58"/>
  <c r="T302" i="58"/>
  <c r="T301" i="58"/>
  <c r="T300" i="58"/>
  <c r="T299" i="58"/>
  <c r="T298" i="58"/>
  <c r="T297" i="58"/>
  <c r="T296" i="58"/>
  <c r="T295" i="58"/>
  <c r="T294" i="58"/>
  <c r="T293" i="58"/>
  <c r="T292" i="58"/>
  <c r="T291" i="58"/>
  <c r="T290" i="58"/>
  <c r="T289" i="58"/>
  <c r="T288" i="58"/>
  <c r="T287" i="58"/>
  <c r="T286" i="58"/>
  <c r="T285" i="58"/>
  <c r="T284" i="58"/>
  <c r="T283" i="58"/>
  <c r="T282" i="58"/>
  <c r="T281" i="58"/>
  <c r="T280" i="58"/>
  <c r="T279" i="58"/>
  <c r="T278" i="58"/>
  <c r="T277" i="58"/>
  <c r="T276" i="58"/>
  <c r="T275" i="58"/>
  <c r="T274" i="58"/>
  <c r="T273" i="58"/>
  <c r="T272" i="58"/>
  <c r="T271" i="58"/>
  <c r="T270" i="58"/>
  <c r="T269" i="58"/>
  <c r="T268" i="58"/>
  <c r="T267" i="58"/>
  <c r="T266" i="58"/>
  <c r="T265" i="58"/>
  <c r="T264" i="58"/>
  <c r="T263" i="58"/>
  <c r="T262" i="58"/>
  <c r="T261" i="58"/>
  <c r="T260" i="58"/>
  <c r="T259" i="58"/>
  <c r="T258" i="58"/>
  <c r="T257" i="58"/>
  <c r="T256" i="58"/>
  <c r="T255" i="58"/>
  <c r="T254" i="58"/>
  <c r="T253" i="58"/>
  <c r="T252" i="58"/>
  <c r="T251" i="58"/>
  <c r="T250" i="58"/>
  <c r="T249" i="58"/>
  <c r="T248" i="58"/>
  <c r="T247" i="58"/>
  <c r="T246" i="58"/>
  <c r="T245" i="58"/>
  <c r="T244" i="58"/>
  <c r="T243" i="58"/>
  <c r="T242" i="58"/>
  <c r="T241" i="58"/>
  <c r="T240" i="58"/>
  <c r="T239" i="58"/>
  <c r="T238" i="58"/>
  <c r="T237" i="58"/>
  <c r="T236" i="58"/>
  <c r="T235" i="58"/>
  <c r="T234" i="58"/>
  <c r="T233" i="58"/>
  <c r="T232" i="58"/>
  <c r="T231" i="58"/>
  <c r="T230" i="58"/>
  <c r="T229" i="58"/>
  <c r="T228" i="58"/>
  <c r="T227" i="58"/>
  <c r="T226" i="58"/>
  <c r="T225" i="58"/>
  <c r="T224" i="58"/>
  <c r="T223" i="58"/>
  <c r="T222" i="58"/>
  <c r="T221" i="58"/>
  <c r="T220" i="58"/>
  <c r="T219" i="58"/>
  <c r="T218" i="58"/>
  <c r="T217" i="58"/>
  <c r="T216" i="58"/>
  <c r="T215" i="58"/>
  <c r="T214" i="58"/>
  <c r="T213" i="58"/>
  <c r="T212" i="58"/>
  <c r="T211" i="58"/>
  <c r="T210" i="58"/>
  <c r="T209" i="58"/>
  <c r="T208" i="58"/>
  <c r="T207" i="58"/>
  <c r="T206" i="58"/>
  <c r="T205" i="58"/>
  <c r="T204" i="58"/>
  <c r="T203" i="58"/>
  <c r="T202" i="58"/>
  <c r="T201" i="58"/>
  <c r="T200" i="58"/>
  <c r="T199" i="58"/>
  <c r="T198" i="58"/>
  <c r="T197" i="58"/>
  <c r="T196" i="58"/>
  <c r="T195" i="58"/>
  <c r="T194" i="58"/>
  <c r="T193" i="58"/>
  <c r="T192" i="58"/>
  <c r="T191" i="58"/>
  <c r="T190" i="58"/>
  <c r="T189" i="58"/>
  <c r="T188" i="58"/>
  <c r="T187" i="58"/>
  <c r="T186" i="58"/>
  <c r="T185" i="58"/>
  <c r="T184" i="58"/>
  <c r="T183" i="58"/>
  <c r="T182" i="58"/>
  <c r="T181" i="58"/>
  <c r="T180" i="58"/>
  <c r="T179" i="58"/>
  <c r="T178" i="58"/>
  <c r="T177" i="58"/>
  <c r="T176" i="58"/>
  <c r="T175" i="58"/>
  <c r="T174" i="58"/>
  <c r="T173" i="58"/>
  <c r="T172" i="58"/>
  <c r="T171" i="58"/>
  <c r="T170" i="58"/>
  <c r="T169" i="58"/>
  <c r="T168" i="58"/>
  <c r="T167" i="58"/>
  <c r="T166" i="58"/>
  <c r="T165" i="58"/>
  <c r="T164" i="58"/>
  <c r="T163" i="58"/>
  <c r="T162" i="58"/>
  <c r="T161" i="58"/>
  <c r="T160" i="58"/>
  <c r="T159" i="58"/>
  <c r="T158" i="58"/>
  <c r="T157" i="58"/>
  <c r="T156" i="58"/>
  <c r="T155" i="58"/>
  <c r="T154" i="58"/>
  <c r="T153" i="58"/>
  <c r="T152" i="58"/>
  <c r="T151" i="58"/>
  <c r="T150" i="58"/>
  <c r="T149" i="58"/>
  <c r="T148" i="58"/>
  <c r="T147" i="58"/>
  <c r="T146" i="58"/>
  <c r="T145" i="58"/>
  <c r="T144" i="58"/>
  <c r="T143" i="58"/>
  <c r="T142" i="58"/>
  <c r="T141" i="58"/>
  <c r="T140" i="58"/>
  <c r="T139" i="58"/>
  <c r="T138" i="58"/>
  <c r="T137" i="58"/>
  <c r="T136" i="58"/>
  <c r="T135" i="58"/>
  <c r="T134" i="58"/>
  <c r="T133" i="58"/>
  <c r="T132" i="58"/>
  <c r="T131" i="58"/>
  <c r="T130" i="58"/>
  <c r="T129" i="58"/>
  <c r="T128" i="58"/>
  <c r="T127" i="58"/>
  <c r="T126" i="58"/>
  <c r="T125" i="58"/>
  <c r="T124" i="58"/>
  <c r="T123" i="58"/>
  <c r="T122" i="58"/>
  <c r="T121" i="58"/>
  <c r="T120" i="58"/>
  <c r="T119" i="58"/>
  <c r="T118" i="58"/>
  <c r="T117" i="58"/>
  <c r="T116" i="58"/>
  <c r="T115" i="58"/>
  <c r="T114" i="58"/>
  <c r="T113" i="58"/>
  <c r="T112" i="58"/>
  <c r="T111" i="58"/>
  <c r="T110" i="58"/>
  <c r="T109" i="58"/>
  <c r="T108" i="58"/>
  <c r="T107" i="58"/>
  <c r="T106" i="58"/>
  <c r="T105" i="58"/>
  <c r="T104" i="58"/>
  <c r="T103" i="58"/>
  <c r="T102" i="58"/>
  <c r="T101" i="58"/>
  <c r="T100" i="58"/>
  <c r="T99" i="58"/>
  <c r="T98" i="58"/>
  <c r="T97" i="58"/>
  <c r="T96" i="58"/>
  <c r="T95" i="58"/>
  <c r="T94" i="58"/>
  <c r="T93" i="58"/>
  <c r="T92" i="58"/>
  <c r="T91" i="58"/>
  <c r="T90" i="58"/>
  <c r="T89" i="58"/>
  <c r="T88" i="58"/>
  <c r="T87" i="58"/>
  <c r="T86" i="58"/>
  <c r="T85" i="58"/>
  <c r="T84" i="58"/>
  <c r="T83" i="58"/>
  <c r="T82" i="58"/>
  <c r="T81" i="58"/>
  <c r="T80" i="58"/>
  <c r="T79" i="58"/>
  <c r="T78" i="58"/>
  <c r="T77" i="58"/>
  <c r="T76" i="58"/>
  <c r="T75" i="58"/>
  <c r="T74" i="58"/>
  <c r="T73" i="58"/>
  <c r="T72" i="58"/>
  <c r="T71" i="58"/>
  <c r="T70" i="58"/>
  <c r="T69" i="58"/>
  <c r="T68" i="58"/>
  <c r="T67" i="58"/>
  <c r="T66" i="58"/>
  <c r="T65" i="58"/>
  <c r="T64" i="58"/>
  <c r="T63" i="58"/>
  <c r="T62" i="58"/>
  <c r="T61" i="58"/>
  <c r="T60" i="58"/>
  <c r="T59" i="58"/>
  <c r="T58" i="58"/>
  <c r="T57" i="58"/>
  <c r="T56" i="58"/>
  <c r="T55" i="58"/>
  <c r="T54" i="58"/>
  <c r="T53" i="58"/>
  <c r="T52" i="58"/>
  <c r="T51" i="58"/>
  <c r="T50" i="58"/>
  <c r="T49" i="58"/>
  <c r="T48" i="58"/>
  <c r="T47" i="58"/>
  <c r="T46" i="58"/>
  <c r="T45" i="58"/>
  <c r="T44" i="58"/>
  <c r="T43" i="58"/>
  <c r="T42" i="58"/>
  <c r="T41" i="58"/>
  <c r="T40" i="58"/>
  <c r="T39" i="58"/>
  <c r="T38" i="58"/>
  <c r="T37" i="58"/>
  <c r="T36" i="58"/>
  <c r="T35" i="58"/>
  <c r="T34" i="58"/>
  <c r="T33" i="58"/>
  <c r="T32" i="58"/>
  <c r="T30" i="58"/>
  <c r="T27" i="58"/>
  <c r="E425" i="58"/>
  <c r="E423" i="58"/>
  <c r="E424" i="58"/>
  <c r="E422" i="58"/>
  <c r="E421" i="58"/>
  <c r="E417" i="58"/>
  <c r="E415" i="58"/>
  <c r="E413" i="58"/>
  <c r="E412" i="58"/>
  <c r="E411" i="58"/>
  <c r="E410" i="58"/>
  <c r="E409" i="58"/>
  <c r="E405" i="58"/>
  <c r="E404" i="58"/>
  <c r="E403" i="58"/>
  <c r="E402" i="58"/>
  <c r="E401" i="58"/>
  <c r="E400" i="58"/>
  <c r="E395" i="58"/>
  <c r="E394" i="58"/>
  <c r="E393" i="58"/>
  <c r="E392" i="58"/>
  <c r="E391" i="58"/>
  <c r="E390" i="58"/>
  <c r="E389" i="58"/>
  <c r="E388" i="58"/>
  <c r="E387" i="58"/>
  <c r="E386" i="58"/>
  <c r="E385" i="58"/>
  <c r="E384" i="58"/>
  <c r="E383" i="58"/>
  <c r="E381" i="58"/>
  <c r="E380" i="58"/>
  <c r="E379" i="58"/>
  <c r="E378" i="58"/>
  <c r="E377" i="58"/>
  <c r="E376" i="58"/>
  <c r="E375" i="58"/>
  <c r="E374" i="58"/>
  <c r="E373" i="58"/>
  <c r="E372" i="58"/>
  <c r="E371" i="58"/>
  <c r="E370" i="58"/>
  <c r="E369" i="58"/>
  <c r="E366" i="58"/>
  <c r="E365" i="58"/>
  <c r="E364" i="58"/>
  <c r="E363" i="58"/>
  <c r="E362" i="58"/>
  <c r="E361" i="58"/>
  <c r="E360" i="58"/>
  <c r="E359" i="58"/>
  <c r="E358" i="58"/>
  <c r="E357" i="58"/>
  <c r="E356" i="58"/>
  <c r="E355" i="58"/>
  <c r="E354" i="58"/>
  <c r="E352" i="58"/>
  <c r="E351" i="58"/>
  <c r="E350" i="58"/>
  <c r="E349" i="58"/>
  <c r="E348" i="58"/>
  <c r="E347" i="58"/>
  <c r="E346" i="58"/>
  <c r="E345" i="58"/>
  <c r="E344" i="58"/>
  <c r="E343" i="58"/>
  <c r="E342" i="58"/>
  <c r="E341" i="58"/>
  <c r="E340" i="58"/>
  <c r="E338" i="58"/>
  <c r="E337" i="58"/>
  <c r="E336" i="58"/>
  <c r="E335" i="58"/>
  <c r="E334" i="58"/>
  <c r="E333" i="58"/>
  <c r="E332" i="58"/>
  <c r="E331" i="58"/>
  <c r="E330" i="58"/>
  <c r="E329" i="58"/>
  <c r="E328" i="58"/>
  <c r="E327" i="58"/>
  <c r="E326" i="58"/>
  <c r="E323" i="58"/>
  <c r="E322" i="58"/>
  <c r="E321" i="58"/>
  <c r="E320" i="58"/>
  <c r="E319" i="58"/>
  <c r="E318" i="58"/>
  <c r="E317" i="58"/>
  <c r="E316" i="58"/>
  <c r="E315" i="58"/>
  <c r="E314" i="58"/>
  <c r="E313" i="58"/>
  <c r="E312" i="58"/>
  <c r="E311" i="58"/>
  <c r="E309" i="58"/>
  <c r="E308" i="58"/>
  <c r="E307" i="58"/>
  <c r="E306" i="58"/>
  <c r="E305" i="58"/>
  <c r="E304" i="58"/>
  <c r="E303" i="58"/>
  <c r="E302" i="58"/>
  <c r="E301" i="58"/>
  <c r="E300" i="58"/>
  <c r="E299" i="58"/>
  <c r="E298" i="58"/>
  <c r="E297" i="58"/>
  <c r="E293" i="58"/>
  <c r="E292" i="58"/>
  <c r="E291" i="58"/>
  <c r="E290" i="58"/>
  <c r="E289" i="58"/>
  <c r="E288" i="58"/>
  <c r="E287" i="58"/>
  <c r="E286" i="58"/>
  <c r="E285" i="58"/>
  <c r="E284" i="58"/>
  <c r="E283" i="58"/>
  <c r="E282" i="58"/>
  <c r="E281" i="58"/>
  <c r="E279" i="58"/>
  <c r="E278" i="58"/>
  <c r="E277" i="58"/>
  <c r="E276" i="58"/>
  <c r="E275" i="58"/>
  <c r="E274" i="58"/>
  <c r="E273" i="58"/>
  <c r="E272" i="58"/>
  <c r="E271" i="58"/>
  <c r="E280" i="58"/>
  <c r="E270" i="58"/>
  <c r="E269" i="58"/>
  <c r="E268" i="58"/>
  <c r="E267" i="58"/>
  <c r="E264" i="58"/>
  <c r="E263" i="58"/>
  <c r="E262" i="58"/>
  <c r="E261" i="58"/>
  <c r="E260" i="58"/>
  <c r="E259" i="58"/>
  <c r="E258" i="58"/>
  <c r="E257" i="58"/>
  <c r="E256" i="58"/>
  <c r="E255" i="58"/>
  <c r="E254" i="58"/>
  <c r="E253" i="58"/>
  <c r="E252" i="58"/>
  <c r="E250" i="58"/>
  <c r="E249" i="58"/>
  <c r="E248" i="58"/>
  <c r="E247" i="58"/>
  <c r="E246" i="58"/>
  <c r="E245" i="58"/>
  <c r="E244" i="58"/>
  <c r="E243" i="58"/>
  <c r="E242" i="58"/>
  <c r="E241" i="58"/>
  <c r="E240" i="58"/>
  <c r="E239" i="58"/>
  <c r="E238" i="58"/>
  <c r="E236" i="58"/>
  <c r="E235" i="58"/>
  <c r="E234" i="58"/>
  <c r="E233" i="58"/>
  <c r="E232" i="58"/>
  <c r="E231" i="58"/>
  <c r="E230" i="58"/>
  <c r="E229" i="58"/>
  <c r="E228" i="58"/>
  <c r="E227" i="58"/>
  <c r="E226" i="58"/>
  <c r="E224" i="58"/>
  <c r="E225" i="58"/>
  <c r="E223" i="58"/>
  <c r="E222" i="58"/>
  <c r="E219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89" i="58"/>
  <c r="E188" i="58"/>
  <c r="E187" i="58"/>
  <c r="E186" i="58"/>
  <c r="E185" i="58"/>
  <c r="E184" i="58"/>
  <c r="E183" i="58"/>
  <c r="E182" i="58"/>
  <c r="E181" i="58"/>
  <c r="E180" i="58"/>
  <c r="E179" i="58"/>
  <c r="E178" i="58"/>
  <c r="E177" i="58"/>
  <c r="E175" i="58"/>
  <c r="E174" i="58"/>
  <c r="E173" i="58"/>
  <c r="E172" i="58"/>
  <c r="E171" i="58"/>
  <c r="E170" i="58"/>
  <c r="E169" i="58"/>
  <c r="E168" i="58"/>
  <c r="E167" i="58"/>
  <c r="E166" i="58"/>
  <c r="E165" i="58"/>
  <c r="E164" i="58"/>
  <c r="E163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19" i="58"/>
  <c r="E118" i="58"/>
  <c r="E117" i="58"/>
  <c r="E116" i="58"/>
  <c r="E115" i="58"/>
  <c r="E114" i="58"/>
  <c r="E113" i="58"/>
  <c r="E112" i="58"/>
  <c r="E111" i="58"/>
  <c r="E110" i="58"/>
  <c r="E109" i="58"/>
  <c r="E108" i="58"/>
  <c r="E107" i="58"/>
  <c r="E104" i="58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0" i="58"/>
  <c r="E89" i="58"/>
  <c r="E88" i="58"/>
  <c r="E87" i="58"/>
  <c r="E86" i="58"/>
  <c r="E85" i="58"/>
  <c r="E84" i="58"/>
  <c r="E83" i="58"/>
  <c r="E82" i="58"/>
  <c r="E81" i="58"/>
  <c r="E80" i="58"/>
  <c r="E79" i="58"/>
  <c r="E78" i="58"/>
  <c r="E76" i="58"/>
  <c r="E75" i="58"/>
  <c r="E74" i="58"/>
  <c r="E73" i="58"/>
  <c r="E72" i="58"/>
  <c r="E71" i="58"/>
  <c r="E70" i="58"/>
  <c r="E69" i="58"/>
  <c r="E68" i="58"/>
  <c r="E67" i="58"/>
  <c r="E66" i="58"/>
  <c r="E65" i="58"/>
  <c r="E64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8" i="58"/>
  <c r="E47" i="58"/>
  <c r="E46" i="58"/>
  <c r="E45" i="58"/>
  <c r="E44" i="58"/>
  <c r="E43" i="58"/>
  <c r="E42" i="58"/>
  <c r="E41" i="58"/>
  <c r="E40" i="58"/>
  <c r="E39" i="58"/>
  <c r="E38" i="58"/>
  <c r="E37" i="58"/>
  <c r="E36" i="58"/>
  <c r="E29" i="58"/>
  <c r="E28" i="58"/>
  <c r="E19" i="58"/>
  <c r="AE22" i="58"/>
  <c r="AD22" i="58"/>
  <c r="AC22" i="58"/>
  <c r="AB22" i="58"/>
  <c r="AA22" i="58"/>
  <c r="Z22" i="58"/>
  <c r="AD9" i="58"/>
  <c r="H4" i="58"/>
  <c r="E20" i="58"/>
  <c r="E16" i="58"/>
  <c r="E441" i="58"/>
  <c r="B14" i="66"/>
  <c r="E437" i="58"/>
  <c r="E435" i="58"/>
  <c r="E433" i="58"/>
  <c r="E427" i="58"/>
  <c r="E420" i="58"/>
  <c r="E414" i="58"/>
  <c r="E408" i="58"/>
  <c r="E407" i="58"/>
  <c r="E399" i="58"/>
  <c r="E397" i="58"/>
  <c r="E382" i="58"/>
  <c r="E368" i="58"/>
  <c r="E339" i="58"/>
  <c r="E325" i="58"/>
  <c r="E310" i="58"/>
  <c r="E296" i="58"/>
  <c r="E266" i="58"/>
  <c r="E251" i="58"/>
  <c r="E237" i="58"/>
  <c r="E221" i="58"/>
  <c r="E416" i="58"/>
  <c r="E406" i="58"/>
  <c r="E396" i="58"/>
  <c r="E367" i="58"/>
  <c r="E324" i="58"/>
  <c r="E295" i="58"/>
  <c r="E294" i="58"/>
  <c r="E265" i="58"/>
  <c r="E220" i="58"/>
  <c r="E218" i="58"/>
  <c r="E204" i="58"/>
  <c r="E190" i="58"/>
  <c r="E176" i="58"/>
  <c r="E162" i="58"/>
  <c r="E148" i="58"/>
  <c r="E134" i="58"/>
  <c r="E120" i="58"/>
  <c r="E106" i="58"/>
  <c r="E35" i="58"/>
  <c r="E77" i="58"/>
  <c r="E63" i="58"/>
  <c r="E49" i="58"/>
  <c r="E91" i="58"/>
  <c r="E32" i="58"/>
  <c r="E30" i="58"/>
  <c r="E27" i="58"/>
  <c r="E26" i="58"/>
  <c r="E25" i="58"/>
  <c r="E15" i="58"/>
  <c r="E21" i="58"/>
  <c r="E18" i="58"/>
  <c r="E17" i="58"/>
  <c r="E14" i="58"/>
  <c r="E13" i="58"/>
  <c r="E12" i="58"/>
  <c r="E105" i="58"/>
  <c r="AW19" i="58"/>
  <c r="E33" i="58"/>
  <c r="E34" i="58"/>
</calcChain>
</file>

<file path=xl/sharedStrings.xml><?xml version="1.0" encoding="utf-8"?>
<sst xmlns="http://schemas.openxmlformats.org/spreadsheetml/2006/main" count="815" uniqueCount="553">
  <si>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</si>
  <si>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</si>
  <si>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</si>
  <si>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</si>
  <si>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</si>
  <si>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</si>
  <si>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</si>
  <si>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</si>
  <si>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</si>
  <si>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</si>
  <si>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</si>
  <si>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</si>
  <si>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</si>
  <si>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</si>
  <si>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</si>
  <si>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</si>
  <si>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</si>
  <si>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</si>
  <si>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</si>
  <si>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</si>
  <si>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</si>
  <si>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</si>
  <si>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</si>
  <si>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</si>
  <si>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</si>
  <si>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</si>
  <si>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</si>
  <si>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</si>
  <si>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</si>
  <si>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</si>
  <si>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</si>
  <si>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</si>
  <si>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</si>
  <si>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</si>
  <si>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</si>
  <si>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</si>
  <si>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</si>
  <si>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</si>
  <si>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</si>
  <si>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</si>
  <si>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TPL10_dest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</si>
  <si>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</si>
  <si>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</si>
  <si>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</si>
  <si>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</si>
  <si>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</si>
  <si>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</si>
  <si>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</si>
  <si>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</si>
  <si>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</si>
  <si>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</si>
  <si>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</si>
  <si>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</si>
  <si>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</si>
  <si>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</si>
  <si>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</si>
  <si>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Prior_year</t>
  </si>
  <si>
    <t>Period</t>
  </si>
  <si>
    <t>TFR-AP019298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</si>
  <si>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</si>
  <si>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</si>
  <si>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</si>
  <si>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</si>
  <si>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</si>
  <si>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</si>
  <si>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</si>
  <si>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</si>
  <si>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</si>
  <si>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</si>
  <si>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</si>
  <si>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</si>
  <si>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</si>
  <si>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</si>
  <si>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</si>
  <si>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</si>
  <si>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</si>
  <si>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</si>
  <si>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Reste_a_encourir</t>
  </si>
  <si>
    <t>Pourcent_reste_a_encourir</t>
  </si>
  <si>
    <t>Pourcent_consommation</t>
  </si>
  <si>
    <t>Pdts_ope</t>
  </si>
  <si>
    <t>Fact_PMAD</t>
  </si>
  <si>
    <t>PL1003_RC_40_2020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</si>
  <si>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</si>
  <si>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</si>
  <si>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</si>
  <si>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</si>
  <si>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</si>
  <si>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</si>
  <si>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</si>
  <si>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</si>
  <si>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</si>
  <si>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</si>
  <si>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</si>
  <si>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</si>
  <si>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</si>
  <si>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</si>
  <si>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</si>
  <si>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</si>
  <si>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</si>
  <si>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</si>
  <si>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</si>
  <si>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</si>
  <si>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</si>
  <si>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</si>
  <si>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</si>
  <si>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</si>
  <si>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</si>
  <si>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</si>
  <si>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</si>
  <si>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</si>
  <si>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</si>
  <si>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</si>
  <si>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</si>
  <si>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</si>
  <si>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</si>
  <si>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</si>
  <si>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</si>
  <si>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</si>
  <si>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</si>
  <si>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</si>
  <si>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</si>
  <si>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</si>
  <si>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</si>
  <si>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</si>
  <si>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</si>
  <si>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</si>
  <si>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</si>
  <si>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</si>
  <si>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</si>
  <si>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</si>
  <si>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CAFOP</t>
  </si>
  <si>
    <t>TPL1_dest_avt_mgmt_fees</t>
  </si>
  <si>
    <t>PL1355_MF</t>
  </si>
  <si>
    <t>TPL1_dest_aprs_mgmt_fees</t>
  </si>
  <si>
    <t>Tot_capex</t>
  </si>
  <si>
    <t>Matricules</t>
  </si>
  <si>
    <t>Indicateurs_Ope</t>
  </si>
  <si>
    <t>NA</t>
  </si>
  <si>
    <t>input</t>
  </si>
  <si>
    <t>Actual</t>
  </si>
  <si>
    <t>Partenaire</t>
  </si>
  <si>
    <t>YearToDate ?</t>
  </si>
  <si>
    <t>Total</t>
  </si>
  <si>
    <t>PL1003_RC_40_2040</t>
  </si>
  <si>
    <t>PL1003_RC_40_2041</t>
  </si>
  <si>
    <t>PL1115_DS_99_6150</t>
  </si>
  <si>
    <t>PL1215_BD_99_6150</t>
  </si>
  <si>
    <t>PL1315_FI_99_6150</t>
  </si>
  <si>
    <t>PL1315_IT_99_6150</t>
  </si>
  <si>
    <t>PL1315_HR_99_6150</t>
  </si>
  <si>
    <t>PL1315_GM_99_6150</t>
  </si>
  <si>
    <t>PL1315_IA_99_6150</t>
  </si>
  <si>
    <t>PL1315_LE_99_6150</t>
  </si>
  <si>
    <t>PL1315_RM_99_6150</t>
  </si>
  <si>
    <t>PL1315_PU_99_6150</t>
  </si>
  <si>
    <t>PL1315_CO_99_6150</t>
  </si>
  <si>
    <t>PL1315_GS_99_6150</t>
  </si>
  <si>
    <t>PL1315_RD_99_6150</t>
  </si>
  <si>
    <t>PL1115_DS_99_601</t>
  </si>
  <si>
    <t>PL1215_BD_99_601</t>
  </si>
  <si>
    <t>PL1315_FI_99_601</t>
  </si>
  <si>
    <t>PL1315_IT_99_601</t>
  </si>
  <si>
    <t>PL1315_HR_99_601</t>
  </si>
  <si>
    <t>PL1315_GM_99_601</t>
  </si>
  <si>
    <t>PL1315_IA_99_601</t>
  </si>
  <si>
    <t>PL1315_LE_99_601</t>
  </si>
  <si>
    <t>PL1315_RM_99_601</t>
  </si>
  <si>
    <t>PL1315_PU_99_601</t>
  </si>
  <si>
    <t>PL1315_CO_99_601</t>
  </si>
  <si>
    <t>PL1315_GS_99_601</t>
  </si>
  <si>
    <t>PL1315_RD_99_601</t>
  </si>
  <si>
    <t>PL1115_DS_99_loc_entr</t>
  </si>
  <si>
    <t>PL1215_BD_99_loc_entr</t>
  </si>
  <si>
    <t>PL1315_FI_99_loc_entr</t>
  </si>
  <si>
    <t>PL1315_IT_99_loc_entr</t>
  </si>
  <si>
    <t>PL1315_HR_99_loc_entr</t>
  </si>
  <si>
    <t>PL1315_GM_99_loc_entr</t>
  </si>
  <si>
    <t>PL1315_IA_99_loc_entr</t>
  </si>
  <si>
    <t>PL1315_LE_99_loc_entr</t>
  </si>
  <si>
    <t>PL1315_RM_99_loc_entr</t>
  </si>
  <si>
    <t>PL1315_PU_99_loc_entr</t>
  </si>
  <si>
    <t>PL1315_CO_99_loc_entr</t>
  </si>
  <si>
    <t>PL1315_GS_99_loc_entr</t>
  </si>
  <si>
    <t>PL1315_RD_99_loc_entr</t>
  </si>
  <si>
    <t>PL1115_DS_99_602</t>
  </si>
  <si>
    <t>PL1215_BD_99_602</t>
  </si>
  <si>
    <t>PL1315_FI_99_602</t>
  </si>
  <si>
    <t>PL1315_IT_99_602</t>
  </si>
  <si>
    <t>PL1315_HR_99_602</t>
  </si>
  <si>
    <t>PL1315_GM_99_602</t>
  </si>
  <si>
    <t>PL1315_IA_99_602</t>
  </si>
  <si>
    <t>PL1315_LE_99_602</t>
  </si>
  <si>
    <t>PL1315_RM_99_602</t>
  </si>
  <si>
    <t>PL1315_PU_99_602</t>
  </si>
  <si>
    <t>PL1315_CO_99_602</t>
  </si>
  <si>
    <t>PL1315_GS_99_602</t>
  </si>
  <si>
    <t>PL1315_RD_99_602</t>
  </si>
  <si>
    <t>PL1115_DS_99_fr_post</t>
  </si>
  <si>
    <t>PL1215_BD_99_fr_post</t>
  </si>
  <si>
    <t>PL1315_FI_99_fr_post</t>
  </si>
  <si>
    <t>PL1315_IT_99_fr_post</t>
  </si>
  <si>
    <t>PL1315_HR_99_fr_post</t>
  </si>
  <si>
    <t>PL1315_GM_99_fr_post</t>
  </si>
  <si>
    <t>PL1315_IA_99_fr_post</t>
  </si>
  <si>
    <t>PL1315_LE_99_fr_post</t>
  </si>
  <si>
    <t>PL1315_RM_99_fr_post</t>
  </si>
  <si>
    <t>PL1315_PU_99_fr_post</t>
  </si>
  <si>
    <t>PL1315_CO_99_fr_post</t>
  </si>
  <si>
    <t>PL1315_GS_99_fr_post</t>
  </si>
  <si>
    <t>PL1315_RD_99_fr_post</t>
  </si>
  <si>
    <t>PL1115_DS_75_cons</t>
  </si>
  <si>
    <t>PL1215_BD_75_cons</t>
  </si>
  <si>
    <t>PL1315_FI_75_cons</t>
  </si>
  <si>
    <t>PL1315_IT_75_cons</t>
  </si>
  <si>
    <t>PL1315_HR_75_cons</t>
  </si>
  <si>
    <t>PL1315_GM_75_cons</t>
  </si>
  <si>
    <t>PL1315_IA_75_cons</t>
  </si>
  <si>
    <t>PL1315_LE_75_cons</t>
  </si>
  <si>
    <t>PL1315_RM_75_cons</t>
  </si>
  <si>
    <t>PL1315_PU_75_cons</t>
  </si>
  <si>
    <t>PL1315_CO_75_cons</t>
  </si>
  <si>
    <t>PL1315_GS_75_cons</t>
  </si>
  <si>
    <t>PL1315_RD_75_cons</t>
  </si>
  <si>
    <t>PL1115_DS_75_abo</t>
  </si>
  <si>
    <t>PL1215_BD_75_abo</t>
  </si>
  <si>
    <t>PL1315_FI_75_abo</t>
  </si>
  <si>
    <t>PL1315_IT_75_abo</t>
  </si>
  <si>
    <t>PL1315_HR_75_abo</t>
  </si>
  <si>
    <t>PL1315_GM_75_abo</t>
  </si>
  <si>
    <t>PL1315_IA_75_abo</t>
  </si>
  <si>
    <t>PL1315_LE_75_abo</t>
  </si>
  <si>
    <t>PL1315_RM_75_abo</t>
  </si>
  <si>
    <t>PL1315_PU_75_abo</t>
  </si>
  <si>
    <t>PL1315_CO_75_abo</t>
  </si>
  <si>
    <t>PL1315_GS_75_abo</t>
  </si>
  <si>
    <t>PL1315_RD_75_abo</t>
  </si>
  <si>
    <t>PL1115_DS_99_pub</t>
  </si>
  <si>
    <t>PL1215_BD_99_pub</t>
  </si>
  <si>
    <t>PL1315_FI_99_pub</t>
  </si>
  <si>
    <t>PL1315_IT_99_pub</t>
  </si>
  <si>
    <t>PL1315_HR_99_pub</t>
  </si>
  <si>
    <t>PL1315_GM_99_pub</t>
  </si>
  <si>
    <t>PL1315_IA_99_pub</t>
  </si>
  <si>
    <t>PL1315_LE_99_pub</t>
  </si>
  <si>
    <t>PL1315_RM_99_pub</t>
  </si>
  <si>
    <t>PL1315_PU_99_pub</t>
  </si>
  <si>
    <t>PL1315_CO_99_pub</t>
  </si>
  <si>
    <t>PL1315_GS_99_pub</t>
  </si>
  <si>
    <t>PL1315_RD_99_pub</t>
  </si>
  <si>
    <t>PL1115_DS_99_6278</t>
  </si>
  <si>
    <t>PL1215_BD_99_6278</t>
  </si>
  <si>
    <t>PL1315_FI_99_6278</t>
  </si>
  <si>
    <t>PL1315_IT_99_6278</t>
  </si>
  <si>
    <t>PL1315_HR_99_6278</t>
  </si>
  <si>
    <t>PL1315_GM_99_6278</t>
  </si>
  <si>
    <t>PL1315_IA_99_6278</t>
  </si>
  <si>
    <t>PL1315_LE_99_6278</t>
  </si>
  <si>
    <t>PL1315_RM_99_6278</t>
  </si>
  <si>
    <t>PL1315_PU_99_6278</t>
  </si>
  <si>
    <t>PL1315_CO_99_6278</t>
  </si>
  <si>
    <t>PL1315_GS_99_6278</t>
  </si>
  <si>
    <t>PL1315_RD_99_6278</t>
  </si>
  <si>
    <t>PL1115_DS_99_assist_ext</t>
  </si>
  <si>
    <t>PL1215_BD_99_assist_ext</t>
  </si>
  <si>
    <t>PL1315_FI_99_assist_ext</t>
  </si>
  <si>
    <t>PL1315_IT_99_assist_ext</t>
  </si>
  <si>
    <t>PL1315_HR_99_assist_ext</t>
  </si>
  <si>
    <t>PL1315_GM_99_assist_ext</t>
  </si>
  <si>
    <t>PL1315_IA_99_assist_ext</t>
  </si>
  <si>
    <t>PL1315_LE_99_assist_ext</t>
  </si>
  <si>
    <t>PL1315_RM_99_assist_ext</t>
  </si>
  <si>
    <t>PL1315_PU_99_assist_ext</t>
  </si>
  <si>
    <t>PL1315_CO_99_assist_ext</t>
  </si>
  <si>
    <t>PL1315_GS_99_assist_ext</t>
  </si>
  <si>
    <t>PL1315_RD_99_assist_ext</t>
  </si>
  <si>
    <t>PL1115_DS_99_6280</t>
  </si>
  <si>
    <t>PL1215_BD_99_6280</t>
  </si>
  <si>
    <t>PL1315_FI_99_6280</t>
  </si>
  <si>
    <t>PL1315_IT_99_6280</t>
  </si>
  <si>
    <t>PL1315_HR_99_6280</t>
  </si>
  <si>
    <t>PL1315_GM_99_6280</t>
  </si>
  <si>
    <t>PL1315_IA_99_6280</t>
  </si>
  <si>
    <t>PL1315_LE_99_6280</t>
  </si>
  <si>
    <t>PL1315_RM_99_6280</t>
  </si>
  <si>
    <t>PL1315_PU_99_6280</t>
  </si>
  <si>
    <t>PL1315_CO_99_6280</t>
  </si>
  <si>
    <t>PL1315_GS_99_6280</t>
  </si>
  <si>
    <t>PL1315_RD_99_6280</t>
  </si>
  <si>
    <t>PL1115_DS_99_assu</t>
  </si>
  <si>
    <t>PL1215_BD_99_assu</t>
  </si>
  <si>
    <t>PL1315_FI_99_assu</t>
  </si>
  <si>
    <t>PL1315_IT_99_assu</t>
  </si>
  <si>
    <t>PL1315_HR_99_assu</t>
  </si>
  <si>
    <t>PL1315_GM_99_assu</t>
  </si>
  <si>
    <t>PL1315_IA_99_assu</t>
  </si>
  <si>
    <t>PL1315_LE_99_assu</t>
  </si>
  <si>
    <t>PL1315_RM_99_assu</t>
  </si>
  <si>
    <t>PL1315_PU_99_assu</t>
  </si>
  <si>
    <t>PL1315_CO_99_assu</t>
  </si>
  <si>
    <t>PL1315_GS_99_assu</t>
  </si>
  <si>
    <t>PL1315_RD_99_assu</t>
  </si>
  <si>
    <t>PL1115_DS_99_6274</t>
  </si>
  <si>
    <t>PL1215_BD_99_6274</t>
  </si>
  <si>
    <t>PL1315_FI_99_6274</t>
  </si>
  <si>
    <t>PL1315_IT_99_6274</t>
  </si>
  <si>
    <t>PL1315_HR_99_6274</t>
  </si>
  <si>
    <t>PL1315_GM_99_6274</t>
  </si>
  <si>
    <t>PL1315_IA_99_6274</t>
  </si>
  <si>
    <t>PL1315_LE_99_6274</t>
  </si>
  <si>
    <t>PL1315_RM_99_6274</t>
  </si>
  <si>
    <t>PL1315_PU_99_6274</t>
  </si>
  <si>
    <t>PL1315_CO_99_6274</t>
  </si>
  <si>
    <t>PL1315_GS_99_6274</t>
  </si>
  <si>
    <t>PL1315_RD_99_6274</t>
  </si>
  <si>
    <t>PL1315_GM_75_frais</t>
  </si>
  <si>
    <t>PL1110_DS_10</t>
  </si>
  <si>
    <t>PL1210</t>
  </si>
  <si>
    <t>PL1210_BD</t>
  </si>
  <si>
    <t>PL1310</t>
  </si>
  <si>
    <t>PL1310_FI_10</t>
  </si>
  <si>
    <t>PL1310_IT_10</t>
  </si>
  <si>
    <t>PL1310_HR_10</t>
  </si>
  <si>
    <t>PL1310_GM_10</t>
  </si>
  <si>
    <t>PL1310_IA_10</t>
  </si>
  <si>
    <t>PL1310_LE_10</t>
  </si>
  <si>
    <t>PL1310_RM_10</t>
  </si>
  <si>
    <t>PL1310_PU_10</t>
  </si>
  <si>
    <t>PL1310_CO_10</t>
  </si>
  <si>
    <t>PL1310_GS_10</t>
  </si>
  <si>
    <t>PL1310_RD_10</t>
  </si>
  <si>
    <t>PL1115_DS_20</t>
  </si>
  <si>
    <t>PL1215_BD_20</t>
  </si>
  <si>
    <t>PL1315_FI_20</t>
  </si>
  <si>
    <t>PL1315_IT_20</t>
  </si>
  <si>
    <t>PL1315_HR_20</t>
  </si>
  <si>
    <t>PL1315_GM_20</t>
  </si>
  <si>
    <t>PL1315_IA_20</t>
  </si>
  <si>
    <t>PL1315_LE_20</t>
  </si>
  <si>
    <t>PL1315_RM_20</t>
  </si>
  <si>
    <t>PL1315_PU_20</t>
  </si>
  <si>
    <t>PL1315_CO_20</t>
  </si>
  <si>
    <t>PL1315_GS_20</t>
  </si>
  <si>
    <t>PL1315_RD_20</t>
  </si>
  <si>
    <t>PL1115_DS_99_5061</t>
  </si>
  <si>
    <t>PL1215_BD_99_5061</t>
  </si>
  <si>
    <t>PL1315_FI_99_5061</t>
  </si>
  <si>
    <t>PL1315_IT_99_5061</t>
  </si>
  <si>
    <t>PL1315_HR_99_5061</t>
  </si>
  <si>
    <t>PL1315_GM_99_5061</t>
  </si>
  <si>
    <t>PL1315_IA_99_5061</t>
  </si>
  <si>
    <t>PL1315_LE_99_5061</t>
  </si>
  <si>
    <t>PL1315_RM_99_5061</t>
  </si>
  <si>
    <t>PL1315_PU_99_5061</t>
  </si>
  <si>
    <t>PL1315_CO_99_5061</t>
  </si>
  <si>
    <t>PL1315_GS_99_5061</t>
  </si>
  <si>
    <t>PL1315_RD_99_5061</t>
  </si>
  <si>
    <t>PL1115_DS_99_611</t>
  </si>
  <si>
    <t>PL1215_BD_99_611</t>
  </si>
  <si>
    <t>PL1315_FI_99_611</t>
  </si>
  <si>
    <t>PL1315_IT_99_611</t>
  </si>
  <si>
    <t>PL1315_HR_99_611</t>
  </si>
  <si>
    <t>PL1315_GM_99_611</t>
  </si>
  <si>
    <t>PL1315_IA_99_611</t>
  </si>
  <si>
    <t>PL1315_LE_99_611</t>
  </si>
  <si>
    <t>PL1315_RM_99_611</t>
  </si>
  <si>
    <t>PL1315_PU_99_611</t>
  </si>
  <si>
    <t>PL1315_CO_99_611</t>
  </si>
  <si>
    <t>PL1315_GS_99_611</t>
  </si>
  <si>
    <t>PL1315_RD_99_611</t>
  </si>
  <si>
    <t>PL1115_DS_99_loc_bat</t>
  </si>
  <si>
    <t>PL1215_BD_99_loc_bat</t>
  </si>
  <si>
    <t>PL1315_FI_99_loc_bat</t>
  </si>
  <si>
    <t>PL1315_IT_99_loc_bat</t>
  </si>
  <si>
    <t>PL1315_HR_99_loc_bat</t>
  </si>
  <si>
    <t>PL1315_GM_99_loc_bat</t>
  </si>
  <si>
    <t>PL1315_IA_99_loc_bat</t>
  </si>
  <si>
    <t>PL1315_LE_99_loc_bat</t>
  </si>
  <si>
    <t>PL1315_RM_99_loc_bat</t>
  </si>
  <si>
    <t>PL1315_PU_99_loc_bat</t>
  </si>
  <si>
    <t>PL1315_CO_99_loc_bat</t>
  </si>
  <si>
    <t>PL1315_GS_99_loc_bat</t>
  </si>
  <si>
    <t>PL1315_RD_99_loc_bat</t>
  </si>
  <si>
    <t>PL1115_DS_99_5075</t>
  </si>
  <si>
    <t>PL1215_BD_99_5075</t>
  </si>
  <si>
    <t>PL1315_FI_99_5075</t>
  </si>
  <si>
    <t>PL1315_IT_99_5075</t>
  </si>
  <si>
    <t>PL1315_HR_99_5075</t>
  </si>
  <si>
    <t>PL1315_GM_99_5075</t>
  </si>
  <si>
    <t>PL1315_IA_99_5075</t>
  </si>
  <si>
    <t>PL1315_LE_99_5075</t>
  </si>
  <si>
    <t>PL1315_RM_99_5075</t>
  </si>
  <si>
    <t>PL1315_PU_99_5075</t>
  </si>
  <si>
    <t>PL1315_CO_99_5075</t>
  </si>
  <si>
    <t>PL1315_GS_99_5075</t>
  </si>
  <si>
    <t>PL1315_RD_99_5075</t>
  </si>
  <si>
    <t>PL1115_DS_99_loc_appart</t>
  </si>
  <si>
    <t>PL1215_BD_99_loc_appart</t>
  </si>
  <si>
    <t>PL1315_FI_99_loc_appart</t>
  </si>
  <si>
    <t>PL1315_IT_99_loc_appart</t>
  </si>
  <si>
    <t>PL1315_HR_99_loc_appart</t>
  </si>
  <si>
    <t>PL1315_GM_99_loc_appart</t>
  </si>
  <si>
    <t>PL1315_IA_99_loc_appart</t>
  </si>
  <si>
    <t>PL1315_LE_99_loc_appart</t>
  </si>
  <si>
    <t>PL1315_RM_99_loc_appart</t>
  </si>
  <si>
    <t>PL1315_PU_99_loc_appart</t>
  </si>
  <si>
    <t>PL1315_CO_99_loc_appart</t>
  </si>
  <si>
    <t>PL1315_GS_99_loc_appart</t>
  </si>
  <si>
    <t>PL1315_RD_99_loc_appart</t>
  </si>
  <si>
    <t>PL1115_DS_99_6112</t>
  </si>
  <si>
    <t>PL1215_BD_99_6112</t>
  </si>
  <si>
    <t>PL1315_FI_99_6112</t>
  </si>
  <si>
    <t>PL1315_IT_99_6112</t>
  </si>
  <si>
    <t>PL1315_HR_99_6112</t>
  </si>
  <si>
    <t>PL1315_GM_99_6112</t>
  </si>
  <si>
    <t>PL1315_IA_99_6112</t>
  </si>
  <si>
    <t>PL1315_LE_99_6112</t>
  </si>
  <si>
    <t>PL1315_RM_99_6112</t>
  </si>
  <si>
    <t>PL1315_PU_99_6112</t>
  </si>
  <si>
    <t>PL1315_CO_99_6112</t>
  </si>
  <si>
    <t>PL1315_GS_99_6112</t>
  </si>
  <si>
    <t>PL1315_RD_99_6112</t>
  </si>
  <si>
    <t>PL1115_DS_99_6239</t>
  </si>
  <si>
    <t>PL1215_BD_99_6239</t>
  </si>
  <si>
    <t>PL1315_FI_99_6239</t>
  </si>
  <si>
    <t>PL1315_IT_99_6239</t>
  </si>
  <si>
    <t>PL1315_HR_99_6239</t>
  </si>
  <si>
    <t>PL1315_GM_99_6239</t>
  </si>
  <si>
    <t>PL1315_IA_99_6239</t>
  </si>
  <si>
    <t>PL1315_LE_99_6239</t>
  </si>
  <si>
    <t>PL1315_RM_99_6239</t>
  </si>
  <si>
    <t>PL1315_PU_99_6239</t>
  </si>
  <si>
    <t>PL1315_CO_99_6239</t>
  </si>
  <si>
    <t>PL1315_GS_99_6239</t>
  </si>
  <si>
    <t>PL1315_RD_99_6239</t>
  </si>
  <si>
    <t>PL1115_DS_99_6241</t>
  </si>
  <si>
    <t>PL1215_BD_99_6241</t>
  </si>
  <si>
    <t>PL1315_FI_99_6241</t>
  </si>
  <si>
    <t>PL1315_IT_99_6241</t>
  </si>
  <si>
    <t>PL1315_HR_99_6241</t>
  </si>
  <si>
    <t>PL1315_GM_99_6241</t>
  </si>
  <si>
    <t>PL1315_IA_99_6241</t>
  </si>
  <si>
    <t>PL1315_LE_99_6241</t>
  </si>
  <si>
    <t>PL1315_RM_99_6241</t>
  </si>
  <si>
    <t>PL1315_PU_99_6241</t>
  </si>
  <si>
    <t>PL1315_CO_99_6241</t>
  </si>
  <si>
    <t>PL1315_GS_99_6241</t>
  </si>
  <si>
    <t>PL1315_RD_99_6241</t>
  </si>
  <si>
    <t>PL1240_BD</t>
  </si>
  <si>
    <t>PL1150_DS_10</t>
  </si>
  <si>
    <t>PL1170_AC</t>
  </si>
  <si>
    <t>PL1270_BD</t>
  </si>
  <si>
    <t>PL1350_GM</t>
  </si>
  <si>
    <t>PL1410_OO</t>
  </si>
  <si>
    <t>PL1370_GM</t>
  </si>
  <si>
    <t>PL1165_AC</t>
  </si>
  <si>
    <t>PL1265_BD</t>
  </si>
  <si>
    <t>PL1360_GM</t>
  </si>
  <si>
    <t>PL1365_GM</t>
  </si>
  <si>
    <t>PL1440_OO</t>
  </si>
  <si>
    <t>PL1400_OO</t>
  </si>
  <si>
    <t>PL1345_GM</t>
  </si>
  <si>
    <t>PL1245</t>
  </si>
  <si>
    <t>PL1245_BD</t>
  </si>
  <si>
    <t>PL1250</t>
  </si>
  <si>
    <t>PL1250_BD</t>
  </si>
  <si>
    <t>FLAG</t>
  </si>
  <si>
    <t>IT</t>
  </si>
  <si>
    <t>DF</t>
  </si>
  <si>
    <t>RH</t>
  </si>
  <si>
    <t>JU</t>
  </si>
  <si>
    <t>AC</t>
  </si>
  <si>
    <t>CO</t>
  </si>
  <si>
    <t>GR</t>
  </si>
  <si>
    <t>SG</t>
  </si>
  <si>
    <t>AI</t>
  </si>
  <si>
    <t>DC</t>
  </si>
  <si>
    <t>RD</t>
  </si>
  <si>
    <t>DG</t>
  </si>
  <si>
    <t>SO</t>
  </si>
  <si>
    <t>Gestion d'affichage des indicateurs</t>
  </si>
  <si>
    <t>Management Organization - Niveau conso ?</t>
  </si>
  <si>
    <t>Management_Organization_Corp</t>
  </si>
  <si>
    <t>Particule</t>
  </si>
  <si>
    <t>ALL</t>
  </si>
  <si>
    <t>Code Management_Organization</t>
  </si>
  <si>
    <t>Code particule</t>
  </si>
  <si>
    <t>DS</t>
  </si>
  <si>
    <t>BD</t>
  </si>
  <si>
    <t>FI</t>
  </si>
  <si>
    <t>HR</t>
  </si>
  <si>
    <t>GM</t>
  </si>
  <si>
    <t>IA</t>
  </si>
  <si>
    <t>LE</t>
  </si>
  <si>
    <t>RM</t>
  </si>
  <si>
    <t>PU</t>
  </si>
  <si>
    <t>GS</t>
  </si>
  <si>
    <t>P&amp;L : Saisie</t>
  </si>
  <si>
    <t>PL1115_DS_70_5070</t>
  </si>
  <si>
    <t>PL1215_BD_70_5070</t>
  </si>
  <si>
    <t>PL1315_FI_70_5070</t>
  </si>
  <si>
    <t>PL1315_IT_70_5070</t>
  </si>
  <si>
    <t>PL1315_HR_70_5070</t>
  </si>
  <si>
    <t>PL1315_GM_70_5070</t>
  </si>
  <si>
    <t>PL1315_IA_70_5070</t>
  </si>
  <si>
    <t>PL1315_LE_70_5070</t>
  </si>
  <si>
    <t>PL1315_RM_70_5070</t>
  </si>
  <si>
    <t>PL1315_PU_70_5070</t>
  </si>
  <si>
    <t>PL1315_CO_70_5070</t>
  </si>
  <si>
    <t>PL1315_GS_70_5070</t>
  </si>
  <si>
    <t>PL1315_RD_70_5070</t>
  </si>
  <si>
    <t>PL1115_DS_70_507002</t>
  </si>
  <si>
    <t>PL1215_BD_70_507002</t>
  </si>
  <si>
    <t>PL1315_FI_70_507002</t>
  </si>
  <si>
    <t>PL1315_IT_70_507002</t>
  </si>
  <si>
    <t>PL1315_HR_70_507002</t>
  </si>
  <si>
    <t>PL1315_GM_70_507002</t>
  </si>
  <si>
    <t>PL1315_IA_70_507002</t>
  </si>
  <si>
    <t>PL1315_LE_70_507002</t>
  </si>
  <si>
    <t>PL1315_RM_70_507002</t>
  </si>
  <si>
    <t>PL1315_PU_70_507002</t>
  </si>
  <si>
    <t>PL1315_CO_70_507002</t>
  </si>
  <si>
    <t>PL1315_GS_70_507002</t>
  </si>
  <si>
    <t>PL1315_RD_70_507002</t>
  </si>
  <si>
    <t>PL1340_GM_8128</t>
  </si>
  <si>
    <t>PL1340_GM_autres</t>
  </si>
  <si>
    <t>Indicator_Corp for comments</t>
  </si>
  <si>
    <t>Traduction Phase</t>
  </si>
  <si>
    <t>Forecast_1</t>
  </si>
  <si>
    <t>ACT_TOT</t>
  </si>
  <si>
    <t>Colonne</t>
  </si>
  <si>
    <t>Variance</t>
  </si>
  <si>
    <t>FC_1_TOT</t>
  </si>
  <si>
    <t>Breakdown</t>
  </si>
  <si>
    <t>Estimé 2</t>
  </si>
  <si>
    <t>Janv_Juin</t>
  </si>
  <si>
    <t>Estimé 1</t>
  </si>
  <si>
    <t>Forecast_2_retenu</t>
  </si>
  <si>
    <t>Forecast_2_theorique</t>
  </si>
  <si>
    <t>FC_2_TOT</t>
  </si>
  <si>
    <t>Compte_resultat_saisie_Forecast_2</t>
  </si>
  <si>
    <t>MAN_FC_2</t>
  </si>
  <si>
    <t>Elément non consolidé ?</t>
  </si>
  <si>
    <t>PL1355_MF_2060</t>
  </si>
  <si>
    <t>PL1355_MF_2061</t>
  </si>
  <si>
    <t>Phase for comments</t>
  </si>
  <si>
    <t>FC_2</t>
  </si>
  <si>
    <t>Juil_Dec</t>
  </si>
  <si>
    <t>FC_1_TOT July</t>
  </si>
  <si>
    <t>AutoRefresh_PL_Saisie_Estime2</t>
  </si>
  <si>
    <t>Code Management</t>
  </si>
  <si>
    <t>Specific formula for childrens of 2 indicators (Cout_bureau &amp; Loc_bat)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</si>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</sst>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.0%"/>
    <numFmt numFmtId="173" formatCode="00"/>
    <numFmt numFmtId="174" formatCode="#,##0.0;&quot;(&quot;#,##0.0&quot;)&quot;"/>
    <numFmt numFmtId="175" formatCode="#,##0;&quot;(&quot;#,##0&quot;)&quot;"/>
  </numFmts>
  <fonts count="9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b/>
      <sz val="18"/>
      <color indexed="57"/>
      <name val="Wingdings"/>
      <charset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i/>
      <sz val="15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b/>
      <sz val="18"/>
      <color indexed="9"/>
      <name val="Wingdings"/>
      <charset val="2"/>
    </font>
    <font>
      <b/>
      <sz val="12"/>
      <color rgb="FFFF0000"/>
      <name val="Calibri"/>
      <family val="2"/>
    </font>
    <font>
      <sz val="10"/>
      <color rgb="FF0070C0"/>
      <name val="Calibri"/>
      <family val="2"/>
    </font>
    <font>
      <sz val="11"/>
      <name val="Arial"/>
      <family val="2"/>
    </font>
    <font>
      <b/>
      <sz val="10"/>
      <color rgb="FFFF0000"/>
      <name val="Arial"/>
      <family val="2"/>
    </font>
    <font>
      <sz val="10"/>
      <color rgb="FFFFFF00"/>
      <name val="Arial"/>
      <family val="2"/>
    </font>
    <font>
      <sz val="10"/>
      <color rgb="FF000000"/>
      <name val="Verdana"/>
      <family val="2"/>
    </font>
    <font>
      <sz val="12"/>
      <name val="Arial"/>
      <family val="2"/>
    </font>
    <font>
      <sz val="16"/>
      <color rgb="FFFF0000"/>
      <name val="Arial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ADAFB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7F8399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63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 style="medium">
        <color indexed="9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medium">
        <color indexed="46"/>
      </top>
      <bottom style="medium">
        <color indexed="46"/>
      </bottom>
      <diagonal/>
    </border>
    <border>
      <left/>
      <right/>
      <top style="medium">
        <color rgb="FF7E408F"/>
      </top>
      <bottom style="medium">
        <color rgb="FF7E408F"/>
      </bottom>
      <diagonal/>
    </border>
    <border>
      <left style="dotted">
        <color indexed="64"/>
      </left>
      <right/>
      <top/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46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/>
      <bottom style="medium">
        <color indexed="46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thick">
        <color indexed="9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medium">
        <color auto="1"/>
      </bottom>
      <diagonal/>
    </border>
  </borders>
  <cellStyleXfs count="288">
    <xf numFmtId="0" fontId="0" fillId="0" borderId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4" fillId="3" borderId="0" applyNumberFormat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6" fontId="35" fillId="22" borderId="0" applyNumberFormat="0" applyBorder="0">
      <alignment horizontal="right"/>
      <protection locked="0"/>
    </xf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167" fontId="36" fillId="23" borderId="0" applyNumberFormat="0" applyBorder="0">
      <alignment horizontal="right" vertical="center"/>
      <protection locked="0"/>
    </xf>
    <xf numFmtId="168" fontId="36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25" borderId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7" fillId="25" borderId="0"/>
    <xf numFmtId="0" fontId="37" fillId="25" borderId="0"/>
    <xf numFmtId="169" fontId="39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37" fillId="25" borderId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" fillId="12" borderId="0" applyNumberFormat="0" applyBorder="0" applyAlignment="0" applyProtection="0"/>
    <xf numFmtId="0" fontId="40" fillId="27" borderId="10" applyNumberFormat="0" applyAlignment="0" applyProtection="0"/>
    <xf numFmtId="0" fontId="28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70" fontId="43" fillId="28" borderId="0" applyNumberFormat="0" applyBorder="0">
      <alignment horizontal="left" vertical="center"/>
      <protection locked="0"/>
    </xf>
    <xf numFmtId="170" fontId="44" fillId="22" borderId="0" applyNumberFormat="0" applyBorder="0">
      <alignment horizontal="left"/>
      <protection locked="0"/>
    </xf>
    <xf numFmtId="0" fontId="45" fillId="0" borderId="6" applyNumberFormat="0" applyFill="0" applyAlignment="0" applyProtection="0"/>
    <xf numFmtId="0" fontId="46" fillId="0" borderId="11" applyNumberFormat="0" applyFill="0" applyAlignment="0" applyProtection="0"/>
    <xf numFmtId="0" fontId="47" fillId="0" borderId="12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16" fillId="20" borderId="3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1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2" fillId="0" borderId="0" xfId="205" applyFont="1" applyFill="1" applyBorder="1" applyAlignment="1" applyProtection="1">
      <alignment vertical="center"/>
    </xf>
    <xf numFmtId="0" fontId="53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61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2" fillId="30" borderId="14" xfId="0" applyFont="1" applyFill="1" applyBorder="1" applyAlignment="1" applyProtection="1">
      <alignment horizontal="left"/>
      <protection locked="0"/>
    </xf>
    <xf numFmtId="0" fontId="60" fillId="30" borderId="15" xfId="0" applyFont="1" applyFill="1" applyBorder="1" applyProtection="1">
      <protection locked="0"/>
    </xf>
    <xf numFmtId="0" fontId="59" fillId="31" borderId="16" xfId="0" applyFont="1" applyFill="1" applyBorder="1" applyProtection="1">
      <protection locked="0"/>
    </xf>
    <xf numFmtId="0" fontId="59" fillId="0" borderId="16" xfId="0" applyFont="1" applyBorder="1" applyProtection="1">
      <protection locked="0"/>
    </xf>
    <xf numFmtId="0" fontId="59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8" fillId="32" borderId="0" xfId="0" applyFont="1" applyFill="1" applyBorder="1" applyAlignment="1" applyProtection="1">
      <alignment horizontal="left" vertical="center"/>
    </xf>
    <xf numFmtId="0" fontId="7" fillId="29" borderId="19" xfId="0" applyFont="1" applyFill="1" applyBorder="1" applyAlignment="1" applyProtection="1">
      <alignment horizontal="left" vertical="center"/>
    </xf>
    <xf numFmtId="0" fontId="51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53" fillId="0" borderId="0" xfId="222" applyFont="1" applyFill="1" applyBorder="1" applyAlignment="1" applyProtection="1">
      <alignment horizontal="left" vertical="center" wrapText="1"/>
    </xf>
    <xf numFmtId="0" fontId="54" fillId="0" borderId="0" xfId="196" applyFont="1" applyFill="1" applyBorder="1" applyAlignment="1" applyProtection="1">
      <alignment horizontal="center"/>
    </xf>
    <xf numFmtId="3" fontId="55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63" fillId="34" borderId="4" xfId="0" applyFont="1" applyFill="1" applyBorder="1" applyAlignment="1" applyProtection="1">
      <alignment horizontal="center"/>
    </xf>
    <xf numFmtId="0" fontId="64" fillId="30" borderId="4" xfId="0" applyFont="1" applyFill="1" applyBorder="1" applyProtection="1"/>
    <xf numFmtId="0" fontId="0" fillId="35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65" fillId="0" borderId="0" xfId="0" applyFont="1" applyProtection="1"/>
    <xf numFmtId="0" fontId="59" fillId="0" borderId="21" xfId="0" applyFont="1" applyBorder="1" applyProtection="1">
      <protection locked="0"/>
    </xf>
    <xf numFmtId="0" fontId="0" fillId="0" borderId="0" xfId="0" applyProtection="1"/>
    <xf numFmtId="0" fontId="66" fillId="0" borderId="0" xfId="205" applyFont="1" applyFill="1" applyBorder="1" applyAlignment="1" applyProtection="1">
      <alignment horizontal="right" vertical="center" indent="1"/>
    </xf>
    <xf numFmtId="0" fontId="2" fillId="0" borderId="0" xfId="0" applyFont="1" applyProtection="1"/>
    <xf numFmtId="0" fontId="54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32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Border="1" applyProtection="1"/>
    <xf numFmtId="0" fontId="2" fillId="0" borderId="36" xfId="0" applyFont="1" applyFill="1" applyBorder="1" applyProtection="1"/>
    <xf numFmtId="0" fontId="2" fillId="0" borderId="36" xfId="0" applyFont="1" applyBorder="1" applyProtection="1"/>
    <xf numFmtId="0" fontId="2" fillId="0" borderId="35" xfId="0" applyFont="1" applyBorder="1" applyProtection="1"/>
    <xf numFmtId="0" fontId="0" fillId="0" borderId="34" xfId="0" applyBorder="1" applyProtection="1"/>
    <xf numFmtId="0" fontId="3" fillId="38" borderId="34" xfId="205" applyFont="1" applyFill="1" applyBorder="1" applyAlignment="1" applyProtection="1">
      <alignment horizontal="center" vertical="center"/>
    </xf>
    <xf numFmtId="0" fontId="0" fillId="0" borderId="37" xfId="0" applyBorder="1" applyProtection="1"/>
    <xf numFmtId="0" fontId="7" fillId="29" borderId="38" xfId="0" applyFont="1" applyFill="1" applyBorder="1" applyAlignment="1" applyProtection="1">
      <alignment horizontal="left" vertical="center"/>
    </xf>
    <xf numFmtId="0" fontId="0" fillId="0" borderId="36" xfId="0" applyBorder="1" applyProtection="1"/>
    <xf numFmtId="0" fontId="4" fillId="0" borderId="35" xfId="205" applyFont="1" applyFill="1" applyBorder="1" applyAlignment="1" applyProtection="1">
      <alignment vertical="center"/>
    </xf>
    <xf numFmtId="0" fontId="2" fillId="0" borderId="34" xfId="0" applyFont="1" applyBorder="1"/>
    <xf numFmtId="0" fontId="0" fillId="0" borderId="36" xfId="0" applyBorder="1"/>
    <xf numFmtId="0" fontId="0" fillId="0" borderId="35" xfId="0" applyBorder="1"/>
    <xf numFmtId="0" fontId="11" fillId="0" borderId="36" xfId="205" applyFont="1" applyFill="1" applyBorder="1" applyAlignment="1" applyProtection="1">
      <alignment vertical="center"/>
    </xf>
    <xf numFmtId="0" fontId="11" fillId="0" borderId="35" xfId="205" applyFont="1" applyFill="1" applyBorder="1" applyAlignment="1" applyProtection="1">
      <alignment vertical="center"/>
    </xf>
    <xf numFmtId="0" fontId="68" fillId="0" borderId="37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42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70" fillId="0" borderId="37" xfId="0" applyFont="1" applyBorder="1" applyAlignment="1" applyProtection="1">
      <alignment horizontal="center"/>
    </xf>
    <xf numFmtId="0" fontId="21" fillId="0" borderId="0" xfId="196" applyFont="1" applyFill="1" applyBorder="1" applyAlignment="1">
      <alignment horizontal="center" vertical="center"/>
    </xf>
    <xf numFmtId="0" fontId="72" fillId="0" borderId="0" xfId="196" applyFont="1" applyFill="1" applyBorder="1" applyAlignment="1" applyProtection="1">
      <alignment horizontal="center"/>
    </xf>
    <xf numFmtId="0" fontId="2" fillId="0" borderId="44" xfId="0" applyFont="1" applyBorder="1" applyProtection="1"/>
    <xf numFmtId="0" fontId="0" fillId="0" borderId="34" xfId="0" applyFont="1" applyFill="1" applyBorder="1" applyProtection="1"/>
    <xf numFmtId="0" fontId="4" fillId="0" borderId="36" xfId="205" applyFont="1" applyFill="1" applyBorder="1" applyAlignment="1" applyProtection="1">
      <alignment vertical="center"/>
    </xf>
    <xf numFmtId="0" fontId="63" fillId="0" borderId="41" xfId="0" applyFont="1" applyBorder="1" applyAlignment="1" applyProtection="1">
      <alignment horizontal="center"/>
    </xf>
    <xf numFmtId="0" fontId="68" fillId="0" borderId="34" xfId="0" applyFont="1" applyBorder="1" applyAlignment="1" applyProtection="1">
      <alignment horizontal="center"/>
    </xf>
    <xf numFmtId="0" fontId="69" fillId="0" borderId="35" xfId="0" applyFont="1" applyBorder="1" applyAlignment="1" applyProtection="1">
      <alignment horizontal="center" vertical="center"/>
    </xf>
    <xf numFmtId="0" fontId="66" fillId="0" borderId="0" xfId="222" applyFont="1" applyFill="1" applyBorder="1" applyAlignment="1" applyProtection="1">
      <alignment horizontal="left" vertical="center"/>
    </xf>
    <xf numFmtId="0" fontId="0" fillId="0" borderId="36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0" fillId="0" borderId="34" xfId="0" applyBorder="1"/>
    <xf numFmtId="0" fontId="0" fillId="40" borderId="0" xfId="0" applyFill="1" applyProtection="1"/>
    <xf numFmtId="0" fontId="52" fillId="40" borderId="0" xfId="205" applyFont="1" applyFill="1" applyBorder="1" applyAlignment="1" applyProtection="1">
      <alignment vertical="center"/>
    </xf>
    <xf numFmtId="0" fontId="18" fillId="40" borderId="0" xfId="196" applyFont="1" applyFill="1" applyBorder="1" applyAlignment="1" applyProtection="1">
      <alignment horizontal="center"/>
    </xf>
    <xf numFmtId="0" fontId="53" fillId="29" borderId="0" xfId="222" applyFont="1" applyFill="1" applyBorder="1" applyAlignment="1" applyProtection="1">
      <alignment horizontal="left" vertical="center" indent="2"/>
    </xf>
    <xf numFmtId="0" fontId="56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5" fillId="0" borderId="0" xfId="222" applyFont="1" applyFill="1" applyBorder="1" applyAlignment="1" applyProtection="1">
      <alignment horizontal="left" vertical="center"/>
    </xf>
    <xf numFmtId="0" fontId="55" fillId="0" borderId="0" xfId="222" applyFont="1" applyFill="1" applyBorder="1" applyAlignment="1" applyProtection="1">
      <alignment horizontal="left" vertical="center"/>
    </xf>
    <xf numFmtId="0" fontId="56" fillId="0" borderId="46" xfId="222" applyFont="1" applyFill="1" applyBorder="1" applyAlignment="1" applyProtection="1">
      <alignment horizontal="left" vertical="center"/>
    </xf>
    <xf numFmtId="0" fontId="20" fillId="0" borderId="46" xfId="222" applyFont="1" applyFill="1" applyBorder="1" applyAlignment="1" applyProtection="1">
      <alignment horizontal="left" vertical="center"/>
    </xf>
    <xf numFmtId="0" fontId="66" fillId="0" borderId="0" xfId="222" applyFont="1" applyFill="1" applyBorder="1" applyAlignment="1" applyProtection="1">
      <alignment vertical="center"/>
    </xf>
    <xf numFmtId="0" fontId="80" fillId="0" borderId="0" xfId="196" applyFont="1" applyFill="1" applyBorder="1" applyAlignment="1">
      <alignment horizontal="center" vertical="center"/>
    </xf>
    <xf numFmtId="172" fontId="77" fillId="0" borderId="0" xfId="222" applyNumberFormat="1" applyFont="1" applyFill="1" applyBorder="1" applyAlignment="1">
      <alignment horizontal="right" vertical="center" wrapText="1" indent="1"/>
    </xf>
    <xf numFmtId="172" fontId="78" fillId="0" borderId="0" xfId="222" applyNumberFormat="1" applyFont="1" applyFill="1" applyBorder="1" applyAlignment="1" applyProtection="1">
      <alignment horizontal="right" vertical="center" indent="1"/>
    </xf>
    <xf numFmtId="172" fontId="76" fillId="0" borderId="0" xfId="222" applyNumberFormat="1" applyFont="1" applyFill="1" applyBorder="1" applyAlignment="1" applyProtection="1">
      <alignment horizontal="right" vertical="center" indent="1"/>
    </xf>
    <xf numFmtId="172" fontId="56" fillId="0" borderId="0" xfId="222" applyNumberFormat="1" applyFont="1" applyFill="1" applyBorder="1" applyAlignment="1" applyProtection="1">
      <alignment horizontal="right" vertical="center" indent="1"/>
    </xf>
    <xf numFmtId="0" fontId="0" fillId="0" borderId="47" xfId="0" applyBorder="1" applyProtection="1"/>
    <xf numFmtId="0" fontId="0" fillId="0" borderId="48" xfId="0" applyBorder="1" applyProtection="1"/>
    <xf numFmtId="0" fontId="4" fillId="0" borderId="48" xfId="205" applyFont="1" applyFill="1" applyBorder="1" applyAlignment="1" applyProtection="1">
      <alignment vertical="center"/>
    </xf>
    <xf numFmtId="0" fontId="2" fillId="0" borderId="48" xfId="0" applyFont="1" applyBorder="1" applyProtection="1"/>
    <xf numFmtId="0" fontId="58" fillId="0" borderId="48" xfId="0" applyFont="1" applyBorder="1" applyProtection="1"/>
    <xf numFmtId="0" fontId="9" fillId="0" borderId="48" xfId="205" applyFont="1" applyFill="1" applyBorder="1" applyAlignment="1" applyProtection="1">
      <alignment horizontal="center" vertical="center"/>
    </xf>
    <xf numFmtId="0" fontId="4" fillId="0" borderId="48" xfId="205" applyFont="1" applyFill="1" applyBorder="1" applyAlignment="1" applyProtection="1">
      <alignment horizontal="center" vertical="center"/>
    </xf>
    <xf numFmtId="0" fontId="1" fillId="0" borderId="48" xfId="275" applyFill="1" applyBorder="1"/>
    <xf numFmtId="0" fontId="3" fillId="0" borderId="48" xfId="205" applyFont="1" applyFill="1" applyBorder="1" applyAlignment="1" applyProtection="1">
      <alignment horizontal="center" vertical="center"/>
    </xf>
    <xf numFmtId="0" fontId="2" fillId="0" borderId="48" xfId="0" applyFont="1" applyFill="1" applyBorder="1" applyProtection="1"/>
    <xf numFmtId="0" fontId="1" fillId="0" borderId="48" xfId="279" applyFill="1" applyBorder="1"/>
    <xf numFmtId="0" fontId="0" fillId="0" borderId="48" xfId="0" applyFill="1" applyBorder="1" applyProtection="1"/>
    <xf numFmtId="174" fontId="53" fillId="0" borderId="0" xfId="222" applyNumberFormat="1" applyFont="1" applyFill="1" applyBorder="1" applyAlignment="1">
      <alignment horizontal="right" vertical="center" wrapText="1" indent="1"/>
    </xf>
    <xf numFmtId="174" fontId="52" fillId="0" borderId="0" xfId="205" applyNumberFormat="1" applyFont="1" applyFill="1" applyBorder="1" applyAlignment="1" applyProtection="1">
      <alignment horizontal="right" vertical="center" indent="1"/>
    </xf>
    <xf numFmtId="174" fontId="55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56" fillId="41" borderId="46" xfId="222" applyNumberFormat="1" applyFont="1" applyFill="1" applyBorder="1" applyAlignment="1" applyProtection="1">
      <alignment horizontal="right" vertical="center" indent="1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indent="1"/>
    </xf>
    <xf numFmtId="174" fontId="76" fillId="0" borderId="0" xfId="222" applyNumberFormat="1" applyFont="1" applyFill="1" applyBorder="1" applyAlignment="1" applyProtection="1">
      <alignment horizontal="right" vertical="center" indent="1"/>
    </xf>
    <xf numFmtId="174" fontId="76" fillId="0" borderId="0" xfId="205" applyNumberFormat="1" applyFont="1" applyFill="1" applyBorder="1" applyAlignment="1" applyProtection="1">
      <alignment horizontal="right" vertical="center" indent="1"/>
    </xf>
    <xf numFmtId="174" fontId="77" fillId="0" borderId="0" xfId="222" applyNumberFormat="1" applyFont="1" applyFill="1" applyBorder="1" applyAlignment="1">
      <alignment horizontal="right" vertical="center" wrapText="1" indent="1"/>
    </xf>
    <xf numFmtId="174" fontId="56" fillId="0" borderId="30" xfId="222" applyNumberFormat="1" applyFont="1" applyFill="1" applyBorder="1" applyAlignment="1" applyProtection="1">
      <alignment horizontal="right" vertical="center" indent="1"/>
    </xf>
    <xf numFmtId="174" fontId="56" fillId="0" borderId="43" xfId="222" applyNumberFormat="1" applyFont="1" applyFill="1" applyBorder="1" applyAlignment="1" applyProtection="1">
      <alignment horizontal="right" vertical="center" indent="1"/>
    </xf>
    <xf numFmtId="174" fontId="56" fillId="0" borderId="0" xfId="222" applyNumberFormat="1" applyFont="1" applyFill="1" applyBorder="1" applyAlignment="1" applyProtection="1">
      <alignment horizontal="right" vertical="center" indent="1"/>
    </xf>
    <xf numFmtId="174" fontId="78" fillId="0" borderId="0" xfId="222" applyNumberFormat="1" applyFont="1" applyFill="1" applyBorder="1" applyAlignment="1" applyProtection="1">
      <alignment horizontal="right" vertical="center" indent="1"/>
    </xf>
    <xf numFmtId="174" fontId="79" fillId="0" borderId="0" xfId="222" applyNumberFormat="1" applyFont="1" applyFill="1" applyBorder="1" applyAlignment="1" applyProtection="1">
      <alignment horizontal="right" vertical="center" indent="1"/>
    </xf>
    <xf numFmtId="174" fontId="66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wrapText="1" indent="1"/>
    </xf>
    <xf numFmtId="174" fontId="55" fillId="0" borderId="0" xfId="222" applyNumberFormat="1" applyFont="1" applyFill="1" applyBorder="1" applyAlignment="1" applyProtection="1">
      <alignment horizontal="right" vertical="center" wrapText="1" indent="1"/>
    </xf>
    <xf numFmtId="174" fontId="56" fillId="41" borderId="30" xfId="222" applyNumberFormat="1" applyFont="1" applyFill="1" applyBorder="1" applyAlignment="1" applyProtection="1">
      <alignment horizontal="right" vertical="center" indent="1"/>
    </xf>
    <xf numFmtId="0" fontId="20" fillId="0" borderId="0" xfId="0" applyFont="1" applyFill="1" applyBorder="1" applyAlignment="1" applyProtection="1">
      <alignment horizontal="left" vertical="center"/>
    </xf>
    <xf numFmtId="0" fontId="73" fillId="39" borderId="0" xfId="0" applyFont="1" applyFill="1" applyBorder="1" applyProtection="1"/>
    <xf numFmtId="0" fontId="0" fillId="0" borderId="35" xfId="0" applyBorder="1" applyProtection="1"/>
    <xf numFmtId="17" fontId="50" fillId="0" borderId="0" xfId="0" applyNumberFormat="1" applyFont="1" applyFill="1" applyBorder="1" applyAlignment="1">
      <alignment vertical="center" wrapText="1"/>
    </xf>
    <xf numFmtId="0" fontId="50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8" fillId="36" borderId="0" xfId="0" applyFont="1" applyFill="1" applyAlignment="1" applyProtection="1">
      <alignment horizontal="right"/>
    </xf>
    <xf numFmtId="0" fontId="4" fillId="42" borderId="0" xfId="205" applyFont="1" applyFill="1" applyBorder="1" applyAlignment="1" applyProtection="1">
      <alignment vertical="center"/>
    </xf>
    <xf numFmtId="0" fontId="0" fillId="36" borderId="0" xfId="0" applyFill="1" applyBorder="1" applyProtection="1"/>
    <xf numFmtId="0" fontId="19" fillId="36" borderId="0" xfId="0" applyFont="1" applyFill="1" applyAlignment="1" applyProtection="1">
      <alignment horizontal="right" vertical="center"/>
    </xf>
    <xf numFmtId="0" fontId="81" fillId="42" borderId="0" xfId="205" applyFont="1" applyFill="1" applyBorder="1" applyAlignment="1" applyProtection="1">
      <alignment horizontal="right" vertical="center"/>
    </xf>
    <xf numFmtId="0" fontId="3" fillId="42" borderId="0" xfId="205" applyFont="1" applyFill="1" applyBorder="1" applyAlignment="1" applyProtection="1">
      <alignment horizontal="center" vertical="center"/>
    </xf>
    <xf numFmtId="0" fontId="58" fillId="36" borderId="0" xfId="0" applyFont="1" applyFill="1" applyBorder="1" applyAlignment="1" applyProtection="1">
      <alignment horizontal="right"/>
    </xf>
    <xf numFmtId="0" fontId="4" fillId="36" borderId="0" xfId="205" applyFont="1" applyFill="1" applyBorder="1" applyAlignment="1" applyProtection="1">
      <alignment vertical="center"/>
    </xf>
    <xf numFmtId="0" fontId="0" fillId="36" borderId="0" xfId="0" applyFill="1" applyProtection="1"/>
    <xf numFmtId="0" fontId="82" fillId="0" borderId="48" xfId="205" applyFont="1" applyFill="1" applyBorder="1" applyAlignment="1" applyProtection="1">
      <alignment horizontal="center" vertical="center"/>
    </xf>
    <xf numFmtId="174" fontId="74" fillId="0" borderId="0" xfId="222" applyNumberFormat="1" applyFont="1" applyFill="1" applyBorder="1" applyAlignment="1" applyProtection="1">
      <alignment horizontal="right" vertical="center" indent="1"/>
    </xf>
    <xf numFmtId="174" fontId="74" fillId="0" borderId="0" xfId="222" applyNumberFormat="1" applyFont="1" applyFill="1" applyBorder="1" applyAlignment="1">
      <alignment horizontal="right" vertical="center" wrapText="1" indent="1"/>
    </xf>
    <xf numFmtId="174" fontId="74" fillId="0" borderId="0" xfId="205" applyNumberFormat="1" applyFont="1" applyFill="1" applyBorder="1" applyAlignment="1" applyProtection="1">
      <alignment horizontal="right" vertical="center" indent="1"/>
    </xf>
    <xf numFmtId="0" fontId="84" fillId="0" borderId="0" xfId="0" applyFont="1" applyProtection="1"/>
    <xf numFmtId="0" fontId="0" fillId="0" borderId="0" xfId="0" applyAlignment="1" applyProtection="1">
      <alignment horizontal="center"/>
    </xf>
    <xf numFmtId="0" fontId="85" fillId="43" borderId="0" xfId="0" applyFont="1" applyFill="1" applyAlignment="1" applyProtection="1">
      <alignment horizontal="center"/>
    </xf>
    <xf numFmtId="0" fontId="0" fillId="0" borderId="5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1" xfId="0" applyBorder="1" applyAlignment="1" applyProtection="1">
      <alignment horizontal="center" vertic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4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0" fillId="0" borderId="54" xfId="0" applyBorder="1" applyAlignment="1">
      <alignment horizontal="center"/>
    </xf>
    <xf numFmtId="0" fontId="19" fillId="0" borderId="37" xfId="0" applyFont="1" applyFill="1" applyBorder="1" applyAlignment="1" applyProtection="1">
      <alignment horizontal="center" vertical="center"/>
    </xf>
    <xf numFmtId="0" fontId="0" fillId="0" borderId="55" xfId="0" applyBorder="1" applyAlignment="1">
      <alignment horizontal="center"/>
    </xf>
    <xf numFmtId="0" fontId="19" fillId="0" borderId="37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19" fillId="0" borderId="37" xfId="0" applyFont="1" applyBorder="1" applyAlignment="1" applyProtection="1">
      <alignment horizontal="center" vertical="center"/>
    </xf>
    <xf numFmtId="0" fontId="0" fillId="0" borderId="3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1" fontId="0" fillId="0" borderId="41" xfId="0" applyNumberFormat="1" applyBorder="1" applyAlignment="1" applyProtection="1">
      <alignment horizontal="center" vertical="center"/>
    </xf>
    <xf numFmtId="0" fontId="71" fillId="0" borderId="0" xfId="0" applyFont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174" fontId="8" fillId="32" borderId="0" xfId="0" applyNumberFormat="1" applyFont="1" applyFill="1" applyBorder="1" applyAlignment="1">
      <alignment horizontal="right" vertical="center" wrapText="1" indent="1"/>
    </xf>
    <xf numFmtId="171" fontId="53" fillId="37" borderId="0" xfId="222" applyNumberFormat="1" applyFont="1" applyFill="1" applyBorder="1" applyAlignment="1" applyProtection="1">
      <alignment horizontal="right" vertical="center" indent="1"/>
      <protection locked="0"/>
    </xf>
    <xf numFmtId="174" fontId="56" fillId="37" borderId="30" xfId="222" applyNumberFormat="1" applyFont="1" applyFill="1" applyBorder="1" applyAlignment="1" applyProtection="1">
      <alignment horizontal="right" vertical="center" indent="1"/>
      <protection locked="0"/>
    </xf>
    <xf numFmtId="0" fontId="86" fillId="0" borderId="0" xfId="0" applyFont="1" applyAlignment="1">
      <alignment horizontal="center"/>
    </xf>
    <xf numFmtId="0" fontId="68" fillId="36" borderId="0" xfId="0" applyFont="1" applyFill="1" applyBorder="1" applyProtection="1"/>
    <xf numFmtId="0" fontId="63" fillId="36" borderId="0" xfId="0" applyFont="1" applyFill="1" applyBorder="1" applyProtection="1"/>
    <xf numFmtId="0" fontId="68" fillId="0" borderId="0" xfId="0" applyFont="1" applyProtection="1"/>
    <xf numFmtId="0" fontId="87" fillId="0" borderId="0" xfId="0" applyFont="1" applyBorder="1" applyProtection="1"/>
    <xf numFmtId="0" fontId="2" fillId="0" borderId="0" xfId="0" applyFont="1"/>
    <xf numFmtId="171" fontId="53" fillId="40" borderId="0" xfId="222" applyNumberFormat="1" applyFont="1" applyFill="1" applyBorder="1" applyAlignment="1" applyProtection="1">
      <alignment horizontal="right" vertical="center" indent="1"/>
    </xf>
    <xf numFmtId="174" fontId="55" fillId="40" borderId="0" xfId="205" applyNumberFormat="1" applyFont="1" applyFill="1" applyBorder="1" applyAlignment="1" applyProtection="1">
      <alignment horizontal="right" vertical="center" indent="1"/>
    </xf>
    <xf numFmtId="174" fontId="74" fillId="40" borderId="0" xfId="205" applyNumberFormat="1" applyFont="1" applyFill="1" applyBorder="1" applyAlignment="1" applyProtection="1">
      <alignment horizontal="right" vertical="center" indent="1"/>
    </xf>
    <xf numFmtId="174" fontId="53" fillId="40" borderId="0" xfId="205" applyNumberFormat="1" applyFont="1" applyFill="1" applyBorder="1" applyAlignment="1" applyProtection="1">
      <alignment horizontal="right" vertical="center" indent="1"/>
    </xf>
    <xf numFmtId="171" fontId="53" fillId="0" borderId="0" xfId="222" applyNumberFormat="1" applyFont="1" applyFill="1" applyBorder="1" applyAlignment="1" applyProtection="1">
      <alignment horizontal="right" vertical="center" indent="1"/>
    </xf>
    <xf numFmtId="0" fontId="19" fillId="36" borderId="0" xfId="0" applyFont="1" applyFill="1" applyBorder="1" applyProtection="1"/>
    <xf numFmtId="0" fontId="88" fillId="0" borderId="0" xfId="0" applyFont="1" applyFill="1" applyAlignment="1" applyProtection="1"/>
    <xf numFmtId="0" fontId="19" fillId="0" borderId="34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53" fillId="29" borderId="0" xfId="222" applyFont="1" applyFill="1" applyBorder="1" applyAlignment="1" applyProtection="1">
      <alignment horizontal="left" vertical="center" indent="2"/>
    </xf>
    <xf numFmtId="0" fontId="63" fillId="0" borderId="41" xfId="0" applyFont="1" applyBorder="1" applyAlignment="1" applyProtection="1">
      <alignment horizontal="center"/>
    </xf>
    <xf numFmtId="0" fontId="49" fillId="30" borderId="0" xfId="0" applyFont="1" applyFill="1" applyBorder="1" applyAlignment="1" applyProtection="1">
      <alignment horizontal="center" vertical="center"/>
    </xf>
    <xf numFmtId="175" fontId="74" fillId="0" borderId="0" xfId="222" applyNumberFormat="1" applyFont="1" applyFill="1" applyBorder="1" applyAlignment="1">
      <alignment horizontal="right" vertical="center" wrapText="1" indent="1"/>
    </xf>
    <xf numFmtId="175" fontId="53" fillId="0" borderId="0" xfId="222" applyNumberFormat="1" applyFont="1" applyFill="1" applyBorder="1" applyAlignment="1">
      <alignment horizontal="right" vertical="center" wrapText="1" indent="1"/>
    </xf>
    <xf numFmtId="175" fontId="4" fillId="0" borderId="0" xfId="222" applyNumberFormat="1" applyFont="1" applyFill="1" applyBorder="1" applyAlignment="1">
      <alignment horizontal="left" vertical="center"/>
    </xf>
    <xf numFmtId="175" fontId="74" fillId="0" borderId="0" xfId="222" applyNumberFormat="1" applyFont="1" applyFill="1" applyBorder="1" applyAlignment="1" applyProtection="1">
      <alignment horizontal="right" vertical="center" indent="1"/>
    </xf>
    <xf numFmtId="175" fontId="53" fillId="0" borderId="0" xfId="222" applyNumberFormat="1" applyFont="1" applyFill="1" applyBorder="1" applyAlignment="1" applyProtection="1">
      <alignment horizontal="right" vertical="center" indent="1"/>
    </xf>
    <xf numFmtId="175" fontId="76" fillId="0" borderId="0" xfId="222" applyNumberFormat="1" applyFont="1" applyFill="1" applyBorder="1" applyAlignment="1" applyProtection="1">
      <alignment horizontal="right" vertical="center" indent="1"/>
    </xf>
    <xf numFmtId="175" fontId="56" fillId="0" borderId="0" xfId="222" applyNumberFormat="1" applyFont="1" applyFill="1" applyBorder="1" applyAlignment="1" applyProtection="1">
      <alignment horizontal="right" vertical="center" indent="1"/>
    </xf>
    <xf numFmtId="175" fontId="79" fillId="0" borderId="0" xfId="222" applyNumberFormat="1" applyFont="1" applyFill="1" applyBorder="1" applyAlignment="1" applyProtection="1">
      <alignment horizontal="right" vertical="center" indent="1"/>
    </xf>
    <xf numFmtId="175" fontId="56" fillId="0" borderId="30" xfId="222" applyNumberFormat="1" applyFont="1" applyFill="1" applyBorder="1" applyAlignment="1" applyProtection="1">
      <alignment horizontal="right" vertical="center" indent="1"/>
    </xf>
    <xf numFmtId="175" fontId="53" fillId="0" borderId="0" xfId="205" applyNumberFormat="1" applyFont="1" applyFill="1" applyBorder="1" applyAlignment="1" applyProtection="1">
      <alignment horizontal="right" vertical="center" indent="1"/>
    </xf>
    <xf numFmtId="175" fontId="53" fillId="40" borderId="0" xfId="222" applyNumberFormat="1" applyFont="1" applyFill="1" applyBorder="1" applyAlignment="1" applyProtection="1">
      <alignment horizontal="right" vertical="center" indent="1"/>
    </xf>
    <xf numFmtId="175" fontId="74" fillId="0" borderId="0" xfId="205" applyNumberFormat="1" applyFont="1" applyFill="1" applyBorder="1" applyAlignment="1" applyProtection="1">
      <alignment horizontal="right" vertical="center" indent="1"/>
    </xf>
    <xf numFmtId="175" fontId="55" fillId="0" borderId="0" xfId="205" applyNumberFormat="1" applyFont="1" applyFill="1" applyBorder="1" applyAlignment="1" applyProtection="1">
      <alignment horizontal="right" vertical="center" indent="1"/>
    </xf>
    <xf numFmtId="175" fontId="55" fillId="40" borderId="0" xfId="205" applyNumberFormat="1" applyFont="1" applyFill="1" applyBorder="1" applyAlignment="1" applyProtection="1">
      <alignment horizontal="right" vertical="center" indent="1"/>
    </xf>
    <xf numFmtId="175" fontId="74" fillId="40" borderId="0" xfId="205" applyNumberFormat="1" applyFont="1" applyFill="1" applyBorder="1" applyAlignment="1" applyProtection="1">
      <alignment horizontal="right" vertical="center" indent="1"/>
    </xf>
    <xf numFmtId="175" fontId="53" fillId="40" borderId="0" xfId="205" applyNumberFormat="1" applyFont="1" applyFill="1" applyBorder="1" applyAlignment="1" applyProtection="1">
      <alignment horizontal="right" vertical="center" indent="1"/>
    </xf>
    <xf numFmtId="175" fontId="77" fillId="0" borderId="0" xfId="222" applyNumberFormat="1" applyFont="1" applyFill="1" applyBorder="1" applyAlignment="1">
      <alignment horizontal="right" vertical="center" wrapText="1" indent="1"/>
    </xf>
    <xf numFmtId="175" fontId="80" fillId="0" borderId="0" xfId="196" applyNumberFormat="1" applyFont="1" applyFill="1" applyBorder="1" applyAlignment="1">
      <alignment horizontal="center" vertical="center"/>
    </xf>
    <xf numFmtId="175" fontId="20" fillId="0" borderId="0" xfId="205" applyNumberFormat="1" applyFont="1" applyFill="1" applyBorder="1" applyAlignment="1" applyProtection="1">
      <alignment horizontal="right" vertical="center" indent="1"/>
    </xf>
    <xf numFmtId="175" fontId="78" fillId="0" borderId="0" xfId="222" applyNumberFormat="1" applyFont="1" applyFill="1" applyBorder="1" applyAlignment="1" applyProtection="1">
      <alignment horizontal="right" vertical="center" indent="1"/>
    </xf>
    <xf numFmtId="175" fontId="21" fillId="0" borderId="0" xfId="196" applyNumberFormat="1" applyFont="1" applyFill="1" applyBorder="1" applyAlignment="1">
      <alignment horizontal="center" vertical="center"/>
    </xf>
    <xf numFmtId="0" fontId="2" fillId="45" borderId="0" xfId="0" applyFont="1" applyFill="1" applyAlignment="1" applyProtection="1">
      <alignment horizontal="center"/>
    </xf>
    <xf numFmtId="0" fontId="83" fillId="0" borderId="0" xfId="0" applyFont="1" applyAlignment="1" applyProtection="1">
      <alignment horizontal="left"/>
    </xf>
    <xf numFmtId="175" fontId="52" fillId="0" borderId="0" xfId="205" applyNumberFormat="1" applyFont="1" applyFill="1" applyBorder="1" applyAlignment="1" applyProtection="1">
      <alignment horizontal="right" vertical="center" indent="1"/>
    </xf>
    <xf numFmtId="175" fontId="53" fillId="37" borderId="0" xfId="222" applyNumberFormat="1" applyFont="1" applyFill="1" applyBorder="1" applyAlignment="1" applyProtection="1">
      <alignment horizontal="right" vertical="center" indent="1"/>
      <protection locked="0"/>
    </xf>
    <xf numFmtId="175" fontId="76" fillId="0" borderId="0" xfId="205" applyNumberFormat="1" applyFont="1" applyFill="1" applyBorder="1" applyAlignment="1" applyProtection="1">
      <alignment horizontal="right" vertical="center" indent="1"/>
    </xf>
    <xf numFmtId="0" fontId="4" fillId="36" borderId="0" xfId="0" applyFont="1" applyFill="1" applyAlignment="1" applyProtection="1">
      <alignment horizontal="left" indent="1"/>
    </xf>
    <xf numFmtId="0" fontId="8" fillId="47" borderId="0" xfId="196" applyFont="1" applyFill="1" applyBorder="1" applyAlignment="1">
      <alignment horizontal="left" vertical="center"/>
    </xf>
    <xf numFmtId="0" fontId="7" fillId="36" borderId="19" xfId="196" applyFont="1" applyFill="1" applyBorder="1" applyAlignment="1">
      <alignment horizontal="left" vertical="center"/>
    </xf>
    <xf numFmtId="0" fontId="49" fillId="48" borderId="0" xfId="0" applyFont="1" applyFill="1" applyBorder="1" applyAlignment="1" applyProtection="1">
      <alignment horizontal="center" vertical="center"/>
    </xf>
    <xf numFmtId="175" fontId="89" fillId="49" borderId="0" xfId="0" applyNumberFormat="1" applyFont="1" applyFill="1" applyBorder="1" applyAlignment="1">
      <alignment horizontal="right" vertical="center" wrapText="1" indent="1"/>
    </xf>
    <xf numFmtId="175" fontId="90" fillId="0" borderId="0" xfId="205" applyNumberFormat="1" applyFont="1" applyFill="1" applyBorder="1" applyAlignment="1" applyProtection="1">
      <alignment horizontal="right" vertical="center" indent="1"/>
    </xf>
    <xf numFmtId="175" fontId="56" fillId="41" borderId="62" xfId="222" applyNumberFormat="1" applyFont="1" applyFill="1" applyBorder="1" applyAlignment="1" applyProtection="1">
      <alignment horizontal="right" vertical="center" indent="1"/>
    </xf>
    <xf numFmtId="175" fontId="20" fillId="0" borderId="62" xfId="205" applyNumberFormat="1" applyFont="1" applyFill="1" applyBorder="1" applyAlignment="1" applyProtection="1">
      <alignment horizontal="right" vertical="center" indent="1"/>
    </xf>
    <xf numFmtId="175" fontId="52" fillId="0" borderId="62" xfId="205" applyNumberFormat="1" applyFont="1" applyFill="1" applyBorder="1" applyAlignment="1" applyProtection="1">
      <alignment horizontal="right" vertical="center" indent="1"/>
    </xf>
    <xf numFmtId="175" fontId="89" fillId="41" borderId="62" xfId="222" applyNumberFormat="1" applyFont="1" applyFill="1" applyBorder="1" applyAlignment="1" applyProtection="1">
      <alignment horizontal="right" vertical="center" indent="1"/>
    </xf>
    <xf numFmtId="175" fontId="89" fillId="41" borderId="40" xfId="222" applyNumberFormat="1" applyFont="1" applyFill="1" applyBorder="1" applyAlignment="1" applyProtection="1">
      <alignment horizontal="right" vertical="center" indent="1"/>
    </xf>
    <xf numFmtId="0" fontId="60" fillId="30" borderId="14" xfId="0" applyFont="1" applyFill="1" applyBorder="1" applyAlignment="1" applyProtection="1">
      <alignment horizontal="left" vertical="center"/>
      <protection locked="0"/>
    </xf>
    <xf numFmtId="0" fontId="19" fillId="0" borderId="34" xfId="0" applyFont="1" applyBorder="1" applyAlignment="1" applyProtection="1">
      <alignment horizontal="center" vertical="center"/>
    </xf>
    <xf numFmtId="0" fontId="19" fillId="0" borderId="35" xfId="0" applyFont="1" applyBorder="1" applyAlignment="1" applyProtection="1">
      <alignment horizontal="center" vertical="center"/>
    </xf>
    <xf numFmtId="0" fontId="19" fillId="0" borderId="36" xfId="0" applyFont="1" applyBorder="1" applyAlignment="1" applyProtection="1">
      <alignment horizontal="center" vertical="center"/>
    </xf>
    <xf numFmtId="0" fontId="19" fillId="0" borderId="34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/>
    </xf>
    <xf numFmtId="0" fontId="19" fillId="0" borderId="35" xfId="0" applyFont="1" applyFill="1" applyBorder="1" applyAlignment="1" applyProtection="1">
      <alignment horizontal="center" vertical="center"/>
    </xf>
    <xf numFmtId="0" fontId="83" fillId="0" borderId="39" xfId="0" applyFont="1" applyBorder="1" applyAlignment="1" applyProtection="1">
      <alignment horizontal="center" vertical="center"/>
    </xf>
    <xf numFmtId="0" fontId="83" fillId="0" borderId="40" xfId="0" applyFont="1" applyBorder="1" applyAlignment="1" applyProtection="1">
      <alignment horizontal="center" vertical="center"/>
    </xf>
    <xf numFmtId="0" fontId="2" fillId="0" borderId="40" xfId="0" applyFont="1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53" fillId="29" borderId="0" xfId="222" applyFont="1" applyFill="1" applyBorder="1" applyAlignment="1" applyProtection="1">
      <alignment horizontal="left" vertical="center" indent="3"/>
    </xf>
    <xf numFmtId="0" fontId="74" fillId="29" borderId="0" xfId="222" applyFont="1" applyFill="1" applyBorder="1" applyAlignment="1" applyProtection="1">
      <alignment horizontal="left" vertical="center" indent="1"/>
    </xf>
    <xf numFmtId="0" fontId="53" fillId="29" borderId="0" xfId="222" applyFont="1" applyFill="1" applyBorder="1" applyAlignment="1" applyProtection="1">
      <alignment horizontal="left" vertical="center" indent="2"/>
    </xf>
    <xf numFmtId="0" fontId="89" fillId="29" borderId="62" xfId="222" applyFont="1" applyFill="1" applyBorder="1" applyAlignment="1" applyProtection="1">
      <alignment horizontal="left" vertical="center"/>
    </xf>
    <xf numFmtId="0" fontId="53" fillId="29" borderId="0" xfId="222" applyFont="1" applyFill="1" applyBorder="1" applyAlignment="1" applyProtection="1">
      <alignment horizontal="left" vertical="center" indent="1"/>
    </xf>
    <xf numFmtId="2" fontId="53" fillId="29" borderId="0" xfId="222" applyNumberFormat="1" applyFont="1" applyFill="1" applyBorder="1" applyAlignment="1">
      <alignment horizontal="left" vertical="center" indent="2"/>
    </xf>
    <xf numFmtId="0" fontId="89" fillId="49" borderId="0" xfId="0" applyFont="1" applyFill="1" applyBorder="1" applyAlignment="1">
      <alignment horizontal="left" vertical="center"/>
    </xf>
    <xf numFmtId="0" fontId="74" fillId="29" borderId="0" xfId="222" applyFont="1" applyFill="1" applyBorder="1" applyAlignment="1">
      <alignment horizontal="left" vertical="center"/>
    </xf>
    <xf numFmtId="0" fontId="89" fillId="29" borderId="40" xfId="222" applyFont="1" applyFill="1" applyBorder="1" applyAlignment="1" applyProtection="1">
      <alignment horizontal="left" vertical="center"/>
    </xf>
    <xf numFmtId="0" fontId="53" fillId="37" borderId="25" xfId="205" applyFont="1" applyFill="1" applyBorder="1" applyAlignment="1" applyProtection="1">
      <alignment horizontal="left" vertical="center"/>
      <protection locked="0"/>
    </xf>
    <xf numFmtId="0" fontId="53" fillId="37" borderId="0" xfId="205" applyFont="1" applyFill="1" applyBorder="1" applyAlignment="1" applyProtection="1">
      <alignment horizontal="left" vertical="center"/>
      <protection locked="0"/>
    </xf>
    <xf numFmtId="0" fontId="53" fillId="37" borderId="26" xfId="205" applyFont="1" applyFill="1" applyBorder="1" applyAlignment="1" applyProtection="1">
      <alignment horizontal="left" vertical="center"/>
      <protection locked="0"/>
    </xf>
    <xf numFmtId="0" fontId="53" fillId="37" borderId="23" xfId="205" applyFont="1" applyFill="1" applyBorder="1" applyAlignment="1" applyProtection="1">
      <alignment horizontal="left" vertical="center"/>
      <protection locked="0"/>
    </xf>
    <xf numFmtId="0" fontId="53" fillId="37" borderId="24" xfId="205" applyFont="1" applyFill="1" applyBorder="1" applyAlignment="1" applyProtection="1">
      <alignment horizontal="left" vertical="center"/>
      <protection locked="0"/>
    </xf>
    <xf numFmtId="0" fontId="53" fillId="37" borderId="22" xfId="205" applyFont="1" applyFill="1" applyBorder="1" applyAlignment="1" applyProtection="1">
      <alignment horizontal="left" vertical="center"/>
      <protection locked="0"/>
    </xf>
    <xf numFmtId="0" fontId="69" fillId="0" borderId="39" xfId="0" applyFont="1" applyBorder="1" applyAlignment="1" applyProtection="1">
      <alignment horizontal="center"/>
    </xf>
    <xf numFmtId="0" fontId="69" fillId="0" borderId="40" xfId="0" applyFont="1" applyBorder="1" applyAlignment="1" applyProtection="1">
      <alignment horizontal="center"/>
    </xf>
    <xf numFmtId="0" fontId="69" fillId="0" borderId="41" xfId="0" applyFont="1" applyBorder="1" applyAlignment="1" applyProtection="1">
      <alignment horizontal="center"/>
    </xf>
    <xf numFmtId="2" fontId="53" fillId="29" borderId="0" xfId="222" applyNumberFormat="1" applyFont="1" applyFill="1" applyBorder="1" applyAlignment="1">
      <alignment horizontal="left" vertical="center" indent="1"/>
    </xf>
    <xf numFmtId="0" fontId="53" fillId="40" borderId="0" xfId="222" applyFont="1" applyFill="1" applyBorder="1" applyAlignment="1" applyProtection="1">
      <alignment horizontal="left" vertical="center"/>
    </xf>
    <xf numFmtId="0" fontId="63" fillId="0" borderId="39" xfId="0" applyFont="1" applyBorder="1" applyAlignment="1" applyProtection="1">
      <alignment horizontal="center"/>
    </xf>
    <xf numFmtId="0" fontId="63" fillId="0" borderId="40" xfId="0" applyFont="1" applyBorder="1" applyAlignment="1" applyProtection="1">
      <alignment horizontal="center"/>
    </xf>
    <xf numFmtId="0" fontId="63" fillId="0" borderId="41" xfId="0" applyFont="1" applyBorder="1" applyAlignment="1" applyProtection="1">
      <alignment horizontal="center"/>
    </xf>
    <xf numFmtId="0" fontId="67" fillId="48" borderId="0" xfId="0" applyFont="1" applyFill="1" applyBorder="1" applyAlignment="1" applyProtection="1">
      <alignment horizontal="right" vertical="center"/>
    </xf>
    <xf numFmtId="0" fontId="50" fillId="47" borderId="0" xfId="0" applyFont="1" applyFill="1" applyBorder="1" applyAlignment="1" applyProtection="1">
      <alignment horizontal="center" vertical="center" wrapText="1"/>
    </xf>
    <xf numFmtId="0" fontId="50" fillId="47" borderId="28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10" fillId="44" borderId="0" xfId="0" applyFont="1" applyFill="1" applyBorder="1" applyAlignment="1" applyProtection="1">
      <alignment horizontal="center" vertical="center" wrapText="1"/>
    </xf>
    <xf numFmtId="0" fontId="49" fillId="46" borderId="0" xfId="0" applyFont="1" applyFill="1" applyBorder="1" applyAlignment="1" applyProtection="1">
      <alignment horizontal="center" vertical="center"/>
    </xf>
    <xf numFmtId="0" fontId="56" fillId="29" borderId="31" xfId="222" applyFont="1" applyFill="1" applyBorder="1" applyAlignment="1" applyProtection="1">
      <alignment horizontal="left" vertical="center"/>
    </xf>
    <xf numFmtId="0" fontId="56" fillId="29" borderId="46" xfId="222" applyFont="1" applyFill="1" applyBorder="1" applyAlignment="1" applyProtection="1">
      <alignment horizontal="left" vertical="center"/>
    </xf>
    <xf numFmtId="0" fontId="74" fillId="29" borderId="43" xfId="222" applyFont="1" applyFill="1" applyBorder="1" applyAlignment="1" applyProtection="1">
      <alignment horizontal="left" vertical="center" indent="1"/>
    </xf>
    <xf numFmtId="0" fontId="8" fillId="32" borderId="0" xfId="0" applyFont="1" applyFill="1" applyBorder="1" applyAlignment="1">
      <alignment horizontal="left" vertical="center"/>
    </xf>
    <xf numFmtId="0" fontId="12" fillId="32" borderId="33" xfId="0" applyFont="1" applyFill="1" applyBorder="1" applyAlignment="1" applyProtection="1">
      <alignment horizontal="center" vertical="center" wrapText="1"/>
    </xf>
    <xf numFmtId="0" fontId="12" fillId="32" borderId="27" xfId="0" applyFont="1" applyFill="1" applyBorder="1" applyAlignment="1" applyProtection="1">
      <alignment horizontal="center" vertical="center" wrapText="1"/>
    </xf>
    <xf numFmtId="0" fontId="12" fillId="32" borderId="49" xfId="0" applyFont="1" applyFill="1" applyBorder="1" applyAlignment="1" applyProtection="1">
      <alignment horizontal="center" vertical="center" wrapText="1"/>
    </xf>
    <xf numFmtId="0" fontId="12" fillId="32" borderId="0" xfId="0" applyFont="1" applyFill="1" applyBorder="1" applyAlignment="1" applyProtection="1">
      <alignment horizontal="center" vertical="center" wrapText="1"/>
    </xf>
    <xf numFmtId="0" fontId="12" fillId="32" borderId="29" xfId="0" applyFont="1" applyFill="1" applyBorder="1" applyAlignment="1" applyProtection="1">
      <alignment horizontal="center" vertical="center" wrapText="1"/>
    </xf>
    <xf numFmtId="0" fontId="12" fillId="32" borderId="45" xfId="0" applyFont="1" applyFill="1" applyBorder="1" applyAlignment="1" applyProtection="1">
      <alignment horizontal="center" vertical="center" wrapText="1"/>
    </xf>
    <xf numFmtId="0" fontId="12" fillId="32" borderId="60" xfId="0" applyFont="1" applyFill="1" applyBorder="1" applyAlignment="1" applyProtection="1">
      <alignment horizontal="center" vertical="center" wrapText="1"/>
    </xf>
    <xf numFmtId="0" fontId="12" fillId="32" borderId="61" xfId="0" applyFont="1" applyFill="1" applyBorder="1" applyAlignment="1" applyProtection="1">
      <alignment horizontal="center" vertical="center" wrapText="1"/>
    </xf>
    <xf numFmtId="0" fontId="49" fillId="30" borderId="0" xfId="0" applyFont="1" applyFill="1" applyBorder="1" applyAlignment="1" applyProtection="1">
      <alignment horizontal="center" vertical="center"/>
    </xf>
    <xf numFmtId="0" fontId="67" fillId="30" borderId="0" xfId="0" applyFont="1" applyFill="1" applyBorder="1" applyAlignment="1" applyProtection="1">
      <alignment horizontal="right" vertical="center"/>
    </xf>
    <xf numFmtId="0" fontId="50" fillId="33" borderId="0" xfId="0" applyFont="1" applyFill="1" applyBorder="1" applyAlignment="1" applyProtection="1">
      <alignment horizontal="center" vertical="center" wrapText="1"/>
    </xf>
    <xf numFmtId="0" fontId="50" fillId="33" borderId="28" xfId="0" applyFont="1" applyFill="1" applyBorder="1" applyAlignment="1" applyProtection="1">
      <alignment horizontal="center" vertical="center" wrapText="1"/>
    </xf>
    <xf numFmtId="0" fontId="12" fillId="50" borderId="29" xfId="0" applyFont="1" applyFill="1" applyBorder="1" applyAlignment="1" applyProtection="1">
      <alignment horizontal="center" vertical="center" wrapText="1"/>
    </xf>
    <xf numFmtId="0" fontId="12" fillId="50" borderId="45" xfId="0" applyFont="1" applyFill="1" applyBorder="1" applyAlignment="1" applyProtection="1">
      <alignment horizontal="center" vertical="center" wrapText="1"/>
    </xf>
    <xf numFmtId="0" fontId="12" fillId="40" borderId="29" xfId="0" applyFont="1" applyFill="1" applyBorder="1" applyAlignment="1" applyProtection="1">
      <alignment horizontal="center" vertical="center" wrapText="1"/>
    </xf>
    <xf numFmtId="0" fontId="12" fillId="40" borderId="45" xfId="0" applyFont="1" applyFill="1" applyBorder="1" applyAlignment="1" applyProtection="1">
      <alignment horizontal="center" vertical="center" wrapText="1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898399"/>
      <color rgb="FFADAFB7"/>
      <color rgb="FFFF0000"/>
      <color rgb="FFFFFF99"/>
      <color rgb="FF3F1260"/>
      <color rgb="FFFFFFCC"/>
      <color rgb="FFEAEAEA"/>
      <color rgb="FF7E408F"/>
      <color rgb="FFE3E3E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1361209</xdr:colOff>
      <xdr:row>8</xdr:row>
      <xdr:rowOff>100446</xdr:rowOff>
    </xdr:from>
    <xdr:to>
      <xdr:col>31</xdr:col>
      <xdr:colOff>942686</xdr:colOff>
      <xdr:row>9</xdr:row>
      <xdr:rowOff>289214</xdr:rowOff>
    </xdr:to>
    <xdr:grpSp>
      <xdr:nvGrpSpPr>
        <xdr:cNvPr id="9" name="Group 3"/>
        <xdr:cNvGrpSpPr>
          <a:grpSpLocks/>
        </xdr:cNvGrpSpPr>
      </xdr:nvGrpSpPr>
      <xdr:grpSpPr bwMode="auto">
        <a:xfrm>
          <a:off x="32118300" y="775855"/>
          <a:ext cx="1001568" cy="708314"/>
          <a:chOff x="1741" y="124"/>
          <a:chExt cx="105" cy="74"/>
        </a:xfrm>
      </xdr:grpSpPr>
      <xdr:pic>
        <xdr:nvPicPr>
          <xdr:cNvPr id="10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5</xdr:row>
          <xdr:rowOff>142875</xdr:rowOff>
        </xdr:from>
        <xdr:to>
          <xdr:col>4</xdr:col>
          <xdr:colOff>2390775</xdr:colOff>
          <xdr:row>7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2924175</xdr:colOff>
          <xdr:row>5</xdr:row>
          <xdr:rowOff>152400</xdr:rowOff>
        </xdr:from>
        <xdr:to>
          <xdr:col>5</xdr:col>
          <xdr:colOff>2390775</xdr:colOff>
          <xdr:row>7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456</xdr:row>
          <xdr:rowOff>19050</xdr:rowOff>
        </xdr:from>
        <xdr:to>
          <xdr:col>4</xdr:col>
          <xdr:colOff>2886075</xdr:colOff>
          <xdr:row>457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1685925</xdr:colOff>
          <xdr:row>20</xdr:row>
          <xdr:rowOff>295275</xdr:rowOff>
        </xdr:from>
        <xdr:to>
          <xdr:col>6</xdr:col>
          <xdr:colOff>466725</xdr:colOff>
          <xdr:row>22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2476500</xdr:colOff>
      <xdr:row>9</xdr:row>
      <xdr:rowOff>344517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55" y="675409"/>
          <a:ext cx="2476500" cy="8640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123825</xdr:colOff>
      <xdr:row>8</xdr:row>
      <xdr:rowOff>171450</xdr:rowOff>
    </xdr:from>
    <xdr:to>
      <xdr:col>5</xdr:col>
      <xdr:colOff>12122</xdr:colOff>
      <xdr:row>9</xdr:row>
      <xdr:rowOff>133349</xdr:rowOff>
    </xdr:to>
    <xdr:pic>
      <xdr:nvPicPr>
        <xdr:cNvPr id="2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86000"/>
          <a:ext cx="2993447" cy="485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1361209</xdr:colOff>
      <xdr:row>8</xdr:row>
      <xdr:rowOff>100446</xdr:rowOff>
    </xdr:from>
    <xdr:to>
      <xdr:col>31</xdr:col>
      <xdr:colOff>942686</xdr:colOff>
      <xdr:row>9</xdr:row>
      <xdr:rowOff>289215</xdr:rowOff>
    </xdr:to>
    <xdr:grpSp>
      <xdr:nvGrpSpPr>
        <xdr:cNvPr id="3" name="Group 3"/>
        <xdr:cNvGrpSpPr>
          <a:grpSpLocks/>
        </xdr:cNvGrpSpPr>
      </xdr:nvGrpSpPr>
      <xdr:grpSpPr bwMode="auto">
        <a:xfrm>
          <a:off x="42907527" y="2247901"/>
          <a:ext cx="1001568" cy="708314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8"/>
  <sheetViews>
    <sheetView workbookViewId="0">
      <selection activeCell="C14" sqref="C14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497</v>
      </c>
      <c r="B1" s="16"/>
    </row>
    <row r="2" spans="1:6" x14ac:dyDescent="0.2">
      <c r="A2" s="16"/>
      <c r="B2" s="16"/>
    </row>
    <row r="3" spans="1:6" ht="15.75" x14ac:dyDescent="0.25">
      <c r="A3" s="18" t="s">
        <v>5</v>
      </c>
      <c r="B3" s="16"/>
    </row>
    <row r="4" spans="1:6" x14ac:dyDescent="0.2">
      <c r="A4" s="19" t="s">
        <v>4</v>
      </c>
      <c r="B4" s="20" t="s">
        <v>552</v>
      </c>
    </row>
    <row r="5" spans="1:6" x14ac:dyDescent="0.2">
      <c r="A5" s="19" t="s">
        <v>7</v>
      </c>
      <c r="B5" s="21" t="str">
        <f>LEFT(Server,LEN(Server)-1)</f>
        <v>tango_core_model</v>
      </c>
    </row>
    <row r="6" spans="1:6" x14ac:dyDescent="0.2">
      <c r="A6" s="19" t="s">
        <v>3</v>
      </c>
      <c r="B6" s="21" t="s">
        <v>58</v>
      </c>
    </row>
    <row r="7" spans="1:6" x14ac:dyDescent="0.2">
      <c r="A7" s="19" t="s">
        <v>18</v>
      </c>
      <c r="B7" s="21">
        <v>0</v>
      </c>
    </row>
    <row r="8" spans="1:6" x14ac:dyDescent="0.2">
      <c r="A8" s="19" t="s">
        <v>32</v>
      </c>
      <c r="B8" s="21">
        <v>0</v>
      </c>
    </row>
    <row r="10" spans="1:6" ht="15.75" x14ac:dyDescent="0.25">
      <c r="A10" s="18" t="s">
        <v>6</v>
      </c>
    </row>
    <row r="11" spans="1:6" ht="13.5" customHeight="1" x14ac:dyDescent="0.2">
      <c r="A11" s="19" t="s">
        <v>14</v>
      </c>
      <c r="B11" s="21" t="s">
        <v>75</v>
      </c>
    </row>
    <row r="12" spans="1:6" ht="13.5" customHeight="1" x14ac:dyDescent="0.2">
      <c r="A12" s="19" t="s">
        <v>15</v>
      </c>
      <c r="B12" s="21" t="s">
        <v>76</v>
      </c>
      <c r="C12" s="92"/>
      <c r="D12" s="92"/>
      <c r="E12" s="92"/>
      <c r="F12" s="92"/>
    </row>
    <row r="13" spans="1:6" x14ac:dyDescent="0.2">
      <c r="A13" s="19" t="s">
        <v>9</v>
      </c>
      <c r="B13" s="21" t="str">
        <f ca="1">_xll.DBR(Server&amp;"z_Admin_Param","MONTH_CORPORATE","STR_VAR1")</f>
        <v>2013.03</v>
      </c>
      <c r="C13" s="91" t="str">
        <f ca="1">LEFT(ActualMonth,4)</f>
        <v>2013</v>
      </c>
      <c r="D13" s="93"/>
    </row>
    <row r="14" spans="1:6" x14ac:dyDescent="0.2">
      <c r="A14" s="19" t="s">
        <v>74</v>
      </c>
      <c r="B14" s="21" t="str">
        <f ca="1">_xll.DBR(Server&amp;"z_Admin_Param","FORECAST_VERSION_CORPORATE","STR_VAR1")</f>
        <v>Forecast2</v>
      </c>
    </row>
    <row r="15" spans="1:6" x14ac:dyDescent="0.2">
      <c r="A15" s="19" t="s">
        <v>2</v>
      </c>
      <c r="B15" s="22" t="str">
        <f ca="1">_xll.DBR(Server&amp;"z_Client_Properties","Language",_xll.TM1USER(xServer))</f>
        <v>French</v>
      </c>
      <c r="C15" s="17" t="str">
        <f ca="1">IF(LocalLanguage="French","Français",LocalLanguage)</f>
        <v>Français</v>
      </c>
    </row>
    <row r="16" spans="1:6" x14ac:dyDescent="0.2">
      <c r="A16" s="254" t="s">
        <v>26</v>
      </c>
      <c r="B16" s="52" t="s">
        <v>1</v>
      </c>
    </row>
    <row r="17" spans="1:6" x14ac:dyDescent="0.2">
      <c r="A17" s="254"/>
      <c r="B17" s="52" t="s">
        <v>70</v>
      </c>
    </row>
    <row r="18" spans="1:6" x14ac:dyDescent="0.2">
      <c r="A18" s="254"/>
      <c r="B18" s="52" t="s">
        <v>11</v>
      </c>
    </row>
    <row r="19" spans="1:6" x14ac:dyDescent="0.2">
      <c r="A19" s="254"/>
      <c r="B19" s="52" t="s">
        <v>12</v>
      </c>
    </row>
    <row r="20" spans="1:6" x14ac:dyDescent="0.2">
      <c r="A20" s="254"/>
      <c r="B20" s="52" t="s">
        <v>13</v>
      </c>
    </row>
    <row r="21" spans="1:6" x14ac:dyDescent="0.2">
      <c r="A21" s="254" t="s">
        <v>27</v>
      </c>
      <c r="B21" s="52" t="s">
        <v>23</v>
      </c>
    </row>
    <row r="22" spans="1:6" x14ac:dyDescent="0.2">
      <c r="A22" s="254"/>
      <c r="B22" s="52" t="s">
        <v>24</v>
      </c>
    </row>
    <row r="23" spans="1:6" x14ac:dyDescent="0.2">
      <c r="A23" s="254"/>
      <c r="B23" s="52" t="s">
        <v>25</v>
      </c>
    </row>
    <row r="25" spans="1:6" ht="15.75" x14ac:dyDescent="0.25">
      <c r="A25" s="18" t="s">
        <v>19</v>
      </c>
      <c r="F25" s="17" t="s">
        <v>8</v>
      </c>
    </row>
    <row r="26" spans="1:6" ht="13.5" customHeight="1" x14ac:dyDescent="0.25">
      <c r="A26" s="17" t="s">
        <v>20</v>
      </c>
      <c r="B26" s="47"/>
    </row>
    <row r="27" spans="1:6" x14ac:dyDescent="0.2">
      <c r="A27" s="17" t="s">
        <v>21</v>
      </c>
      <c r="B27" s="49"/>
    </row>
    <row r="28" spans="1:6" x14ac:dyDescent="0.2">
      <c r="A28" s="17" t="s">
        <v>22</v>
      </c>
      <c r="B28" s="50"/>
    </row>
  </sheetData>
  <sheetProtection password="D70F" sheet="1" objects="1" scenarios="1" formatColumns="0" formatRows="0"/>
  <mergeCells count="2">
    <mergeCell ref="A16:A20"/>
    <mergeCell ref="A21:A23"/>
  </mergeCells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I517"/>
  <sheetViews>
    <sheetView showGridLines="0" tabSelected="1" topLeftCell="D6" zoomScale="55" zoomScaleNormal="55" zoomScaleSheetLayoutView="70" workbookViewId="0">
      <selection activeCell="I13" sqref="I13"/>
    </sheetView>
  </sheetViews>
  <sheetFormatPr baseColWidth="10" defaultColWidth="11.42578125" defaultRowHeight="18" customHeight="1" x14ac:dyDescent="0.2"/>
  <cols>
    <col min="1" max="1" width="11.7109375" style="163" hidden="1" customWidth="1"/>
    <col min="2" max="2" width="28.28515625" style="163" hidden="1" customWidth="1"/>
    <col min="3" max="3" width="33.7109375" style="23" hidden="1" customWidth="1"/>
    <col min="4" max="4" width="3.7109375" style="23" customWidth="1"/>
    <col min="5" max="5" width="45.7109375" style="2" customWidth="1"/>
    <col min="6" max="6" width="46.85546875" style="2" customWidth="1"/>
    <col min="7" max="7" width="12.7109375" style="2" customWidth="1"/>
    <col min="8" max="8" width="7.7109375" style="1" customWidth="1"/>
    <col min="9" max="10" width="19.7109375" style="1" customWidth="1"/>
    <col min="11" max="12" width="17.5703125" style="1" customWidth="1"/>
    <col min="13" max="13" width="17.5703125" style="3" customWidth="1"/>
    <col min="14" max="14" width="2.7109375" style="3" customWidth="1"/>
    <col min="15" max="15" width="11.5703125" style="3" customWidth="1"/>
    <col min="16" max="16" width="1.42578125" style="3" customWidth="1"/>
    <col min="17" max="17" width="31.5703125" style="3" hidden="1" customWidth="1"/>
    <col min="18" max="18" width="21.28515625" style="3" customWidth="1"/>
    <col min="19" max="19" width="2.7109375" style="3" customWidth="1"/>
    <col min="20" max="20" width="11.5703125" style="3" customWidth="1"/>
    <col min="21" max="21" width="9" style="3" customWidth="1"/>
    <col min="22" max="32" width="21.28515625" style="3" customWidth="1"/>
    <col min="33" max="33" width="3.7109375" style="23" customWidth="1"/>
    <col min="34" max="35" width="14.28515625" style="23" hidden="1" customWidth="1"/>
    <col min="36" max="41" width="9" style="23" hidden="1" customWidth="1"/>
    <col min="42" max="42" width="24.85546875" style="23" hidden="1" customWidth="1"/>
    <col min="43" max="43" width="24" style="23" hidden="1" customWidth="1"/>
    <col min="44" max="44" width="22" style="23" hidden="1" customWidth="1"/>
    <col min="45" max="45" width="25.28515625" style="23" hidden="1" customWidth="1"/>
    <col min="46" max="46" width="14.42578125" style="23" hidden="1" customWidth="1"/>
    <col min="47" max="47" width="16" style="23" hidden="1" customWidth="1"/>
    <col min="48" max="48" width="16.7109375" style="23" hidden="1" customWidth="1"/>
    <col min="49" max="49" width="43.7109375" style="23" hidden="1" customWidth="1"/>
    <col min="50" max="50" width="10.140625" style="23" hidden="1" customWidth="1"/>
    <col min="51" max="51" width="6.5703125" style="23" hidden="1" customWidth="1"/>
    <col min="52" max="52" width="6.140625" style="23" hidden="1" customWidth="1"/>
    <col min="53" max="53" width="6.5703125" style="23" hidden="1" customWidth="1"/>
    <col min="54" max="57" width="6.5703125" style="1" hidden="1" customWidth="1"/>
    <col min="58" max="60" width="6.5703125" style="1" customWidth="1"/>
    <col min="61" max="62" width="6.42578125" style="1" customWidth="1"/>
    <col min="63" max="64" width="11.42578125" style="1" customWidth="1"/>
    <col min="65" max="16384" width="11.42578125" style="1"/>
  </cols>
  <sheetData>
    <row r="1" spans="1:53" ht="22.5" hidden="1" customHeight="1" x14ac:dyDescent="0.25">
      <c r="E1" s="23"/>
      <c r="F1" s="47" t="s">
        <v>549</v>
      </c>
      <c r="G1" s="155" t="s">
        <v>0</v>
      </c>
      <c r="H1" s="151"/>
      <c r="I1" s="144" t="s">
        <v>532</v>
      </c>
      <c r="J1" s="48" t="s">
        <v>529</v>
      </c>
      <c r="K1" s="195" t="s">
        <v>548</v>
      </c>
      <c r="L1" s="157"/>
      <c r="M1" s="157"/>
      <c r="N1" s="157"/>
      <c r="O1" s="48" t="s">
        <v>539</v>
      </c>
      <c r="P1" s="157"/>
      <c r="Q1" s="157"/>
      <c r="R1" s="157"/>
      <c r="S1" s="157"/>
      <c r="T1" s="48" t="s">
        <v>529</v>
      </c>
      <c r="U1" s="48" t="s">
        <v>529</v>
      </c>
      <c r="V1" s="48" t="s">
        <v>529</v>
      </c>
      <c r="W1" s="48" t="s">
        <v>529</v>
      </c>
      <c r="X1" s="48" t="s">
        <v>529</v>
      </c>
      <c r="Y1" s="48" t="s">
        <v>529</v>
      </c>
      <c r="Z1" s="48" t="s">
        <v>541</v>
      </c>
      <c r="AA1" s="48" t="s">
        <v>541</v>
      </c>
      <c r="AB1" s="48" t="s">
        <v>541</v>
      </c>
      <c r="AC1" s="48" t="s">
        <v>541</v>
      </c>
      <c r="AD1" s="48" t="s">
        <v>541</v>
      </c>
      <c r="AE1" s="48" t="s">
        <v>541</v>
      </c>
      <c r="AF1" s="48" t="s">
        <v>539</v>
      </c>
    </row>
    <row r="2" spans="1:53" ht="22.5" hidden="1" customHeight="1" x14ac:dyDescent="0.25">
      <c r="E2" s="23"/>
      <c r="F2" s="55"/>
      <c r="G2" s="149" t="s">
        <v>57</v>
      </c>
      <c r="H2" s="156"/>
      <c r="I2" s="150" t="str">
        <f ca="1">LEFT($G$3,4)</f>
        <v>2013</v>
      </c>
      <c r="J2" s="150" t="str">
        <f ca="1">$I$2&amp;".06_YTD"</f>
        <v>2013.06_YTD</v>
      </c>
      <c r="K2" s="156" t="str">
        <f ca="1">$I$2&amp;".06_YTD"</f>
        <v>2013.06_YTD</v>
      </c>
      <c r="L2" s="157"/>
      <c r="M2" s="150"/>
      <c r="N2" s="157"/>
      <c r="O2" s="157" t="str">
        <f ca="1">LEFT($G$3,4)</f>
        <v>2013</v>
      </c>
      <c r="P2" s="157"/>
      <c r="Q2" s="157"/>
      <c r="R2" s="157"/>
      <c r="S2" s="157"/>
      <c r="T2" s="157" t="str">
        <f ca="1">LEFT($G$3,4)&amp;".01"</f>
        <v>2013.01</v>
      </c>
      <c r="U2" s="157" t="str">
        <f ca="1">LEFT($G$3,4)&amp;".02"</f>
        <v>2013.02</v>
      </c>
      <c r="V2" s="157" t="str">
        <f ca="1">LEFT($G$3,4)&amp;".03"</f>
        <v>2013.03</v>
      </c>
      <c r="W2" s="157" t="str">
        <f ca="1">LEFT($G$3,4)&amp;".04"</f>
        <v>2013.04</v>
      </c>
      <c r="X2" s="157" t="str">
        <f ca="1">LEFT($G$3,4)&amp;".05"</f>
        <v>2013.05</v>
      </c>
      <c r="Y2" s="157" t="str">
        <f ca="1">LEFT($G$3,4)&amp;".06"</f>
        <v>2013.06</v>
      </c>
      <c r="Z2" s="157" t="str">
        <f ca="1">LEFT($G$3,4)&amp;".07"</f>
        <v>2013.07</v>
      </c>
      <c r="AA2" s="157" t="str">
        <f ca="1">LEFT($G$3,4)&amp;".08"</f>
        <v>2013.08</v>
      </c>
      <c r="AB2" s="157" t="str">
        <f ca="1">LEFT($G$3,4)&amp;".09"</f>
        <v>2013.09</v>
      </c>
      <c r="AC2" s="157" t="str">
        <f ca="1">LEFT($G$3,4)&amp;".10"</f>
        <v>2013.10</v>
      </c>
      <c r="AD2" s="157" t="str">
        <f ca="1">LEFT($G$3,4)&amp;".11"</f>
        <v>2013.11</v>
      </c>
      <c r="AE2" s="157" t="str">
        <f ca="1">LEFT($G$3,4)&amp;".12"</f>
        <v>2013.12</v>
      </c>
      <c r="AF2" s="151" t="str">
        <f ca="1">LEFT($G$3,4)</f>
        <v>2013</v>
      </c>
    </row>
    <row r="3" spans="1:53" ht="22.5" hidden="1" customHeight="1" x14ac:dyDescent="0.25">
      <c r="C3" s="53"/>
      <c r="E3" s="23"/>
      <c r="F3" s="197" t="s">
        <v>527</v>
      </c>
      <c r="G3" s="152" t="str">
        <f ca="1">_xll.SUBNM(Server&amp;"Period","",$F$13,"")</f>
        <v>2013</v>
      </c>
      <c r="H3" s="151"/>
      <c r="I3" s="151"/>
      <c r="J3" s="151"/>
      <c r="K3" s="151"/>
      <c r="L3" s="151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</row>
    <row r="4" spans="1:53" ht="22.5" hidden="1" customHeight="1" x14ac:dyDescent="0.25">
      <c r="C4" s="53"/>
      <c r="D4" s="24"/>
      <c r="E4" s="24"/>
      <c r="F4" s="198" t="str">
        <f ca="1">_xll.SUBNM(Server&amp;"z_translate_report","",F23,"")</f>
        <v>Forecast_2</v>
      </c>
      <c r="G4" s="153" t="s">
        <v>142</v>
      </c>
      <c r="H4" s="154" t="str">
        <f ca="1">IF(RIGHT(G3,3)="ytd","YES","NO")</f>
        <v>NO</v>
      </c>
      <c r="I4" s="151"/>
      <c r="J4" s="195" t="s">
        <v>526</v>
      </c>
      <c r="K4" s="151"/>
      <c r="L4" s="196" t="s">
        <v>134</v>
      </c>
      <c r="M4" s="151"/>
      <c r="N4" s="151"/>
      <c r="O4" s="195" t="s">
        <v>545</v>
      </c>
      <c r="P4" s="151"/>
      <c r="Q4" s="151"/>
      <c r="R4" s="151"/>
      <c r="S4" s="205" t="s">
        <v>546</v>
      </c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</row>
    <row r="5" spans="1:53" ht="22.5" hidden="1" customHeight="1" thickBot="1" x14ac:dyDescent="0.25">
      <c r="C5" s="53"/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</row>
    <row r="6" spans="1:53" ht="19.5" customHeight="1" x14ac:dyDescent="0.2">
      <c r="C6" s="53"/>
      <c r="D6" s="111"/>
      <c r="E6" s="24"/>
      <c r="F6" s="24"/>
      <c r="G6" s="23"/>
      <c r="H6" s="24"/>
      <c r="I6" s="23"/>
      <c r="J6" s="24"/>
      <c r="K6" s="23"/>
      <c r="L6" s="53"/>
      <c r="M6" s="2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</row>
    <row r="7" spans="1:53" ht="18" customHeight="1" x14ac:dyDescent="0.2">
      <c r="C7" s="112"/>
      <c r="D7" s="24"/>
      <c r="E7" s="24"/>
      <c r="F7" s="24"/>
      <c r="G7" s="23"/>
      <c r="H7" s="24"/>
      <c r="I7" s="23"/>
      <c r="J7" s="24"/>
      <c r="K7" s="23"/>
      <c r="L7" s="53"/>
      <c r="M7" s="2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S7" s="53"/>
      <c r="AT7" s="53"/>
      <c r="AU7" s="53"/>
      <c r="AV7" s="53"/>
      <c r="AW7" s="53"/>
    </row>
    <row r="8" spans="1:53" ht="16.5" customHeight="1" thickBot="1" x14ac:dyDescent="0.25">
      <c r="C8" s="112"/>
      <c r="D8" s="24"/>
      <c r="G8" s="27"/>
      <c r="AR8" s="53"/>
      <c r="AS8" s="53"/>
      <c r="AT8" s="53"/>
      <c r="AU8" s="53"/>
      <c r="AV8" s="53"/>
      <c r="AW8" s="53"/>
    </row>
    <row r="9" spans="1:53" ht="41.25" customHeight="1" thickBot="1" x14ac:dyDescent="0.3">
      <c r="C9" s="112"/>
      <c r="D9" s="24"/>
      <c r="E9" s="243"/>
      <c r="F9" s="296" t="str">
        <f ca="1">_xll.DBRA(Server&amp;$AP$11,AP27,$AP$10)</f>
        <v>Compte de résultat (saisie Estimé 2)</v>
      </c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1" t="str">
        <f ca="1">_xll.DBRA(Server&amp;$AP$11,AP28,$AP$10)</f>
        <v>Saisie</v>
      </c>
      <c r="AE9" s="246"/>
      <c r="AF9" s="291"/>
      <c r="AP9" s="87" t="s">
        <v>69</v>
      </c>
      <c r="AR9" s="53"/>
      <c r="AS9" s="53"/>
      <c r="AT9" s="53"/>
      <c r="AU9" s="53"/>
      <c r="AV9" s="53"/>
      <c r="AW9" s="53"/>
    </row>
    <row r="10" spans="1:53" ht="30" customHeight="1" thickBot="1" x14ac:dyDescent="0.3">
      <c r="C10" s="112"/>
      <c r="D10" s="24"/>
      <c r="E10" s="243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1"/>
      <c r="AE10" s="246"/>
      <c r="AF10" s="291"/>
      <c r="AP10" s="88" t="str">
        <f>IF($F$21="Français","French","English")</f>
        <v>French</v>
      </c>
      <c r="AQ10" s="86" t="s">
        <v>61</v>
      </c>
      <c r="AR10" s="53"/>
      <c r="AS10" s="53"/>
      <c r="AT10" s="53"/>
      <c r="AU10" s="53"/>
      <c r="AV10" s="53"/>
      <c r="AW10" s="53"/>
    </row>
    <row r="11" spans="1:53" ht="18" customHeight="1" thickBot="1" x14ac:dyDescent="0.3">
      <c r="C11" s="112"/>
      <c r="D11" s="24"/>
      <c r="E11" s="1"/>
      <c r="F11" s="1"/>
      <c r="G11" s="27"/>
      <c r="H11" s="2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P11" s="65" t="s">
        <v>37</v>
      </c>
      <c r="AQ11" s="75" t="s">
        <v>0</v>
      </c>
      <c r="AR11" s="53"/>
      <c r="AS11" s="53"/>
      <c r="AT11" s="53"/>
      <c r="AU11" s="53"/>
      <c r="AV11" s="53"/>
      <c r="AW11" s="53"/>
    </row>
    <row r="12" spans="1:53" ht="23.25" customHeight="1" thickBot="1" x14ac:dyDescent="0.25">
      <c r="C12" s="112"/>
      <c r="D12" s="24"/>
      <c r="E12" s="244" t="str">
        <f ca="1">_xll.DBRA(Server&amp;$AP$11,AP12,$AP$10)</f>
        <v>Sélection du contexte</v>
      </c>
      <c r="F12" s="143"/>
      <c r="H12" s="2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P12" s="66" t="s">
        <v>33</v>
      </c>
      <c r="AQ12" s="64" t="str">
        <f ca="1">_xll.DBRA(Server&amp;$AP$11,AP23,$AP$10)</f>
        <v>Réalisé</v>
      </c>
      <c r="AR12" s="53"/>
      <c r="AS12" s="53"/>
      <c r="AT12" s="53"/>
      <c r="AU12" s="53"/>
      <c r="AV12" s="53"/>
      <c r="AW12" s="53"/>
    </row>
    <row r="13" spans="1:53" ht="23.25" customHeight="1" x14ac:dyDescent="0.2">
      <c r="C13" s="112"/>
      <c r="D13" s="24"/>
      <c r="E13" s="245" t="str">
        <f ca="1">_xll.DBRA(Server&amp;$AP$11,AP13,$AP$10)</f>
        <v>Période</v>
      </c>
      <c r="F13" s="59" t="str">
        <f ca="1">_xll.SUBNM(Server&amp;"Period","Corp_FR",ActualYear,$AP$10)</f>
        <v>2013</v>
      </c>
      <c r="H13" s="2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53"/>
      <c r="AH13" s="53"/>
      <c r="AI13" s="53"/>
      <c r="AJ13" s="53"/>
      <c r="AK13" s="53"/>
      <c r="AL13" s="53"/>
      <c r="AM13" s="53"/>
      <c r="AN13" s="53"/>
      <c r="AO13" s="53"/>
      <c r="AP13" s="60" t="s">
        <v>57</v>
      </c>
      <c r="AQ13" s="68" t="str">
        <f ca="1">_xll.DBRA(Server&amp;$AP$11,AP24,$AP$10)</f>
        <v>Estimé 1</v>
      </c>
      <c r="AR13" s="53"/>
      <c r="AS13" s="53"/>
      <c r="AT13" s="53"/>
      <c r="AU13" s="53"/>
      <c r="AV13" s="53"/>
      <c r="AW13" s="53"/>
      <c r="AX13" s="53"/>
      <c r="AY13" s="53"/>
      <c r="AZ13" s="53"/>
      <c r="BA13" s="53"/>
    </row>
    <row r="14" spans="1:53" ht="23.25" customHeight="1" x14ac:dyDescent="0.25">
      <c r="A14" s="79"/>
      <c r="B14" s="189" t="s">
        <v>136</v>
      </c>
      <c r="C14" s="114" t="s">
        <v>138</v>
      </c>
      <c r="D14" s="24"/>
      <c r="E14" s="245" t="str">
        <f ca="1">_xll.DBRA(Server&amp;$AP$11,$AP$14,$AP$10)</f>
        <v>Organisation managériale</v>
      </c>
      <c r="F14" s="59" t="str">
        <f ca="1">_xll.SUBNM(Server&amp;"Management_Organization_Corp","Corp_FR",_xll.DBR(Server&amp;"z_Client_Properties","Default_Management_Organization_Corp",_xll.TM1USER(xServer)),$F$21)</f>
        <v/>
      </c>
      <c r="H14" s="2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53"/>
      <c r="AH14" s="53"/>
      <c r="AI14" s="53"/>
      <c r="AJ14" s="53"/>
      <c r="AK14" s="53"/>
      <c r="AL14" s="53"/>
      <c r="AM14" s="53"/>
      <c r="AN14" s="53"/>
      <c r="AO14" s="53"/>
      <c r="AP14" s="68" t="s">
        <v>34</v>
      </c>
      <c r="AQ14" s="68" t="str">
        <f ca="1">_xll.DBRA(Server&amp;$AP$11,AQ23,$AP$10)</f>
        <v>Estimé 1</v>
      </c>
      <c r="AR14" s="53"/>
      <c r="AS14"/>
      <c r="AT14" s="53"/>
      <c r="AU14" s="53"/>
      <c r="AV14" s="53"/>
      <c r="AW14" s="53"/>
      <c r="AX14" s="53"/>
      <c r="AY14" s="53"/>
      <c r="AZ14" s="53"/>
      <c r="BA14" s="53"/>
    </row>
    <row r="15" spans="1:53" ht="21.75" customHeight="1" thickBot="1" x14ac:dyDescent="0.3">
      <c r="A15" s="79"/>
      <c r="B15" s="189"/>
      <c r="C15" s="112"/>
      <c r="D15" s="24"/>
      <c r="E15" s="245" t="str">
        <f ca="1">_xll.DBRA(Server&amp;$AP$11,AP15,$AP$10)</f>
        <v>Organisation légale</v>
      </c>
      <c r="F15" s="58" t="str">
        <f ca="1">_xll.SUBNM(Server&amp;"Legal_Organization_Corp","Corp_FR",_xll.DBR(Server&amp;"z_Client_Properties","Default_Legal_Organization_Corp",_xll.TM1USER(xServer)),$F$21)</f>
        <v/>
      </c>
      <c r="H15" s="2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51"/>
      <c r="AP15" s="68" t="s">
        <v>35</v>
      </c>
      <c r="AQ15" s="145" t="s">
        <v>534</v>
      </c>
      <c r="AR15" s="53"/>
      <c r="AS15" s="53"/>
      <c r="AT15" s="53"/>
      <c r="AU15" s="53"/>
      <c r="AV15" s="53"/>
      <c r="AW15" s="53"/>
    </row>
    <row r="16" spans="1:53" ht="21.75" customHeight="1" thickBot="1" x14ac:dyDescent="0.35">
      <c r="A16" s="79"/>
      <c r="B16" s="189" t="s">
        <v>550</v>
      </c>
      <c r="C16" s="112" t="str">
        <f ca="1">_xll.SUBNM(Server&amp;"Management_Organization_Corp","",$F$14,"")</f>
        <v/>
      </c>
      <c r="D16" s="24"/>
      <c r="E16" s="245" t="str">
        <f ca="1">_xll.DBRA(Server&amp;$AP$11,AP16,$AP$10)</f>
        <v>Projets</v>
      </c>
      <c r="F16" s="58" t="str">
        <f ca="1">_xll.SUBNM(Server&amp;"Projets","Corp_FR","NA",$F$21)</f>
        <v>Non affecté</v>
      </c>
      <c r="H16" s="27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06"/>
      <c r="AG16" s="51"/>
      <c r="AP16" s="90" t="s">
        <v>71</v>
      </c>
      <c r="AQ16" s="75" t="s">
        <v>530</v>
      </c>
      <c r="AR16" s="53"/>
      <c r="AS16" s="53"/>
      <c r="AT16" s="53"/>
      <c r="AU16" s="53"/>
      <c r="AV16" s="53"/>
      <c r="AW16" s="53"/>
    </row>
    <row r="17" spans="1:61" ht="26.25" x14ac:dyDescent="0.25">
      <c r="C17" s="112"/>
      <c r="D17" s="24"/>
      <c r="E17" s="245" t="str">
        <f ca="1">_xll.DBRA(Server&amp;$AP$11,AP17,$AP$10)</f>
        <v>Devise</v>
      </c>
      <c r="F17" s="58" t="str">
        <f ca="1">_xll.SUBNM(Server&amp;"Currency","Corp_FR","LCL",$AP$10)</f>
        <v>Devise locale</v>
      </c>
      <c r="H17" s="27"/>
      <c r="I17" s="146"/>
      <c r="J17" s="147"/>
      <c r="K17" s="147"/>
      <c r="L17" s="147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6"/>
      <c r="Y17" s="146"/>
      <c r="Z17" s="146"/>
      <c r="AA17" s="146"/>
      <c r="AB17" s="146"/>
      <c r="AC17" s="146"/>
      <c r="AD17" s="146"/>
      <c r="AE17" s="146"/>
      <c r="AF17" s="148"/>
      <c r="AG17" s="51"/>
      <c r="AP17" s="68" t="s">
        <v>16</v>
      </c>
      <c r="AQ17" s="112" t="s">
        <v>535</v>
      </c>
      <c r="AR17" s="53"/>
      <c r="AS17" s="76"/>
      <c r="AT17" s="53"/>
      <c r="AU17" s="53"/>
      <c r="AV17" s="53"/>
      <c r="AW17" s="53"/>
    </row>
    <row r="18" spans="1:61" ht="18.75" x14ac:dyDescent="0.25">
      <c r="A18" s="238"/>
      <c r="B18" s="239" t="s">
        <v>551</v>
      </c>
      <c r="C18" s="112"/>
      <c r="D18" s="24"/>
      <c r="E18" s="245" t="str">
        <f ca="1">_xll.DBRA(Server&amp;$AP$11,AP18,$AP$10)</f>
        <v>Gaap</v>
      </c>
      <c r="F18" s="58" t="str">
        <f ca="1">_xll.SUBNM(Server&amp;"GAAP","Corp_FR","Local_Gaap_Mgmt_tool",$AP$10)</f>
        <v>Gaap local outils de pilotage</v>
      </c>
      <c r="H18" s="27"/>
      <c r="M18" s="294" t="str">
        <f ca="1">_xll.DBRA(Server&amp;"Period",$I$2,$AP$10)</f>
        <v>2013</v>
      </c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51"/>
      <c r="AH18" s="53"/>
      <c r="AI18" s="53"/>
      <c r="AJ18" s="53"/>
      <c r="AK18" s="53"/>
      <c r="AL18" s="53"/>
      <c r="AM18" s="53"/>
      <c r="AN18" s="53"/>
      <c r="AO18" s="53"/>
      <c r="AP18" s="68" t="s">
        <v>17</v>
      </c>
      <c r="AQ18" t="s">
        <v>547</v>
      </c>
      <c r="AR18" s="53"/>
      <c r="AS18" s="76"/>
      <c r="AT18" s="53"/>
      <c r="AU18" s="53"/>
      <c r="AV18" s="53"/>
      <c r="AW18" s="77"/>
      <c r="AX18" s="53"/>
      <c r="AY18" s="53"/>
      <c r="AZ18" s="53"/>
      <c r="BA18" s="53"/>
    </row>
    <row r="19" spans="1:61" ht="26.25" customHeight="1" x14ac:dyDescent="0.25">
      <c r="C19" s="112"/>
      <c r="D19" s="24"/>
      <c r="E19" s="245" t="str">
        <f ca="1">_xll.DBRA(Server&amp;$AP$11,AP19,$AP$10)</f>
        <v>Taux d'intégration</v>
      </c>
      <c r="F19" s="58" t="str">
        <f ca="1">_xll.SUBNM(Server&amp;"Integration_Rate","Corp_FR","NO_APP",$AP$10)</f>
        <v>Données de liasse (Tx d'intégration No-APP)</v>
      </c>
      <c r="H19" s="27"/>
      <c r="M19" s="294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51"/>
      <c r="AH19" s="53"/>
      <c r="AI19" s="53"/>
      <c r="AJ19" s="53"/>
      <c r="AK19" s="53"/>
      <c r="AL19" s="53"/>
      <c r="AM19" s="53"/>
      <c r="AN19" s="53"/>
      <c r="AO19" s="53"/>
      <c r="AP19" s="68" t="s">
        <v>38</v>
      </c>
      <c r="AQ19" s="199" t="s">
        <v>538</v>
      </c>
      <c r="AR19"/>
      <c r="AS19" s="76"/>
      <c r="AT19" s="53"/>
      <c r="AU19" s="53"/>
      <c r="AV19" s="53"/>
      <c r="AW19" s="53" t="str">
        <f>RIGHT(AT5)</f>
        <v/>
      </c>
      <c r="AX19" s="53"/>
      <c r="AY19" s="53"/>
      <c r="AZ19" s="53"/>
      <c r="BA19" s="53"/>
    </row>
    <row r="20" spans="1:61" ht="26.25" customHeight="1" x14ac:dyDescent="0.25">
      <c r="C20" s="112"/>
      <c r="D20" s="24"/>
      <c r="E20" s="245" t="str">
        <f ca="1">_xll.DBRA(Server&amp;$AP$11,AP20,$AP$10)</f>
        <v>Partenaire</v>
      </c>
      <c r="F20" s="59" t="str">
        <f ca="1">_xll.SUBNM(Server&amp;"Tiers","Corp_FR","SU9999",$F$21)</f>
        <v>Entité externe</v>
      </c>
      <c r="H20" s="27"/>
      <c r="I20" s="292" t="str">
        <f ca="1">_xll.DBRA(Server&amp;"Period",$I$2,$AP$10)</f>
        <v>2013</v>
      </c>
      <c r="J20" s="292"/>
      <c r="K20" s="292"/>
      <c r="L20" s="292"/>
      <c r="M20" s="292"/>
      <c r="N20" s="29"/>
      <c r="O20" s="292" t="str">
        <f ca="1">_xll.DBRA(Server&amp;"Period",$I$2,$AP$10)</f>
        <v>2013</v>
      </c>
      <c r="P20" s="292"/>
      <c r="Q20" s="292"/>
      <c r="R20" s="292"/>
      <c r="S20" s="29"/>
      <c r="T20" s="292" t="str">
        <f ca="1">_xll.DBRA(Server&amp;"Period",$I$2,$AP$10)</f>
        <v>2013</v>
      </c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  <c r="AG20" s="51"/>
      <c r="AH20" s="53"/>
      <c r="AI20" s="53"/>
      <c r="AJ20" s="53"/>
      <c r="AK20" s="53"/>
      <c r="AL20" s="53"/>
      <c r="AM20" s="53"/>
      <c r="AN20" s="53"/>
      <c r="AO20" s="53"/>
      <c r="AP20" s="68" t="s">
        <v>141</v>
      </c>
      <c r="AQ20" t="s">
        <v>531</v>
      </c>
      <c r="AS20" s="76"/>
      <c r="AT20" s="53"/>
      <c r="AU20" s="53"/>
      <c r="AV20" s="53"/>
      <c r="AW20" s="53"/>
      <c r="AX20" s="53"/>
      <c r="AY20" s="53"/>
      <c r="AZ20" s="53"/>
      <c r="BA20" s="53"/>
    </row>
    <row r="21" spans="1:61" ht="24" customHeight="1" thickBot="1" x14ac:dyDescent="0.25">
      <c r="C21" s="112"/>
      <c r="D21" s="24"/>
      <c r="E21" s="245" t="str">
        <f ca="1">_xll.DBRA(Server&amp;$AP$11,AP21,$AP$10)</f>
        <v>Langue</v>
      </c>
      <c r="F21" s="59" t="s">
        <v>70</v>
      </c>
      <c r="I21" s="293"/>
      <c r="J21" s="293"/>
      <c r="K21" s="293"/>
      <c r="L21" s="293"/>
      <c r="M21" s="293"/>
      <c r="N21" s="32"/>
      <c r="O21" s="292"/>
      <c r="P21" s="292"/>
      <c r="Q21" s="292"/>
      <c r="R21" s="292"/>
      <c r="S21" s="32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P21" s="62" t="s">
        <v>39</v>
      </c>
      <c r="AQ21" t="s">
        <v>537</v>
      </c>
      <c r="AR21" s="53"/>
      <c r="AS21" s="76"/>
      <c r="AT21" s="53"/>
      <c r="AU21" s="53"/>
      <c r="AV21" s="53"/>
      <c r="AW21" s="53"/>
    </row>
    <row r="22" spans="1:61" ht="19.5" customHeight="1" thickTop="1" x14ac:dyDescent="0.2">
      <c r="C22" s="113"/>
      <c r="D22" s="24"/>
      <c r="E22" s="33"/>
      <c r="F22" s="33"/>
      <c r="H22" s="5"/>
      <c r="I22" s="313" t="str">
        <f ca="1">_xll.DBRA(Server&amp;$G$1,$I$1,$AP$10)</f>
        <v>Estimé 1</v>
      </c>
      <c r="J22" s="313" t="str">
        <f ca="1">_xll.DBRA(Server&amp;$AP$11,$AQ$17,$AP$10)&amp;" "&amp;_xll.DBRA(Server&amp;$AP$11,$AP$23,$AP$10)</f>
        <v>Janv-Juin Réalisé</v>
      </c>
      <c r="K22" s="313" t="str">
        <f ca="1">_xll.DBRA(Server&amp;$AP$11,$AQ$18,$AP$10)&amp;" "&amp;_xll.DBRA(Server&amp;$AP$11,$AP$24,$AP$10)</f>
        <v>Juil-Dec Estimé 1</v>
      </c>
      <c r="L22" s="313" t="str">
        <f ca="1">_xll.DBRA(Server&amp;$AP$11,$AQ$19,$AP$10)</f>
        <v>Estimé 2 théorique</v>
      </c>
      <c r="M22" s="313" t="str">
        <f ca="1">_xll.DBRA(Server&amp;$AP$11,$AQ$20,$AP$10)&amp;" "&amp;_xll.DBRA(Server&amp;$AP$11,$AQ$19,$AP$10)&amp; " vs " &amp;_xll.DBRA(Server&amp;$AP$11,$AP$24,$AP$10)</f>
        <v>Variance Estimé 2 théorique vs Estimé 1</v>
      </c>
      <c r="N22" s="34"/>
      <c r="O22" s="313" t="str">
        <f ca="1">_xll.DBRA(Server&amp;$AP$11,$AQ$21,$AP$10)</f>
        <v>Estimé 2 retenu</v>
      </c>
      <c r="P22" s="315"/>
      <c r="Q22" s="313" t="s">
        <v>542</v>
      </c>
      <c r="R22" s="313" t="str">
        <f ca="1">_xll.DBRA(Server&amp;$AP$11,$AQ$22,$AP$10)</f>
        <v>Montant à ventiler</v>
      </c>
      <c r="S22" s="34"/>
      <c r="T22" s="313" t="str">
        <f ca="1">_xll.DBRA(Server&amp;"Period",T$2,$AP$10)&amp;" "&amp;_xll.DBRA(Server&amp;$AP$11,$AP$23,$AP$10)</f>
        <v>janv-13 Réalisé</v>
      </c>
      <c r="U22" s="313" t="str">
        <f ca="1">_xll.DBRA(Server&amp;"Period",U$2,$AP$10)&amp;" "&amp;_xll.DBRA(Server&amp;$AP$11,$AP$23,$AP$10)</f>
        <v>févr-13 Réalisé</v>
      </c>
      <c r="V22" s="313" t="str">
        <f ca="1">_xll.DBRA(Server&amp;"Period",V$2,$AP$10)&amp;" "&amp;_xll.DBRA(Server&amp;$AP$11,$AP$23,$AP$10)</f>
        <v>mars-13 Réalisé</v>
      </c>
      <c r="W22" s="313" t="str">
        <f ca="1">_xll.DBRA(Server&amp;"Period",W$2,$AP$10)&amp;" "&amp;_xll.DBRA(Server&amp;$AP$11,$AP$23,$AP$10)</f>
        <v>avr-13 Réalisé</v>
      </c>
      <c r="X22" s="313" t="str">
        <f ca="1">_xll.DBRA(Server&amp;"Period",X$2,$AP$10)&amp;" "&amp;_xll.DBRA(Server&amp;$AP$11,$AP$23,$AP$10)</f>
        <v>mai-13 Réalisé</v>
      </c>
      <c r="Y22" s="313" t="str">
        <f ca="1">_xll.DBRA(Server&amp;"Period",Y$2,$AP$10)&amp;" "&amp;_xll.DBRA(Server&amp;$AP$11,$AP$23,$AP$10)</f>
        <v>juin-13 Réalisé</v>
      </c>
      <c r="Z22" s="313" t="str">
        <f ca="1">_xll.DBRA(Server&amp;"Period",Z$2,$AP$10)</f>
        <v>juil-13</v>
      </c>
      <c r="AA22" s="313" t="str">
        <f ca="1">_xll.DBRA(Server&amp;"Period",AA$2,$AP$10)</f>
        <v>août-13</v>
      </c>
      <c r="AB22" s="313" t="str">
        <f ca="1">_xll.DBRA(Server&amp;"Period",AB$2,$AP$10)</f>
        <v>sept-13</v>
      </c>
      <c r="AC22" s="313" t="str">
        <f ca="1">_xll.DBRA(Server&amp;"Period",AC$2,$AP$10)</f>
        <v>oct-13</v>
      </c>
      <c r="AD22" s="313" t="str">
        <f ca="1">_xll.DBRA(Server&amp;"Period",AD$2,$AP$10)</f>
        <v>nov-13</v>
      </c>
      <c r="AE22" s="313" t="str">
        <f ca="1">_xll.DBRA(Server&amp;"Period",AE$2,$AP$10)</f>
        <v>déc-13</v>
      </c>
      <c r="AF22" s="313" t="str">
        <f ca="1">_xll.DBRA(Server&amp;$AP$11,AP25,$AP$10)</f>
        <v>Total</v>
      </c>
      <c r="AP22" s="60" t="s">
        <v>0</v>
      </c>
      <c r="AQ22" s="112" t="s">
        <v>533</v>
      </c>
      <c r="AR22" s="53"/>
      <c r="AS22" s="76"/>
      <c r="AT22" s="53"/>
      <c r="AU22" s="53"/>
      <c r="AV22" s="53"/>
      <c r="AW22" s="53"/>
      <c r="BB22" s="6"/>
      <c r="BC22" s="6"/>
      <c r="BD22" s="6"/>
      <c r="BE22" s="6"/>
      <c r="BF22" s="6"/>
      <c r="BG22" s="6"/>
      <c r="BH22" s="6"/>
      <c r="BI22" s="6"/>
    </row>
    <row r="23" spans="1:61" s="7" customFormat="1" ht="36.75" customHeight="1" thickBot="1" x14ac:dyDescent="0.25">
      <c r="A23" s="163"/>
      <c r="B23" s="163"/>
      <c r="C23" s="114"/>
      <c r="D23" s="1"/>
      <c r="E23" s="245" t="str">
        <f ca="1">_xll.DBRA(Server&amp;$AP$11,$AP$22,$AP$10)</f>
        <v>Phase</v>
      </c>
      <c r="F23" s="33" t="str">
        <f>$AQ$15</f>
        <v>Estimé 2</v>
      </c>
      <c r="H23" s="35"/>
      <c r="I23" s="314"/>
      <c r="J23" s="314"/>
      <c r="K23" s="314"/>
      <c r="L23" s="314"/>
      <c r="M23" s="314"/>
      <c r="N23" s="36"/>
      <c r="O23" s="314"/>
      <c r="P23" s="316"/>
      <c r="Q23" s="314"/>
      <c r="R23" s="314"/>
      <c r="S23" s="36"/>
      <c r="T23" s="314"/>
      <c r="U23" s="314"/>
      <c r="V23" s="314"/>
      <c r="W23" s="314"/>
      <c r="X23" s="314"/>
      <c r="Y23" s="314"/>
      <c r="Z23" s="314"/>
      <c r="AA23" s="314"/>
      <c r="AB23" s="314"/>
      <c r="AC23" s="314"/>
      <c r="AD23" s="314"/>
      <c r="AE23" s="314"/>
      <c r="AF23" s="314"/>
      <c r="AG23" s="23"/>
      <c r="AH23" s="23"/>
      <c r="AI23" s="23"/>
      <c r="AJ23" s="23"/>
      <c r="AK23" s="23"/>
      <c r="AL23" s="23"/>
      <c r="AM23" s="23"/>
      <c r="AN23" s="23"/>
      <c r="AO23" s="23"/>
      <c r="AP23" s="7" t="s">
        <v>140</v>
      </c>
      <c r="AQ23" s="78" t="s">
        <v>528</v>
      </c>
      <c r="AR23" s="53"/>
      <c r="AS23" s="79"/>
      <c r="AW23" s="53"/>
      <c r="AX23" s="23"/>
      <c r="AY23" s="23"/>
      <c r="AZ23" s="23"/>
      <c r="BA23" s="23"/>
    </row>
    <row r="24" spans="1:61" s="7" customFormat="1" ht="17.25" customHeight="1" thickBot="1" x14ac:dyDescent="0.3">
      <c r="A24" s="164" t="s">
        <v>466</v>
      </c>
      <c r="B24" s="164" t="s">
        <v>483</v>
      </c>
      <c r="C24" s="115" t="s">
        <v>83</v>
      </c>
      <c r="D24" s="1"/>
      <c r="G24" s="37"/>
      <c r="H24" s="38"/>
      <c r="I24" s="39"/>
      <c r="J24" s="39"/>
      <c r="K24" s="39"/>
      <c r="L24" s="39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23"/>
      <c r="AH24" s="23"/>
      <c r="AI24" s="23"/>
      <c r="AJ24" s="23"/>
      <c r="AK24" s="23"/>
      <c r="AL24" s="23"/>
      <c r="AM24" s="23"/>
      <c r="AN24" s="23"/>
      <c r="AO24" s="23"/>
      <c r="AP24" s="61" t="s">
        <v>536</v>
      </c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</row>
    <row r="25" spans="1:61" s="9" customFormat="1" ht="24.95" customHeight="1" x14ac:dyDescent="0.35">
      <c r="A25" s="181">
        <f ca="1">IF($AT$35="YES",1,IF(_xll.ELCOMPN(Server&amp;$C$24,C25)&lt;&gt;0,1,IF(OR(B25=$AZ$35,B25="ALL"),1,0)))</f>
        <v>1</v>
      </c>
      <c r="B25" s="163"/>
      <c r="C25" s="116" t="s">
        <v>80</v>
      </c>
      <c r="D25" s="1"/>
      <c r="E25" s="274" t="str">
        <f ca="1">_xll.DBRA(Server&amp;$C$24,$C25,$F$21)</f>
        <v>PRODUITS OPERATIONNELS</v>
      </c>
      <c r="F25" s="274"/>
      <c r="G25" s="274"/>
      <c r="H25" s="40"/>
      <c r="I25" s="247" t="str">
        <f ca="1">_xll.DBRW(Server&amp;Cube1,$F$17,$F$18,$F$19,$F$16,$C$14,$F$15,$F$14,$F$20,I$2,I$1,$C25)</f>
        <v/>
      </c>
      <c r="J25" s="247" t="str">
        <f ca="1">_xll.DBRW(Server&amp;Cube1,$F$17,$F$18,$F$19,$F$16,$C$14,$F$15,$F$14,$F$20,J$2,J$1,$C25)</f>
        <v/>
      </c>
      <c r="K25" s="247" t="e">
        <f ca="1">_xll.DBRW(Server&amp;Cube1,$F$17,$F$18,$F$19,$F$16,$C$14,$F$15,$F$14,$F$20,I$2,I$1,$C25) -_xll.DBRW(Server&amp;Cube1,$F$17,$F$18,$F$19,$F$16,$C$14,$F$15,$F$14,$F$20,K$2,I$1,$C25)</f>
        <v>#VALUE!</v>
      </c>
      <c r="L25" s="247" t="e">
        <f t="shared" ref="L25:L30" ca="1" si="0">$K25+$J25</f>
        <v>#VALUE!</v>
      </c>
      <c r="M25" s="247" t="e">
        <f ca="1">$L25-$I25</f>
        <v>#VALUE!</v>
      </c>
      <c r="N25" s="248"/>
      <c r="O25" s="247" t="str">
        <f ca="1">_xll.DBRW(Server&amp;Cube1,$F$17,$F$18,$F$19,$F$16,$C$14,$F$15,$F$14,$F$20,O$2,O$1,$C25)</f>
        <v/>
      </c>
      <c r="P25" s="248"/>
      <c r="Q25" s="248" t="str">
        <f ca="1">IF(_xll.ELCOMPN(Server&amp;$C$24,C25)=0,"YES","NO")</f>
        <v>NO</v>
      </c>
      <c r="R25" s="247"/>
      <c r="S25" s="248"/>
      <c r="T25" s="247" t="str">
        <f ca="1">_xll.DBRW(Server&amp;Cube1,$F$17,$F$18,$F$19,$F$16,$C$14,$F$15,$F$14,$F$20,T$2,$T$1,$C25)</f>
        <v/>
      </c>
      <c r="U25" s="247" t="str">
        <f ca="1">_xll.DBRW(Server&amp;Cube1,$F$17,$F$18,$F$19,$F$16,$C$14,$F$15,$F$14,$F$20,U$2,$U$1,$C25)</f>
        <v/>
      </c>
      <c r="V25" s="247" t="str">
        <f ca="1">_xll.DBRW(Server&amp;Cube1,$F$17,$F$18,$F$19,$F$16,$C$14,$F$15,$F$14,$F$20,V$2,V$1,$C25)</f>
        <v/>
      </c>
      <c r="W25" s="247" t="str">
        <f ca="1">_xll.DBRW(Server&amp;Cube1,$F$17,$F$18,$F$19,$F$16,$C$14,$F$15,$F$14,$F$20,W$2,W$1,$C25)</f>
        <v/>
      </c>
      <c r="X25" s="247" t="str">
        <f ca="1">_xll.DBRW(Server&amp;Cube1,$F$17,$F$18,$F$19,$F$16,$C$14,$F$15,$F$14,$F$20,X$2,X$1,$C25)</f>
        <v/>
      </c>
      <c r="Y25" s="247" t="str">
        <f ca="1">_xll.DBRW(Server&amp;Cube1,$F$17,$F$18,$F$19,$F$16,$C$14,$F$15,$F$14,$F$20,Y$2,Y$1,$C25)</f>
        <v/>
      </c>
      <c r="Z25" s="247" t="str">
        <f ca="1">_xll.DBRW(Server&amp;Cube1,$F$17,$F$18,$F$19,$F$16,$C$14,$F$15,$F$14,$F$20,Z$2,Z$1,$C25)</f>
        <v/>
      </c>
      <c r="AA25" s="247" t="str">
        <f ca="1">_xll.DBRW(Server&amp;Cube1,$F$17,$F$18,$F$19,$F$16,$C$14,$F$15,$F$14,$F$20,AA$2,AA$1,$C25)</f>
        <v/>
      </c>
      <c r="AB25" s="247" t="str">
        <f ca="1">_xll.DBRW(Server&amp;Cube1,$F$17,$F$18,$F$19,$F$16,$C$14,$F$15,$F$14,$F$20,AB$2,AB$1,$C25)</f>
        <v/>
      </c>
      <c r="AC25" s="247" t="str">
        <f ca="1">_xll.DBRW(Server&amp;Cube1,$F$17,$F$18,$F$19,$F$16,$C$14,$F$15,$F$14,$F$20,AC$2,AC$1,$C25)</f>
        <v/>
      </c>
      <c r="AD25" s="247" t="str">
        <f ca="1">_xll.DBRW(Server&amp;Cube1,$F$17,$F$18,$F$19,$F$16,$C$14,$F$15,$F$14,$F$20,AD$2,AD$1,$C25)</f>
        <v/>
      </c>
      <c r="AE25" s="247" t="str">
        <f ca="1">_xll.DBRW(Server&amp;Cube1,$F$17,$F$18,$F$19,$F$16,$C$14,$F$15,$F$14,$F$20,AE$2,AE$1,$C25)</f>
        <v/>
      </c>
      <c r="AF25" s="247" t="str">
        <f ca="1">_xll.DBRW(Server&amp;Cube1,$F$17,$F$18,$F$19,$F$16,$C$14,$F$15,$F$14,$F$20,AF$2,$AF$1,$C25)</f>
        <v/>
      </c>
      <c r="AG25" s="23"/>
      <c r="AH25" s="23"/>
      <c r="AI25" s="23"/>
      <c r="AJ25" s="23"/>
      <c r="AK25" s="23"/>
      <c r="AL25" s="23"/>
      <c r="AM25" s="23"/>
      <c r="AN25" s="23"/>
      <c r="AO25" s="23"/>
      <c r="AP25" s="70" t="s">
        <v>143</v>
      </c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</row>
    <row r="26" spans="1:61" s="9" customFormat="1" ht="24.75" customHeight="1" thickBot="1" x14ac:dyDescent="0.4">
      <c r="A26" s="181">
        <f ca="1">IF($AT$35="YES",1,IF(_xll.ELCOMPN(Server&amp;$C$24,C26)&lt;&gt;0,1,IF(OR(B26=$AZ$35,B26="ALL"),1,0)))</f>
        <v>1</v>
      </c>
      <c r="B26" s="163"/>
      <c r="C26" s="116" t="s">
        <v>40</v>
      </c>
      <c r="D26" s="1"/>
      <c r="E26" s="275" t="str">
        <f ca="1">_xll.DBRA(Server&amp;$C$24,$C26,$F$21)</f>
        <v>PRODUIT DES ACTIVITES ORDINAIRES</v>
      </c>
      <c r="F26" s="275"/>
      <c r="G26" s="275"/>
      <c r="H26" s="40"/>
      <c r="I26" s="217" t="str">
        <f ca="1">_xll.DBRW(Server&amp;Cube1,$F$17,$F$18,$F$19,$F$16,$C$14,$F$15,$F$14,$F$20,I$2,I$1,$C26)</f>
        <v/>
      </c>
      <c r="J26" s="217" t="str">
        <f ca="1">_xll.DBRW(Server&amp;Cube1,$F$17,$F$18,$F$19,$F$16,$C$14,$F$15,$F$14,$F$20,J$2,J$1,$C26)</f>
        <v/>
      </c>
      <c r="K26" s="217" t="e">
        <f ca="1">_xll.DBRW(Server&amp;Cube1,$F$17,$F$18,$F$19,$F$16,$C$14,$F$15,$F$14,$F$20,I$2,I$1,$C26) -_xll.DBRW(Server&amp;Cube1,$F$17,$F$18,$F$19,$F$16,$C$14,$F$15,$F$14,$F$20,K$2,I$1,$C26)</f>
        <v>#VALUE!</v>
      </c>
      <c r="L26" s="217" t="e">
        <f t="shared" ca="1" si="0"/>
        <v>#VALUE!</v>
      </c>
      <c r="M26" s="217" t="e">
        <f t="shared" ref="M26:M89" ca="1" si="1">$L26-$I26</f>
        <v>#VALUE!</v>
      </c>
      <c r="N26" s="229"/>
      <c r="O26" s="217" t="str">
        <f ca="1">_xll.DBRW(Server&amp;Cube1,$F$17,$F$18,$F$19,$F$16,$C$14,$F$15,$F$14,$F$20,O$2,O$1,$C26)</f>
        <v/>
      </c>
      <c r="P26" s="229"/>
      <c r="Q26" s="240" t="str">
        <f ca="1">IF(_xll.ELCOMPN(Server&amp;$C$24,C26)=0,"YES","NO")</f>
        <v>NO</v>
      </c>
      <c r="R26" s="217"/>
      <c r="S26" s="229"/>
      <c r="T26" s="217" t="str">
        <f ca="1">_xll.DBRW(Server&amp;Cube1,$F$17,$F$18,$F$19,$F$16,$C$14,$F$15,$F$14,$F$20,T$2,$T$1,$C26)</f>
        <v/>
      </c>
      <c r="U26" s="217" t="str">
        <f ca="1">_xll.DBRW(Server&amp;Cube1,$F$17,$F$18,$F$19,$F$16,$C$14,$F$15,$F$14,$F$20,U$2,$U$1,$C26)</f>
        <v/>
      </c>
      <c r="V26" s="217" t="str">
        <f ca="1">_xll.DBRW(Server&amp;Cube1,$F$17,$F$18,$F$19,$F$16,$C$14,$F$15,$F$14,$F$20,V$2,V$1,$C26)</f>
        <v/>
      </c>
      <c r="W26" s="217" t="str">
        <f ca="1">_xll.DBRW(Server&amp;Cube1,$F$17,$F$18,$F$19,$F$16,$C$14,$F$15,$F$14,$F$20,W$2,W$1,$C26)</f>
        <v/>
      </c>
      <c r="X26" s="217" t="str">
        <f ca="1">_xll.DBRW(Server&amp;Cube1,$F$17,$F$18,$F$19,$F$16,$C$14,$F$15,$F$14,$F$20,X$2,X$1,$C26)</f>
        <v/>
      </c>
      <c r="Y26" s="217" t="str">
        <f ca="1">_xll.DBRW(Server&amp;Cube1,$F$17,$F$18,$F$19,$F$16,$C$14,$F$15,$F$14,$F$20,Y$2,Y$1,$C26)</f>
        <v/>
      </c>
      <c r="Z26" s="217" t="str">
        <f ca="1">_xll.DBRW(Server&amp;Cube1,$F$17,$F$18,$F$19,$F$16,$C$14,$F$15,$F$14,$F$20,Z$2,Z$1,$C26)</f>
        <v/>
      </c>
      <c r="AA26" s="217" t="str">
        <f ca="1">_xll.DBRW(Server&amp;Cube1,$F$17,$F$18,$F$19,$F$16,$C$14,$F$15,$F$14,$F$20,AA$2,AA$1,$C26)</f>
        <v/>
      </c>
      <c r="AB26" s="217" t="str">
        <f ca="1">_xll.DBRW(Server&amp;Cube1,$F$17,$F$18,$F$19,$F$16,$C$14,$F$15,$F$14,$F$20,AB$2,AB$1,$C26)</f>
        <v/>
      </c>
      <c r="AC26" s="217" t="str">
        <f ca="1">_xll.DBRW(Server&amp;Cube1,$F$17,$F$18,$F$19,$F$16,$C$14,$F$15,$F$14,$F$20,AC$2,AC$1,$C26)</f>
        <v/>
      </c>
      <c r="AD26" s="217" t="str">
        <f ca="1">_xll.DBRW(Server&amp;Cube1,$F$17,$F$18,$F$19,$F$16,$C$14,$F$15,$F$14,$F$20,AD$2,AD$1,$C26)</f>
        <v/>
      </c>
      <c r="AE26" s="217" t="str">
        <f ca="1">_xll.DBRW(Server&amp;Cube1,$F$17,$F$18,$F$19,$F$16,$C$14,$F$15,$F$14,$F$20,AE$2,AE$1,$C26)</f>
        <v/>
      </c>
      <c r="AF26" s="217" t="str">
        <f ca="1">_xll.DBRW(Server&amp;Cube1,$F$17,$F$18,$F$19,$F$16,$C$14,$F$15,$F$14,$F$20,AF$2,$AF$1,$C26)</f>
        <v/>
      </c>
      <c r="AG26" s="23"/>
      <c r="AH26" s="23"/>
      <c r="AI26" s="23"/>
      <c r="AJ26" s="23"/>
      <c r="AK26" s="23"/>
      <c r="AL26" s="23"/>
      <c r="AM26" s="23"/>
      <c r="AN26" s="23"/>
      <c r="AO26" s="23"/>
      <c r="AP26" s="63" t="s">
        <v>36</v>
      </c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</row>
    <row r="27" spans="1:61" s="9" customFormat="1" ht="24.95" customHeight="1" thickBot="1" x14ac:dyDescent="0.4">
      <c r="A27" s="181">
        <f ca="1">IF($AT$35="YES",1,IF(_xll.ELCOMPN(Server&amp;$C$24,C27)&lt;&gt;0,1,IF(OR(B27=$AZ$35,B27="ALL"),1,0)))</f>
        <v>1</v>
      </c>
      <c r="B27" s="163"/>
      <c r="C27" s="117" t="s">
        <v>81</v>
      </c>
      <c r="D27" s="1"/>
      <c r="E27" s="286" t="str">
        <f ca="1">_xll.DBRA(Server&amp;$C$24,$C27,$F$21)</f>
        <v>Facturation PMAD</v>
      </c>
      <c r="F27" s="286"/>
      <c r="G27" s="286"/>
      <c r="H27" s="40"/>
      <c r="I27" s="218" t="str">
        <f ca="1">_xll.DBRW(Server&amp;Cube1,$F$17,$F$18,$F$19,$F$16,$C$14,$F$15,$F$14,$F$20,I$2,I$1,$C27)</f>
        <v/>
      </c>
      <c r="J27" s="218" t="str">
        <f ca="1">_xll.DBRW(Server&amp;Cube1,$F$17,$F$18,$F$19,$F$16,$C$14,$F$15,$F$14,$F$20,J$2,J$1,$C27)</f>
        <v/>
      </c>
      <c r="K27" s="218" t="e">
        <f ca="1">_xll.DBRW(Server&amp;Cube1,$F$17,$F$18,$F$19,$F$16,$C$14,$F$15,$F$14,$F$20,I$2,I$1,$C27) -_xll.DBRW(Server&amp;Cube1,$F$17,$F$18,$F$19,$F$16,$C$14,$F$15,$F$14,$F$20,K$2,I$1,$C27)</f>
        <v>#VALUE!</v>
      </c>
      <c r="L27" s="218" t="e">
        <f t="shared" ca="1" si="0"/>
        <v>#VALUE!</v>
      </c>
      <c r="M27" s="218" t="e">
        <f t="shared" ca="1" si="1"/>
        <v>#VALUE!</v>
      </c>
      <c r="N27" s="226"/>
      <c r="O27" s="221" t="str">
        <f ca="1">_xll.DBRW(Server&amp;Cube1,$F$17,$F$18,$F$19,$F$16,$C$14,$F$15,$F$14,$F$20,O$2,O$1,$C27)</f>
        <v/>
      </c>
      <c r="P27" s="226"/>
      <c r="Q27" s="240" t="str">
        <f ca="1">IF(_xll.ELCOMPN(Server&amp;$C$24,C27)=0,"YES","NO")</f>
        <v>NO</v>
      </c>
      <c r="R27" s="217"/>
      <c r="S27" s="226"/>
      <c r="T27" s="226" t="str">
        <f ca="1">_xll.DBRW(Server&amp;Cube1,$F$17,$F$18,$F$19,$F$16,$C$14,$F$15,$F$14,$F$20,T$2,$T$1,$C27)</f>
        <v/>
      </c>
      <c r="U27" s="226" t="str">
        <f ca="1">_xll.DBRW(Server&amp;Cube1,$F$17,$F$18,$F$19,$F$16,$C$14,$F$15,$F$14,$F$20,U$2,$U$1,$C27)</f>
        <v/>
      </c>
      <c r="V27" s="227" t="str">
        <f ca="1">_xll.DBRW(Server&amp;Cube1,$F$17,$F$18,$F$19,$F$16,$C$14,$F$15,$F$14,$F$20,V$2,V$1,$C27)</f>
        <v/>
      </c>
      <c r="W27" s="227" t="str">
        <f ca="1">_xll.DBRW(Server&amp;Cube1,$F$17,$F$18,$F$19,$F$16,$C$14,$F$15,$F$14,$F$20,W$2,W$1,$C27)</f>
        <v/>
      </c>
      <c r="X27" s="227" t="str">
        <f ca="1">_xll.DBRW(Server&amp;Cube1,$F$17,$F$18,$F$19,$F$16,$C$14,$F$15,$F$14,$F$20,X$2,X$1,$C27)</f>
        <v/>
      </c>
      <c r="Y27" s="227" t="str">
        <f ca="1">_xll.DBRW(Server&amp;Cube1,$F$17,$F$18,$F$19,$F$16,$C$14,$F$15,$F$14,$F$20,Y$2,Y$1,$C27)</f>
        <v/>
      </c>
      <c r="Z27" s="227" t="str">
        <f ca="1">_xll.DBRW(Server&amp;Cube1,$F$17,$F$18,$F$19,$F$16,$C$14,$F$15,$F$14,$F$20,Z$2,Z$1,$C27)</f>
        <v/>
      </c>
      <c r="AA27" s="227" t="str">
        <f ca="1">_xll.DBRW(Server&amp;Cube1,$F$17,$F$18,$F$19,$F$16,$C$14,$F$15,$F$14,$F$20,AA$2,AA$1,$C27)</f>
        <v/>
      </c>
      <c r="AB27" s="227" t="str">
        <f ca="1">_xll.DBRW(Server&amp;Cube1,$F$17,$F$18,$F$19,$F$16,$C$14,$F$15,$F$14,$F$20,AB$2,AB$1,$C27)</f>
        <v/>
      </c>
      <c r="AC27" s="227" t="str">
        <f ca="1">_xll.DBRW(Server&amp;Cube1,$F$17,$F$18,$F$19,$F$16,$C$14,$F$15,$F$14,$F$20,AC$2,AC$1,$C27)</f>
        <v/>
      </c>
      <c r="AD27" s="227" t="str">
        <f ca="1">_xll.DBRW(Server&amp;Cube1,$F$17,$F$18,$F$19,$F$16,$C$14,$F$15,$F$14,$F$20,AD$2,AD$1,$C27)</f>
        <v/>
      </c>
      <c r="AE27" s="227" t="str">
        <f ca="1">_xll.DBRW(Server&amp;Cube1,$F$17,$F$18,$F$19,$F$16,$C$14,$F$15,$F$14,$F$20,AE$2,AE$1,$C27)</f>
        <v/>
      </c>
      <c r="AF27" s="227" t="str">
        <f ca="1">_xll.DBRW(Server&amp;Cube1,$F$17,$F$18,$F$19,$F$16,$C$14,$F$15,$F$14,$F$20,AF$2,$AF$1,$C27)</f>
        <v/>
      </c>
      <c r="AG27" s="23"/>
      <c r="AH27" s="23"/>
      <c r="AI27" s="23"/>
      <c r="AJ27" s="23"/>
      <c r="AK27" s="23"/>
      <c r="AL27" s="23"/>
      <c r="AM27" s="23"/>
      <c r="AN27" s="23"/>
      <c r="AO27" s="23"/>
      <c r="AP27" s="60" t="s">
        <v>540</v>
      </c>
      <c r="AQ27" s="23"/>
      <c r="AR27" s="283" t="s">
        <v>62</v>
      </c>
      <c r="AS27" s="284"/>
      <c r="AT27" s="285"/>
      <c r="AU27" s="23"/>
      <c r="AV27" s="23"/>
      <c r="AW27" s="23"/>
      <c r="AX27" s="23"/>
      <c r="AY27" s="23"/>
      <c r="AZ27" s="23"/>
      <c r="BA27" s="23"/>
    </row>
    <row r="28" spans="1:61" s="9" customFormat="1" ht="24.95" customHeight="1" thickBot="1" x14ac:dyDescent="0.4">
      <c r="A28" s="181" t="e">
        <f ca="1">IF($AT$35="YES",1,IF(_xll.ELCOMPN(Server&amp;$C$24,C28)&lt;&gt;0,1,IF(OR(B28=$AZ$35,B28="ALL"),1,0)))</f>
        <v>#VALUE!</v>
      </c>
      <c r="B28" s="181" t="s">
        <v>484</v>
      </c>
      <c r="C28" s="158" t="s">
        <v>144</v>
      </c>
      <c r="D28" s="1"/>
      <c r="E28" s="273" t="str">
        <f ca="1">_xll.DBRA(Server&amp;$C$24,$C28,$F$21)</f>
        <v>Facturation Personnel mis à dispo. (Revenus)</v>
      </c>
      <c r="F28" s="273"/>
      <c r="G28" s="273"/>
      <c r="H28" s="40"/>
      <c r="I28" s="218" t="str">
        <f ca="1">_xll.DBRW(Server&amp;Cube1,$F$17,$F$18,$F$19,$F$16,$C$14,$F$15,$F$14,$F$20,I$2,I$1,$C28)</f>
        <v/>
      </c>
      <c r="J28" s="218" t="str">
        <f ca="1">_xll.DBRW(Server&amp;Cube1,$F$17,$F$18,$F$19,$F$16,$C$14,$F$15,$F$14,$F$20,J$2,J$1,$C28)</f>
        <v/>
      </c>
      <c r="K28" s="218" t="e">
        <f ca="1">_xll.DBRW(Server&amp;Cube1,$F$17,$F$18,$F$19,$F$16,$C$14,$F$15,$F$14,$F$20,I$2,I$1,$C28) -_xll.DBRW(Server&amp;Cube1,$F$17,$F$18,$F$19,$F$16,$C$14,$F$15,$F$14,$F$20,K$2,I$1,$C28)</f>
        <v>#VALUE!</v>
      </c>
      <c r="L28" s="218" t="e">
        <f t="shared" ca="1" si="0"/>
        <v>#VALUE!</v>
      </c>
      <c r="M28" s="218" t="e">
        <f t="shared" ca="1" si="1"/>
        <v>#VALUE!</v>
      </c>
      <c r="N28" s="226"/>
      <c r="O28" s="221" t="str">
        <f ca="1">_xll.DBRW(Server&amp;Cube1,$F$17,$F$18,$F$19,$F$16,$C$14,$F$15,$F$14,$F$20,O$2,O$1,$C28)</f>
        <v/>
      </c>
      <c r="P28" s="226"/>
      <c r="Q28" s="240" t="str">
        <f ca="1">IF(_xll.ELCOMPN(Server&amp;$C$24,C28)=0,"YES","NO")</f>
        <v>YES</v>
      </c>
      <c r="R28" s="241">
        <v>0</v>
      </c>
      <c r="S28" s="226"/>
      <c r="T28" s="227" t="str">
        <f ca="1">_xll.DBRW(Server&amp;Cube1,$F$17,$F$18,$F$19,$F$16,$C$14,$F$15,$F$14,$F$20,T$2,$T$1,$C28)</f>
        <v/>
      </c>
      <c r="U28" s="227" t="str">
        <f ca="1">_xll.DBRW(Server&amp;Cube1,$F$17,$F$18,$F$19,$F$16,$C$14,$F$15,$F$14,$F$20,U$2,$U$1,$C28)</f>
        <v/>
      </c>
      <c r="V28" s="227" t="str">
        <f ca="1">_xll.DBRW(Server&amp;Cube1,$F$17,$F$18,$F$19,$F$16,$C$14,$F$15,$F$14,$F$20,V$2,V$1,$C28)</f>
        <v/>
      </c>
      <c r="W28" s="227" t="str">
        <f ca="1">_xll.DBRW(Server&amp;Cube1,$F$17,$F$18,$F$19,$F$16,$C$14,$F$15,$F$14,$F$20,W$2,W$1,$C28)</f>
        <v/>
      </c>
      <c r="X28" s="227" t="str">
        <f ca="1">_xll.DBRW(Server&amp;Cube1,$F$17,$F$18,$F$19,$F$16,$C$14,$F$15,$F$14,$F$20,X$2,X$1,$C28)</f>
        <v/>
      </c>
      <c r="Y28" s="227" t="str">
        <f ca="1">_xll.DBRW(Server&amp;Cube1,$F$17,$F$18,$F$19,$F$16,$C$14,$F$15,$F$14,$F$20,Y$2,Y$1,$C28)</f>
        <v/>
      </c>
      <c r="Z28" s="241"/>
      <c r="AA28" s="241"/>
      <c r="AB28" s="241"/>
      <c r="AC28" s="241"/>
      <c r="AD28" s="241"/>
      <c r="AE28" s="241"/>
      <c r="AF28" s="221" t="str">
        <f ca="1">_xll.DBRW(Server&amp;Cube1,$F$17,$F$18,$F$19,$F$16,$C$14,$F$15,$F$14,$F$20,AF$2,$AF$1,$C28)</f>
        <v/>
      </c>
      <c r="AG28" s="53"/>
      <c r="AH28" s="53"/>
      <c r="AI28" s="53"/>
      <c r="AJ28" s="53"/>
      <c r="AK28" s="53"/>
      <c r="AL28" s="53"/>
      <c r="AM28" s="53"/>
      <c r="AN28" s="53"/>
      <c r="AO28" s="53"/>
      <c r="AP28" s="63" t="s">
        <v>139</v>
      </c>
      <c r="AQ28" s="53"/>
      <c r="AR28" s="80" t="s">
        <v>63</v>
      </c>
      <c r="AS28" s="80" t="s">
        <v>64</v>
      </c>
      <c r="AT28" s="80" t="s">
        <v>65</v>
      </c>
      <c r="AU28" s="53"/>
      <c r="AV28" s="53"/>
      <c r="AW28" s="53"/>
      <c r="AX28" s="53"/>
      <c r="AY28" s="53"/>
      <c r="AZ28" s="53"/>
      <c r="BA28" s="53"/>
    </row>
    <row r="29" spans="1:61" s="9" customFormat="1" ht="24.95" customHeight="1" x14ac:dyDescent="0.35">
      <c r="A29" s="181" t="e">
        <f ca="1">IF($AT$35="YES",1,IF(_xll.ELCOMPN(Server&amp;$C$24,C29)&lt;&gt;0,1,IF(OR(B29=$AZ$35,B29="ALL"),1,0)))</f>
        <v>#VALUE!</v>
      </c>
      <c r="B29" s="181" t="s">
        <v>484</v>
      </c>
      <c r="C29" s="158" t="s">
        <v>145</v>
      </c>
      <c r="D29" s="1"/>
      <c r="E29" s="273" t="str">
        <f ca="1">_xll.DBRA(Server&amp;$C$24,$C29,$F$21)</f>
        <v>Facturation PMAD (Revenus)</v>
      </c>
      <c r="F29" s="273"/>
      <c r="G29" s="273"/>
      <c r="H29" s="40"/>
      <c r="I29" s="218" t="str">
        <f ca="1">_xll.DBRW(Server&amp;Cube1,$F$17,$F$18,$F$19,$F$16,$C$14,$F$15,$F$14,$F$20,I$2,I$1,$C29)</f>
        <v/>
      </c>
      <c r="J29" s="218" t="str">
        <f ca="1">_xll.DBRW(Server&amp;Cube1,$F$17,$F$18,$F$19,$F$16,$C$14,$F$15,$F$14,$F$20,J$2,J$1,$C29)</f>
        <v/>
      </c>
      <c r="K29" s="218" t="e">
        <f ca="1">_xll.DBRW(Server&amp;Cube1,$F$17,$F$18,$F$19,$F$16,$C$14,$F$15,$F$14,$F$20,I$2,I$1,$C29) -_xll.DBRW(Server&amp;Cube1,$F$17,$F$18,$F$19,$F$16,$C$14,$F$15,$F$14,$F$20,K$2,I$1,$C29)</f>
        <v>#VALUE!</v>
      </c>
      <c r="L29" s="218" t="e">
        <f t="shared" ca="1" si="0"/>
        <v>#VALUE!</v>
      </c>
      <c r="M29" s="218" t="e">
        <f t="shared" ca="1" si="1"/>
        <v>#VALUE!</v>
      </c>
      <c r="N29" s="226"/>
      <c r="O29" s="221" t="str">
        <f ca="1">_xll.DBRW(Server&amp;Cube1,$F$17,$F$18,$F$19,$F$16,$C$14,$F$15,$F$14,$F$20,O$2,O$1,$C29)</f>
        <v/>
      </c>
      <c r="P29" s="226"/>
      <c r="Q29" s="240" t="str">
        <f ca="1">IF(_xll.ELCOMPN(Server&amp;$C$24,C29)=0,"YES","NO")</f>
        <v>YES</v>
      </c>
      <c r="R29" s="241">
        <v>0</v>
      </c>
      <c r="S29" s="226"/>
      <c r="T29" s="227" t="str">
        <f ca="1">_xll.DBRW(Server&amp;Cube1,$F$17,$F$18,$F$19,$F$16,$C$14,$F$15,$F$14,$F$20,T$2,$T$1,$C29)</f>
        <v/>
      </c>
      <c r="U29" s="227" t="str">
        <f ca="1">_xll.DBRW(Server&amp;Cube1,$F$17,$F$18,$F$19,$F$16,$C$14,$F$15,$F$14,$F$20,U$2,$U$1,$C29)</f>
        <v/>
      </c>
      <c r="V29" s="227" t="str">
        <f ca="1">_xll.DBRW(Server&amp;Cube1,$F$17,$F$18,$F$19,$F$16,$C$14,$F$15,$F$14,$F$20,V$2,V$1,$C29)</f>
        <v/>
      </c>
      <c r="W29" s="227" t="str">
        <f ca="1">_xll.DBRW(Server&amp;Cube1,$F$17,$F$18,$F$19,$F$16,$C$14,$F$15,$F$14,$F$20,W$2,W$1,$C29)</f>
        <v/>
      </c>
      <c r="X29" s="227" t="str">
        <f ca="1">_xll.DBRW(Server&amp;Cube1,$F$17,$F$18,$F$19,$F$16,$C$14,$F$15,$F$14,$F$20,X$2,X$1,$C29)</f>
        <v/>
      </c>
      <c r="Y29" s="227" t="str">
        <f ca="1">_xll.DBRW(Server&amp;Cube1,$F$17,$F$18,$F$19,$F$16,$C$14,$F$15,$F$14,$F$20,Y$2,Y$1,$C29)</f>
        <v/>
      </c>
      <c r="Z29" s="241"/>
      <c r="AA29" s="241"/>
      <c r="AB29" s="241"/>
      <c r="AC29" s="241"/>
      <c r="AD29" s="241"/>
      <c r="AE29" s="241"/>
      <c r="AF29" s="221" t="str">
        <f ca="1">_xll.DBRW(Server&amp;Cube1,$F$17,$F$18,$F$19,$F$16,$C$14,$F$15,$F$14,$F$20,AF$2,$AF$1,$C29)</f>
        <v/>
      </c>
      <c r="AG29" s="53"/>
      <c r="AH29" s="53"/>
      <c r="AI29" s="53"/>
      <c r="AJ29" s="53"/>
      <c r="AK29" s="53"/>
      <c r="AL29" s="53"/>
      <c r="AM29" s="53"/>
      <c r="AN29" s="53"/>
      <c r="AO29" s="53"/>
      <c r="AP29" s="71" t="s">
        <v>72</v>
      </c>
      <c r="AQ29" s="53"/>
      <c r="AU29" s="53"/>
      <c r="AV29" s="53"/>
      <c r="AW29" s="53"/>
      <c r="AX29" s="53"/>
      <c r="AY29" s="53"/>
      <c r="AZ29" s="53"/>
      <c r="BA29" s="53"/>
    </row>
    <row r="30" spans="1:61" s="9" customFormat="1" ht="24.95" customHeight="1" collapsed="1" thickBot="1" x14ac:dyDescent="0.4">
      <c r="A30" s="181" t="e">
        <f ca="1">IF($AT$35="YES",1,IF(_xll.ELCOMPN(Server&amp;$C$24,C30)&lt;&gt;0,1,IF(OR(B30=$AZ$35,B30="ALL"),1,0)))</f>
        <v>#VALUE!</v>
      </c>
      <c r="B30" s="181" t="s">
        <v>484</v>
      </c>
      <c r="C30" s="158" t="s">
        <v>82</v>
      </c>
      <c r="D30" s="1"/>
      <c r="E30" s="286" t="str">
        <f ca="1">_xll.DBRA(Server&amp;$C$24,$C30,$F$21)</f>
        <v>Prestation de service</v>
      </c>
      <c r="F30" s="286"/>
      <c r="G30" s="286"/>
      <c r="H30" s="40"/>
      <c r="I30" s="218" t="str">
        <f ca="1">_xll.DBRW(Server&amp;Cube1,$F$17,$F$18,$F$19,$F$16,$C$14,$F$15,$F$14,$F$20,I$2,I$1,$C30)</f>
        <v/>
      </c>
      <c r="J30" s="218" t="str">
        <f ca="1">_xll.DBRW(Server&amp;Cube1,$F$17,$F$18,$F$19,$F$16,$C$14,$F$15,$F$14,$F$20,J$2,J$1,$C30)</f>
        <v/>
      </c>
      <c r="K30" s="218" t="e">
        <f ca="1">_xll.DBRW(Server&amp;Cube1,$F$17,$F$18,$F$19,$F$16,$C$14,$F$15,$F$14,$F$20,I$2,I$1,$C30) -_xll.DBRW(Server&amp;Cube1,$F$17,$F$18,$F$19,$F$16,$C$14,$F$15,$F$14,$F$20,K$2,I$1,$C30)</f>
        <v>#VALUE!</v>
      </c>
      <c r="L30" s="218" t="e">
        <f t="shared" ca="1" si="0"/>
        <v>#VALUE!</v>
      </c>
      <c r="M30" s="218" t="e">
        <f t="shared" ca="1" si="1"/>
        <v>#VALUE!</v>
      </c>
      <c r="N30" s="226"/>
      <c r="O30" s="221" t="str">
        <f ca="1">_xll.DBRW(Server&amp;Cube1,$F$17,$F$18,$F$19,$F$16,$C$14,$F$15,$F$14,$F$20,O$2,O$1,$C30)</f>
        <v/>
      </c>
      <c r="P30" s="226"/>
      <c r="Q30" s="240" t="str">
        <f ca="1">IF(_xll.ELCOMPN(Server&amp;$C$24,C30)=0,"YES","NO")</f>
        <v>YES</v>
      </c>
      <c r="R30" s="241">
        <v>0</v>
      </c>
      <c r="S30" s="226"/>
      <c r="T30" s="227" t="str">
        <f ca="1">_xll.DBRW(Server&amp;Cube1,$F$17,$F$18,$F$19,$F$16,$C$14,$F$15,$F$14,$F$20,T$2,$T$1,$C30)</f>
        <v/>
      </c>
      <c r="U30" s="227" t="str">
        <f ca="1">_xll.DBRW(Server&amp;Cube1,$F$17,$F$18,$F$19,$F$16,$C$14,$F$15,$F$14,$F$20,U$2,$U$1,$C30)</f>
        <v/>
      </c>
      <c r="V30" s="227" t="str">
        <f ca="1">_xll.DBRW(Server&amp;Cube1,$F$17,$F$18,$F$19,$F$16,$C$14,$F$15,$F$14,$F$20,V$2,V$1,$C30)</f>
        <v/>
      </c>
      <c r="W30" s="227" t="str">
        <f ca="1">_xll.DBRW(Server&amp;Cube1,$F$17,$F$18,$F$19,$F$16,$C$14,$F$15,$F$14,$F$20,W$2,W$1,$C30)</f>
        <v/>
      </c>
      <c r="X30" s="227" t="str">
        <f ca="1">_xll.DBRW(Server&amp;Cube1,$F$17,$F$18,$F$19,$F$16,$C$14,$F$15,$F$14,$F$20,X$2,X$1,$C30)</f>
        <v/>
      </c>
      <c r="Y30" s="227" t="str">
        <f ca="1">_xll.DBRW(Server&amp;Cube1,$F$17,$F$18,$F$19,$F$16,$C$14,$F$15,$F$14,$F$20,Y$2,Y$1,$C30)</f>
        <v/>
      </c>
      <c r="Z30" s="241"/>
      <c r="AA30" s="241"/>
      <c r="AB30" s="241"/>
      <c r="AC30" s="241"/>
      <c r="AD30" s="241"/>
      <c r="AE30" s="241"/>
      <c r="AF30" s="221" t="str">
        <f ca="1">_xll.DBRW(Server&amp;Cube1,$F$17,$F$18,$F$19,$F$16,$C$14,$F$15,$F$14,$F$20,AF$2,$AF$1,$C30)</f>
        <v/>
      </c>
      <c r="AG30" s="23"/>
      <c r="AH30" s="23"/>
      <c r="AI30" s="23"/>
      <c r="AJ30" s="23"/>
      <c r="AK30" s="23"/>
      <c r="AL30" s="23"/>
      <c r="AM30" s="23"/>
      <c r="AN30" s="23"/>
      <c r="AO30" s="23"/>
      <c r="AP30" s="71" t="s">
        <v>73</v>
      </c>
      <c r="AQ30" s="23"/>
      <c r="AU30" s="23"/>
      <c r="AV30" s="23"/>
      <c r="AW30" s="23"/>
      <c r="AX30" s="23"/>
      <c r="AY30" s="23"/>
      <c r="AZ30" s="23"/>
      <c r="BA30" s="23"/>
    </row>
    <row r="31" spans="1:61" s="9" customFormat="1" ht="11.25" customHeight="1" thickBot="1" x14ac:dyDescent="0.4">
      <c r="A31" s="181" t="e">
        <f ca="1">IF($AT$35="YES",1,IF(_xll.ELCOMPN(Server&amp;$C$24,C31)&lt;&gt;0,1,IF(OR(B31=$AZ$35,B31="ALL"),1,0)))</f>
        <v>#VALUE!</v>
      </c>
      <c r="B31" s="181" t="s">
        <v>484</v>
      </c>
      <c r="C31" s="118"/>
      <c r="D31" s="96"/>
      <c r="E31" s="287"/>
      <c r="F31" s="287"/>
      <c r="G31" s="287"/>
      <c r="H31" s="97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95"/>
      <c r="AH31" s="23"/>
      <c r="AI31" s="23"/>
      <c r="AJ31" s="23"/>
      <c r="AK31" s="23"/>
      <c r="AL31" s="23"/>
      <c r="AM31" s="23"/>
      <c r="AN31" s="23"/>
      <c r="AO31" s="23"/>
      <c r="AP31" s="94" t="s">
        <v>77</v>
      </c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</row>
    <row r="32" spans="1:61" s="9" customFormat="1" ht="24.95" customHeight="1" x14ac:dyDescent="0.35">
      <c r="A32" s="181">
        <f ca="1">IF($AT$35="YES",1,IF(_xll.ELCOMPN(Server&amp;$C$24,C32)&lt;&gt;0,1,IF(OR(B32=$AZ$35,B32="ALL"),1,0)))</f>
        <v>1</v>
      </c>
      <c r="B32" s="163"/>
      <c r="C32" s="116" t="s">
        <v>84</v>
      </c>
      <c r="D32" s="1"/>
      <c r="E32" s="274" t="str">
        <f ca="1">_xll.DBRA(Server&amp;$C$24,$C32,$F$21)</f>
        <v>CHARGES OPERATIONNELLES</v>
      </c>
      <c r="F32" s="274"/>
      <c r="G32" s="274"/>
      <c r="H32" s="40"/>
      <c r="I32" s="247" t="str">
        <f ca="1">_xll.DBRW(Server&amp;Cube1,$F$17,$F$18,$F$19,$F$16,$C$14,$F$15,$F$14,$F$20,I$2,I$1,$C32)</f>
        <v/>
      </c>
      <c r="J32" s="247" t="str">
        <f ca="1">_xll.DBRW(Server&amp;Cube1,$F$17,$F$18,$F$19,$F$16,$C$14,$F$15,$F$14,$F$20,J$2,J$1,$C32)</f>
        <v/>
      </c>
      <c r="K32" s="247" t="e">
        <f ca="1">_xll.DBRW(Server&amp;Cube1,$F$17,$F$18,$F$19,$F$16,$C$14,$F$15,$F$14,$F$20,I$2,I$1,$C32) -_xll.DBRW(Server&amp;Cube1,$F$17,$F$18,$F$19,$F$16,$C$14,$F$15,$F$14,$F$20,K$2,I$1,$C32)</f>
        <v>#VALUE!</v>
      </c>
      <c r="L32" s="247" t="e">
        <f t="shared" ref="L32:L95" ca="1" si="2">$K32+$J32</f>
        <v>#VALUE!</v>
      </c>
      <c r="M32" s="247" t="e">
        <f t="shared" ca="1" si="1"/>
        <v>#VALUE!</v>
      </c>
      <c r="N32" s="248"/>
      <c r="O32" s="247" t="str">
        <f ca="1">_xll.DBRW(Server&amp;Cube1,$F$17,$F$18,$F$19,$F$16,$C$14,$F$15,$F$14,$F$20,O$2,O$1,$C32)</f>
        <v/>
      </c>
      <c r="P32" s="248"/>
      <c r="Q32" s="248" t="str">
        <f ca="1">IF(_xll.ELCOMPN(Server&amp;$C$24,C32)=0,"YES","NO")</f>
        <v>NO</v>
      </c>
      <c r="R32" s="247"/>
      <c r="S32" s="248"/>
      <c r="T32" s="247" t="str">
        <f ca="1">_xll.DBRW(Server&amp;Cube1,$F$17,$F$18,$F$19,$F$16,$C$14,$F$15,$F$14,$F$20,T$2,$T$1,$C32)</f>
        <v/>
      </c>
      <c r="U32" s="247" t="str">
        <f ca="1">_xll.DBRW(Server&amp;Cube1,$F$17,$F$18,$F$19,$F$16,$C$14,$F$15,$F$14,$F$20,U$2,$U$1,$C32)</f>
        <v/>
      </c>
      <c r="V32" s="247" t="str">
        <f ca="1">_xll.DBRW(Server&amp;Cube1,$F$17,$F$18,$F$19,$F$16,$C$14,$F$15,$F$14,$F$20,V$2,V$1,$C32)</f>
        <v/>
      </c>
      <c r="W32" s="247" t="str">
        <f ca="1">_xll.DBRW(Server&amp;Cube1,$F$17,$F$18,$F$19,$F$16,$C$14,$F$15,$F$14,$F$20,W$2,W$1,$C32)</f>
        <v/>
      </c>
      <c r="X32" s="247" t="str">
        <f ca="1">_xll.DBRW(Server&amp;Cube1,$F$17,$F$18,$F$19,$F$16,$C$14,$F$15,$F$14,$F$20,X$2,X$1,$C32)</f>
        <v/>
      </c>
      <c r="Y32" s="247" t="str">
        <f ca="1">_xll.DBRW(Server&amp;Cube1,$F$17,$F$18,$F$19,$F$16,$C$14,$F$15,$F$14,$F$20,Y$2,Y$1,$C32)</f>
        <v/>
      </c>
      <c r="Z32" s="247" t="str">
        <f ca="1">_xll.DBRW(Server&amp;Cube1,$F$17,$F$18,$F$19,$F$16,$C$14,$F$15,$F$14,$F$20,Z$2,Z$1,$C32)</f>
        <v/>
      </c>
      <c r="AA32" s="247" t="str">
        <f ca="1">_xll.DBRW(Server&amp;Cube1,$F$17,$F$18,$F$19,$F$16,$C$14,$F$15,$F$14,$F$20,AA$2,AA$1,$C32)</f>
        <v/>
      </c>
      <c r="AB32" s="247" t="str">
        <f ca="1">_xll.DBRW(Server&amp;Cube1,$F$17,$F$18,$F$19,$F$16,$C$14,$F$15,$F$14,$F$20,AB$2,AB$1,$C32)</f>
        <v/>
      </c>
      <c r="AC32" s="247" t="str">
        <f ca="1">_xll.DBRW(Server&amp;Cube1,$F$17,$F$18,$F$19,$F$16,$C$14,$F$15,$F$14,$F$20,AC$2,AC$1,$C32)</f>
        <v/>
      </c>
      <c r="AD32" s="247" t="str">
        <f ca="1">_xll.DBRW(Server&amp;Cube1,$F$17,$F$18,$F$19,$F$16,$C$14,$F$15,$F$14,$F$20,AD$2,AD$1,$C32)</f>
        <v/>
      </c>
      <c r="AE32" s="247" t="str">
        <f ca="1">_xll.DBRW(Server&amp;Cube1,$F$17,$F$18,$F$19,$F$16,$C$14,$F$15,$F$14,$F$20,AE$2,AE$1,$C32)</f>
        <v/>
      </c>
      <c r="AF32" s="247" t="str">
        <f ca="1">_xll.DBRW(Server&amp;Cube1,$F$17,$F$18,$F$19,$F$16,$C$14,$F$15,$F$14,$F$20,AF$2,$AF$1,$C32)</f>
        <v/>
      </c>
      <c r="AG32" s="53"/>
      <c r="AH32" s="53"/>
      <c r="AI32" s="53"/>
      <c r="AJ32" s="53"/>
      <c r="AK32" s="53"/>
      <c r="AL32" s="53"/>
      <c r="AM32" s="53"/>
      <c r="AN32" s="53"/>
      <c r="AO32" s="53"/>
      <c r="AP32" s="70" t="s">
        <v>78</v>
      </c>
      <c r="AQ32" s="53"/>
      <c r="AR32" s="53" t="s">
        <v>482</v>
      </c>
      <c r="AS32" s="53"/>
      <c r="AT32" s="53"/>
      <c r="AU32" s="53"/>
      <c r="AV32" s="53"/>
      <c r="AW32" s="53"/>
      <c r="AX32" s="53"/>
      <c r="AY32" s="53"/>
      <c r="AZ32" s="53"/>
      <c r="BA32" s="53"/>
    </row>
    <row r="33" spans="1:53" s="9" customFormat="1" ht="24.95" customHeight="1" thickBot="1" x14ac:dyDescent="0.4">
      <c r="A33" s="181">
        <f ca="1">IF($AT$35="YES",1,IF(_xll.ELCOMPN(Server&amp;$C$24,C33)&lt;&gt;0,1,IF(OR(B33=$AZ$35,B33="ALL"),1,0)))</f>
        <v>1</v>
      </c>
      <c r="B33" s="163"/>
      <c r="C33" s="116" t="s">
        <v>85</v>
      </c>
      <c r="E33" s="271" t="str">
        <f ca="1">_xll.DBRA(Server&amp;$C$24,$C33,$F$21)</f>
        <v>Coûts externes</v>
      </c>
      <c r="F33" s="271"/>
      <c r="G33" s="271"/>
      <c r="H33" s="40"/>
      <c r="I33" s="249" t="str">
        <f ca="1">_xll.DBRW(Server&amp;Cube1,$F$17,$F$18,$F$19,$F$16,$C$14,$F$15,$F$14,$F$20,I$2,I$1,$C33)</f>
        <v/>
      </c>
      <c r="J33" s="249" t="str">
        <f ca="1">_xll.DBRW(Server&amp;Cube1,$F$17,$F$18,$F$19,$F$16,$C$14,$F$15,$F$14,$F$20,J$2,J$1,$C33)</f>
        <v/>
      </c>
      <c r="K33" s="252" t="e">
        <f ca="1">_xll.DBRW(Server&amp;Cube1,$F$17,$F$18,$F$19,$F$16,$C$14,$F$15,$F$14,$F$20,I$2,I$1,$C33) -_xll.DBRW(Server&amp;Cube1,$F$17,$F$18,$F$19,$F$16,$C$14,$F$15,$F$14,$F$20,K$2,I$1,$C33)</f>
        <v>#VALUE!</v>
      </c>
      <c r="L33" s="252" t="e">
        <f t="shared" ca="1" si="2"/>
        <v>#VALUE!</v>
      </c>
      <c r="M33" s="252" t="e">
        <f t="shared" ca="1" si="1"/>
        <v>#VALUE!</v>
      </c>
      <c r="N33" s="250"/>
      <c r="O33" s="249" t="str">
        <f ca="1">_xll.DBRW(Server&amp;Cube1,$F$17,$F$18,$F$19,$F$16,$C$14,$F$15,$F$14,$F$20,O$2,O$1,$C33)</f>
        <v/>
      </c>
      <c r="P33" s="250"/>
      <c r="Q33" s="251" t="str">
        <f ca="1">IF(_xll.ELCOMPN(Server&amp;$C$24,C33)=0,"YES","NO")</f>
        <v>NO</v>
      </c>
      <c r="R33" s="249"/>
      <c r="S33" s="250"/>
      <c r="T33" s="249" t="str">
        <f ca="1">_xll.DBRW(Server&amp;Cube1,$F$17,$F$18,$F$19,$F$16,$C$14,$F$15,$F$14,$F$20,T$2,$T$1,$C33)</f>
        <v/>
      </c>
      <c r="U33" s="249" t="str">
        <f ca="1">_xll.DBRW(Server&amp;Cube1,$F$17,$F$18,$F$19,$F$16,$C$14,$F$15,$F$14,$F$20,U$2,$U$1,$C33)</f>
        <v/>
      </c>
      <c r="V33" s="249" t="str">
        <f ca="1">_xll.DBRW(Server&amp;Cube1,$F$17,$F$18,$F$19,$F$16,$C$14,$F$15,$F$14,$F$20,V$2,V$1,$C33)</f>
        <v/>
      </c>
      <c r="W33" s="249" t="str">
        <f ca="1">_xll.DBRW(Server&amp;Cube1,$F$17,$F$18,$F$19,$F$16,$C$14,$F$15,$F$14,$F$20,W$2,W$1,$C33)</f>
        <v/>
      </c>
      <c r="X33" s="249" t="str">
        <f ca="1">_xll.DBRW(Server&amp;Cube1,$F$17,$F$18,$F$19,$F$16,$C$14,$F$15,$F$14,$F$20,X$2,X$1,$C33)</f>
        <v/>
      </c>
      <c r="Y33" s="249" t="str">
        <f ca="1">_xll.DBRW(Server&amp;Cube1,$F$17,$F$18,$F$19,$F$16,$C$14,$F$15,$F$14,$F$20,Y$2,Y$1,$C33)</f>
        <v/>
      </c>
      <c r="Z33" s="249" t="str">
        <f ca="1">_xll.DBRW(Server&amp;Cube1,$F$17,$F$18,$F$19,$F$16,$C$14,$F$15,$F$14,$F$20,Z$2,Z$1,$C33)</f>
        <v/>
      </c>
      <c r="AA33" s="249" t="str">
        <f ca="1">_xll.DBRW(Server&amp;Cube1,$F$17,$F$18,$F$19,$F$16,$C$14,$F$15,$F$14,$F$20,AA$2,AA$1,$C33)</f>
        <v/>
      </c>
      <c r="AB33" s="249" t="str">
        <f ca="1">_xll.DBRW(Server&amp;Cube1,$F$17,$F$18,$F$19,$F$16,$C$14,$F$15,$F$14,$F$20,AB$2,AB$1,$C33)</f>
        <v/>
      </c>
      <c r="AC33" s="249" t="str">
        <f ca="1">_xll.DBRW(Server&amp;Cube1,$F$17,$F$18,$F$19,$F$16,$C$14,$F$15,$F$14,$F$20,AC$2,AC$1,$C33)</f>
        <v/>
      </c>
      <c r="AD33" s="249" t="str">
        <f ca="1">_xll.DBRW(Server&amp;Cube1,$F$17,$F$18,$F$19,$F$16,$C$14,$F$15,$F$14,$F$20,AD$2,AD$1,$C33)</f>
        <v/>
      </c>
      <c r="AE33" s="249" t="str">
        <f ca="1">_xll.DBRW(Server&amp;Cube1,$F$17,$F$18,$F$19,$F$16,$C$14,$F$15,$F$14,$F$20,AE$2,AE$1,$C33)</f>
        <v/>
      </c>
      <c r="AF33" s="249" t="str">
        <f ca="1">_xll.DBRW(Server&amp;Cube1,$F$17,$F$18,$F$19,$F$16,$C$14,$F$15,$F$14,$F$20,AF$2,$AF$1,$C33)</f>
        <v/>
      </c>
      <c r="AG33" s="23"/>
      <c r="AH33" s="23"/>
      <c r="AI33" s="23"/>
      <c r="AJ33" s="23"/>
      <c r="AK33" s="23"/>
      <c r="AL33" s="23"/>
      <c r="AM33" s="23"/>
      <c r="AN33" s="23"/>
      <c r="AO33" s="23"/>
      <c r="AP33" s="72" t="s">
        <v>79</v>
      </c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</row>
    <row r="34" spans="1:53" s="9" customFormat="1" ht="24.95" customHeight="1" thickBot="1" x14ac:dyDescent="0.4">
      <c r="A34" s="181">
        <f ca="1">IF($AT$35="YES",1,IF(_xll.ELCOMPN(Server&amp;$C$24,C34)&lt;&gt;0,1,IF(OR(B34=$AZ$35,B34="ALL"),1,0)))</f>
        <v>1</v>
      </c>
      <c r="B34" s="163"/>
      <c r="C34" s="116" t="s">
        <v>86</v>
      </c>
      <c r="E34" s="269" t="str">
        <f ca="1">_xll.DBRA(Server&amp;$C$24,$C34,$F$21)</f>
        <v>Coûts admin. et informatique</v>
      </c>
      <c r="F34" s="269"/>
      <c r="G34" s="269"/>
      <c r="H34" s="40"/>
      <c r="I34" s="220" t="str">
        <f ca="1">_xll.DBRW(Server&amp;Cube1,$F$17,$F$18,$F$19,$F$16,$C$14,$F$15,$F$14,$F$20,I$2,I$1,$C34)</f>
        <v/>
      </c>
      <c r="J34" s="220" t="str">
        <f ca="1">_xll.DBRW(Server&amp;Cube1,$F$17,$F$18,$F$19,$F$16,$C$14,$F$15,$F$14,$F$20,J$2,J$1,$C34)</f>
        <v/>
      </c>
      <c r="K34" s="220" t="e">
        <f ca="1">_xll.DBRW(Server&amp;Cube1,$F$17,$F$18,$F$19,$F$16,$C$14,$F$15,$F$14,$F$20,I$2,I$1,$C34) -_xll.DBRW(Server&amp;Cube1,$F$17,$F$18,$F$19,$F$16,$C$14,$F$15,$F$14,$F$20,K$2,I$1,$C34)</f>
        <v>#VALUE!</v>
      </c>
      <c r="L34" s="220" t="e">
        <f t="shared" ca="1" si="2"/>
        <v>#VALUE!</v>
      </c>
      <c r="M34" s="220" t="e">
        <f t="shared" ca="1" si="1"/>
        <v>#VALUE!</v>
      </c>
      <c r="N34" s="229"/>
      <c r="O34" s="228" t="str">
        <f ca="1">_xll.DBRW(Server&amp;Cube1,$F$17,$F$18,$F$19,$F$16,$C$14,$F$15,$F$14,$F$20,O$2,O$1,$C34)</f>
        <v/>
      </c>
      <c r="P34" s="229"/>
      <c r="Q34" s="240" t="str">
        <f ca="1">IF(_xll.ELCOMPN(Server&amp;$C$24,C34)=0,"YES","NO")</f>
        <v>NO</v>
      </c>
      <c r="R34" s="228"/>
      <c r="S34" s="229"/>
      <c r="T34" s="228" t="str">
        <f ca="1">_xll.DBRW(Server&amp;Cube1,$F$17,$F$18,$F$19,$F$16,$C$14,$F$15,$F$14,$F$20,T$2,$T$1,$C34)</f>
        <v/>
      </c>
      <c r="U34" s="228" t="str">
        <f ca="1">_xll.DBRW(Server&amp;Cube1,$F$17,$F$18,$F$19,$F$16,$C$14,$F$15,$F$14,$F$20,U$2,$U$1,$C34)</f>
        <v/>
      </c>
      <c r="V34" s="228" t="str">
        <f ca="1">_xll.DBRW(Server&amp;Cube1,$F$17,$F$18,$F$19,$F$16,$C$14,$F$15,$F$14,$F$20,V$2,V$1,$C34)</f>
        <v/>
      </c>
      <c r="W34" s="228" t="str">
        <f ca="1">_xll.DBRW(Server&amp;Cube1,$F$17,$F$18,$F$19,$F$16,$C$14,$F$15,$F$14,$F$20,W$2,W$1,$C34)</f>
        <v/>
      </c>
      <c r="X34" s="228" t="str">
        <f ca="1">_xll.DBRW(Server&amp;Cube1,$F$17,$F$18,$F$19,$F$16,$C$14,$F$15,$F$14,$F$20,X$2,X$1,$C34)</f>
        <v/>
      </c>
      <c r="Y34" s="228" t="str">
        <f ca="1">_xll.DBRW(Server&amp;Cube1,$F$17,$F$18,$F$19,$F$16,$C$14,$F$15,$F$14,$F$20,Y$2,Y$1,$C34)</f>
        <v/>
      </c>
      <c r="Z34" s="228" t="str">
        <f ca="1">_xll.DBRW(Server&amp;Cube1,$F$17,$F$18,$F$19,$F$16,$C$14,$F$15,$F$14,$F$20,Z$2,Z$1,$C34)</f>
        <v/>
      </c>
      <c r="AA34" s="228" t="str">
        <f ca="1">_xll.DBRW(Server&amp;Cube1,$F$17,$F$18,$F$19,$F$16,$C$14,$F$15,$F$14,$F$20,AA$2,AA$1,$C34)</f>
        <v/>
      </c>
      <c r="AB34" s="228" t="str">
        <f ca="1">_xll.DBRW(Server&amp;Cube1,$F$17,$F$18,$F$19,$F$16,$C$14,$F$15,$F$14,$F$20,AB$2,AB$1,$C34)</f>
        <v/>
      </c>
      <c r="AC34" s="228" t="str">
        <f ca="1">_xll.DBRW(Server&amp;Cube1,$F$17,$F$18,$F$19,$F$16,$C$14,$F$15,$F$14,$F$20,AC$2,AC$1,$C34)</f>
        <v/>
      </c>
      <c r="AD34" s="228" t="str">
        <f ca="1">_xll.DBRW(Server&amp;Cube1,$F$17,$F$18,$F$19,$F$16,$C$14,$F$15,$F$14,$F$20,AD$2,AD$1,$C34)</f>
        <v/>
      </c>
      <c r="AE34" s="228" t="str">
        <f ca="1">_xll.DBRW(Server&amp;Cube1,$F$17,$F$18,$F$19,$F$16,$C$14,$F$15,$F$14,$F$20,AE$2,AE$1,$C34)</f>
        <v/>
      </c>
      <c r="AF34" s="228" t="str">
        <f ca="1">_xll.DBRW(Server&amp;Cube1,$F$17,$F$18,$F$19,$F$16,$C$14,$F$15,$F$14,$F$20,AF$2,$AF$1,$C34)</f>
        <v/>
      </c>
      <c r="AG34" s="23"/>
      <c r="AH34" s="23"/>
      <c r="AI34" s="23"/>
      <c r="AJ34" s="23"/>
      <c r="AK34" s="23"/>
      <c r="AL34" s="23"/>
      <c r="AM34" s="23"/>
      <c r="AN34" s="23"/>
      <c r="AO34" s="23"/>
      <c r="AP34" s="60" t="s">
        <v>54</v>
      </c>
      <c r="AQ34" s="23"/>
      <c r="AR34" s="288" t="s">
        <v>480</v>
      </c>
      <c r="AS34" s="289"/>
      <c r="AT34" s="290"/>
      <c r="AU34" s="23"/>
      <c r="AV34" s="23"/>
      <c r="AW34" s="55"/>
      <c r="AX34" s="23"/>
      <c r="AY34" s="23"/>
      <c r="AZ34" s="23"/>
      <c r="BA34" s="23"/>
    </row>
    <row r="35" spans="1:53" s="9" customFormat="1" ht="24.95" customHeight="1" thickBot="1" x14ac:dyDescent="0.4">
      <c r="A35" s="181">
        <f ca="1">IF($AT$35="YES",1,IF(_xll.ELCOMPN(Server&amp;$C$24,C35)&lt;&gt;0,1,IF(OR(B35=$AZ$35,B35="ALL"),1,0)))</f>
        <v>1</v>
      </c>
      <c r="B35" s="163"/>
      <c r="C35" s="117" t="s">
        <v>91</v>
      </c>
      <c r="E35" s="270" t="str">
        <f ca="1">_xll.DBRA(Server&amp;$C$24,$C35,$F$21)</f>
        <v>Documentation</v>
      </c>
      <c r="F35" s="270"/>
      <c r="G35" s="270"/>
      <c r="H35" s="40"/>
      <c r="I35" s="221" t="str">
        <f ca="1">_xll.DBRW(Server&amp;Cube1,$F$17,$F$18,$F$19,$F$16,$C$14,$F$15,$F$14,$F$20,I$2,I$1,$C35)</f>
        <v/>
      </c>
      <c r="J35" s="221" t="str">
        <f ca="1">_xll.DBRW(Server&amp;Cube1,$F$17,$F$18,$F$19,$F$16,$C$14,$F$15,$F$14,$F$20,J$2,J$1,$C35)</f>
        <v/>
      </c>
      <c r="K35" s="221" t="e">
        <f ca="1">_xll.DBRW(Server&amp;Cube1,$F$17,$F$18,$F$19,$F$16,$C$14,$F$15,$F$14,$F$20,I$2,I$1,$C35) -_xll.DBRW(Server&amp;Cube1,$F$17,$F$18,$F$19,$F$16,$C$14,$F$15,$F$14,$F$20,K$2,I$1,$C35)</f>
        <v>#VALUE!</v>
      </c>
      <c r="L35" s="221" t="e">
        <f t="shared" ca="1" si="2"/>
        <v>#VALUE!</v>
      </c>
      <c r="M35" s="221" t="e">
        <f t="shared" ca="1" si="1"/>
        <v>#VALUE!</v>
      </c>
      <c r="N35" s="229"/>
      <c r="O35" s="229" t="str">
        <f ca="1">_xll.DBRW(Server&amp;Cube1,$F$17,$F$18,$F$19,$F$16,$C$14,$F$15,$F$14,$F$20,O$2,O$1,$C35)</f>
        <v/>
      </c>
      <c r="P35" s="229"/>
      <c r="Q35" s="240" t="str">
        <f ca="1">IF(_xll.ELCOMPN(Server&amp;$C$24,C35)=0,"YES","NO")</f>
        <v>NO</v>
      </c>
      <c r="R35" s="229"/>
      <c r="S35" s="229"/>
      <c r="T35" s="229" t="str">
        <f ca="1">_xll.DBRW(Server&amp;Cube1,$F$17,$F$18,$F$19,$F$16,$C$14,$F$15,$F$14,$F$20,T$2,$T$1,$C35)</f>
        <v/>
      </c>
      <c r="U35" s="229" t="str">
        <f ca="1">_xll.DBRW(Server&amp;Cube1,$F$17,$F$18,$F$19,$F$16,$C$14,$F$15,$F$14,$F$20,U$2,$U$1,$C35)</f>
        <v/>
      </c>
      <c r="V35" s="229" t="str">
        <f ca="1">_xll.DBRW(Server&amp;Cube1,$F$17,$F$18,$F$19,$F$16,$C$14,$F$15,$F$14,$F$20,V$2,V$1,$C35)</f>
        <v/>
      </c>
      <c r="W35" s="229" t="str">
        <f ca="1">_xll.DBRW(Server&amp;Cube1,$F$17,$F$18,$F$19,$F$16,$C$14,$F$15,$F$14,$F$20,W$2,W$1,$C35)</f>
        <v/>
      </c>
      <c r="X35" s="229" t="str">
        <f ca="1">_xll.DBRW(Server&amp;Cube1,$F$17,$F$18,$F$19,$F$16,$C$14,$F$15,$F$14,$F$20,X$2,X$1,$C35)</f>
        <v/>
      </c>
      <c r="Y35" s="229" t="str">
        <f ca="1">_xll.DBRW(Server&amp;Cube1,$F$17,$F$18,$F$19,$F$16,$C$14,$F$15,$F$14,$F$20,Y$2,Y$1,$C35)</f>
        <v/>
      </c>
      <c r="Z35" s="229" t="str">
        <f ca="1">_xll.DBRW(Server&amp;Cube1,$F$17,$F$18,$F$19,$F$16,$C$14,$F$15,$F$14,$F$20,Z$2,Z$1,$C35)</f>
        <v/>
      </c>
      <c r="AA35" s="229" t="str">
        <f ca="1">_xll.DBRW(Server&amp;Cube1,$F$17,$F$18,$F$19,$F$16,$C$14,$F$15,$F$14,$F$20,AA$2,AA$1,$C35)</f>
        <v/>
      </c>
      <c r="AB35" s="229" t="str">
        <f ca="1">_xll.DBRW(Server&amp;Cube1,$F$17,$F$18,$F$19,$F$16,$C$14,$F$15,$F$14,$F$20,AB$2,AB$1,$C35)</f>
        <v/>
      </c>
      <c r="AC35" s="229" t="str">
        <f ca="1">_xll.DBRW(Server&amp;Cube1,$F$17,$F$18,$F$19,$F$16,$C$14,$F$15,$F$14,$F$20,AC$2,AC$1,$C35)</f>
        <v/>
      </c>
      <c r="AD35" s="229" t="str">
        <f ca="1">_xll.DBRW(Server&amp;Cube1,$F$17,$F$18,$F$19,$F$16,$C$14,$F$15,$F$14,$F$20,AD$2,AD$1,$C35)</f>
        <v/>
      </c>
      <c r="AE35" s="229" t="str">
        <f ca="1">_xll.DBRW(Server&amp;Cube1,$F$17,$F$18,$F$19,$F$16,$C$14,$F$15,$F$14,$F$20,AE$2,AE$1,$C35)</f>
        <v/>
      </c>
      <c r="AF35" s="229" t="str">
        <f ca="1">_xll.DBRW(Server&amp;Cube1,$F$17,$F$18,$F$19,$F$16,$C$14,$F$15,$F$14,$F$20,AF$2,$AF$1,$C35)</f>
        <v/>
      </c>
      <c r="AG35" s="23"/>
      <c r="AH35" s="23"/>
      <c r="AI35" s="23"/>
      <c r="AJ35" s="23"/>
      <c r="AK35" s="23"/>
      <c r="AL35" s="23"/>
      <c r="AM35" s="23"/>
      <c r="AN35" s="23"/>
      <c r="AO35" s="23"/>
      <c r="AP35" s="62" t="s">
        <v>55</v>
      </c>
      <c r="AQ35" s="23"/>
      <c r="AR35" s="261" t="s">
        <v>481</v>
      </c>
      <c r="AS35" s="262"/>
      <c r="AT35" s="167" t="str">
        <f ca="1">IF(_xll.ELCOMPN(Server&amp;$AR$32,F14)=0,"NO","YES")</f>
        <v>NO</v>
      </c>
      <c r="AU35" s="261" t="s">
        <v>485</v>
      </c>
      <c r="AV35" s="262"/>
      <c r="AW35" s="188" t="e">
        <f ca="1">VALUE(_xll.SUBNM(Server&amp;"Management_Organization_Corp","",$F$14,""))</f>
        <v>#VALUE!</v>
      </c>
      <c r="AX35" s="261" t="s">
        <v>486</v>
      </c>
      <c r="AY35" s="262"/>
      <c r="AZ35" s="263" t="e">
        <f ca="1">VLOOKUP($AW$35,AS37:AT98,2,FALSE)</f>
        <v>#VALUE!</v>
      </c>
      <c r="BA35" s="264"/>
    </row>
    <row r="36" spans="1:53" s="9" customFormat="1" ht="24.95" customHeight="1" thickBot="1" x14ac:dyDescent="0.4">
      <c r="A36" s="181" t="e">
        <f ca="1">IF($AT$35="YES",1,IF(_xll.ELCOMPN(Server&amp;$C$24,C36)&lt;&gt;0,1,IF(OR(B36=$AZ$35,B36="ALL"),1,0)))</f>
        <v>#VALUE!</v>
      </c>
      <c r="B36" s="163" t="str">
        <f>IF(ISERROR(MID(C36,FIND("_",C36,1)+1,2)),MID(C36,FIND("(",C36,1)+1,2),MID(C36,FIND("_",C36,1)+1,2))</f>
        <v>DS</v>
      </c>
      <c r="C36" s="158" t="s">
        <v>146</v>
      </c>
      <c r="E36" s="268" t="str">
        <f ca="1">_xll.DBRA(Server&amp;$C$24,$C36,$F$21)</f>
        <v>Documentation (SO)</v>
      </c>
      <c r="F36" s="268"/>
      <c r="G36" s="268"/>
      <c r="H36" s="40"/>
      <c r="I36" s="221" t="str">
        <f ca="1">_xll.DBRW(Server&amp;Cube1,$F$17,$F$18,$F$19,$F$16,$C$14,$F$15,$F$14,$F$20,I$2,I$1,$C36)</f>
        <v/>
      </c>
      <c r="J36" s="221" t="str">
        <f ca="1">_xll.DBRW(Server&amp;Cube1,$F$17,$F$18,$F$19,$F$16,$C$14,$F$15,$F$14,$F$20,J$2,J$1,$C36)</f>
        <v/>
      </c>
      <c r="K36" s="221" t="e">
        <f ca="1">_xll.DBRW(Server&amp;Cube1,$F$17,$F$18,$F$19,$F$16,$C$14,$F$15,$F$14,$F$20,I$2,I$1,$C36) -_xll.DBRW(Server&amp;Cube1,$F$17,$F$18,$F$19,$F$16,$C$14,$F$15,$F$14,$F$20,K$2,I$1,$C36)</f>
        <v>#VALUE!</v>
      </c>
      <c r="L36" s="221" t="e">
        <f ca="1">$K36+$J36</f>
        <v>#VALUE!</v>
      </c>
      <c r="M36" s="221" t="e">
        <f t="shared" ca="1" si="1"/>
        <v>#VALUE!</v>
      </c>
      <c r="N36" s="226"/>
      <c r="O36" s="221" t="str">
        <f ca="1">_xll.DBRW(Server&amp;Cube1,$F$17,$F$18,$F$19,$F$16,$C$14,$F$15,$F$14,$F$20,O$2,O$1,$C36)</f>
        <v/>
      </c>
      <c r="P36" s="226"/>
      <c r="Q36" s="240" t="str">
        <f ca="1">IF(_xll.ELCOMPN(Server&amp;$C$24,C36)=0,"YES","NO")</f>
        <v>YES</v>
      </c>
      <c r="R36" s="241">
        <v>0</v>
      </c>
      <c r="S36" s="226"/>
      <c r="T36" s="227" t="str">
        <f ca="1">_xll.DBRW(Server&amp;Cube1,$F$17,$F$18,$F$19,$F$16,$C$14,$F$15,$F$14,$F$20,T$2,$T$1,$C36)</f>
        <v/>
      </c>
      <c r="U36" s="227" t="str">
        <f ca="1">_xll.DBRW(Server&amp;Cube1,$F$17,$F$18,$F$19,$F$16,$C$14,$F$15,$F$14,$F$20,U$2,$U$1,$C36)</f>
        <v/>
      </c>
      <c r="V36" s="227" t="str">
        <f ca="1">_xll.DBRW(Server&amp;Cube1,$F$17,$F$18,$F$19,$F$16,$C$14,$F$15,$F$14,$F$20,V$2,V$1,$C36)</f>
        <v/>
      </c>
      <c r="W36" s="227" t="str">
        <f ca="1">_xll.DBRW(Server&amp;Cube1,$F$17,$F$18,$F$19,$F$16,$C$14,$F$15,$F$14,$F$20,W$2,W$1,$C36)</f>
        <v/>
      </c>
      <c r="X36" s="227" t="str">
        <f ca="1">_xll.DBRW(Server&amp;Cube1,$F$17,$F$18,$F$19,$F$16,$C$14,$F$15,$F$14,$F$20,X$2,X$1,$C36)</f>
        <v/>
      </c>
      <c r="Y36" s="227" t="str">
        <f ca="1">_xll.DBRW(Server&amp;Cube1,$F$17,$F$18,$F$19,$F$16,$C$14,$F$15,$F$14,$F$20,Y$2,Y$1,$C36)</f>
        <v/>
      </c>
      <c r="Z36" s="241"/>
      <c r="AA36" s="241"/>
      <c r="AB36" s="241"/>
      <c r="AC36" s="241"/>
      <c r="AD36" s="241"/>
      <c r="AE36" s="241"/>
      <c r="AF36" s="221" t="str">
        <f ca="1">_xll.DBRW(Server&amp;Cube1,$F$17,$F$18,$F$19,$F$16,$C$14,$F$15,$F$14,$F$20,AF$2,$AF$1,$C36)</f>
        <v/>
      </c>
      <c r="AG36" s="53"/>
      <c r="AH36" s="53"/>
      <c r="AI36" s="53"/>
      <c r="AJ36" s="53"/>
      <c r="AK36" s="53"/>
      <c r="AL36" s="53"/>
      <c r="AM36" s="53"/>
      <c r="AN36" s="53"/>
      <c r="AO36" s="53"/>
      <c r="AP36" s="63" t="s">
        <v>137</v>
      </c>
      <c r="AQ36" s="53"/>
      <c r="AR36" s="53"/>
      <c r="AS36" s="53"/>
      <c r="AT36" s="53"/>
      <c r="AU36" s="53"/>
      <c r="AV36" s="53"/>
      <c r="AX36" s="53"/>
      <c r="AY36" s="53"/>
      <c r="AZ36" s="53"/>
      <c r="BA36" s="53"/>
    </row>
    <row r="37" spans="1:53" s="9" customFormat="1" ht="24.95" customHeight="1" x14ac:dyDescent="0.35">
      <c r="A37" s="181" t="e">
        <f ca="1">IF($AT$35="YES",1,IF(_xll.ELCOMPN(Server&amp;$C$24,C37)&lt;&gt;0,1,IF(OR(B37=$AZ$35,B37="ALL"),1,0)))</f>
        <v>#VALUE!</v>
      </c>
      <c r="B37" s="163" t="str">
        <f t="shared" ref="B37:B100" si="3">IF(ISERROR(MID(C37,FIND("_",C37,1)+1,2)),MID(C37,FIND("(",C37,1)+1,2),MID(C37,FIND("_",C37,1)+1,2))</f>
        <v>BD</v>
      </c>
      <c r="C37" s="158" t="s">
        <v>147</v>
      </c>
      <c r="E37" s="268" t="str">
        <f ca="1">_xll.DBRA(Server&amp;$C$24,$C37,$F$21)</f>
        <v>Documentation (DC)</v>
      </c>
      <c r="F37" s="268"/>
      <c r="G37" s="268"/>
      <c r="H37" s="40"/>
      <c r="I37" s="221" t="str">
        <f ca="1">_xll.DBRW(Server&amp;Cube1,$F$17,$F$18,$F$19,$F$16,$C$14,$F$15,$F$14,$F$20,I$2,I$1,$C37)</f>
        <v/>
      </c>
      <c r="J37" s="221" t="str">
        <f ca="1">_xll.DBRW(Server&amp;Cube1,$F$17,$F$18,$F$19,$F$16,$C$14,$F$15,$F$14,$F$20,J$2,J$1,$C37)</f>
        <v/>
      </c>
      <c r="K37" s="221" t="e">
        <f ca="1">_xll.DBRW(Server&amp;Cube1,$F$17,$F$18,$F$19,$F$16,$C$14,$F$15,$F$14,$F$20,I$2,I$1,$C37) -_xll.DBRW(Server&amp;Cube1,$F$17,$F$18,$F$19,$F$16,$C$14,$F$15,$F$14,$F$20,K$2,I$1,$C37)</f>
        <v>#VALUE!</v>
      </c>
      <c r="L37" s="221" t="e">
        <f t="shared" ca="1" si="2"/>
        <v>#VALUE!</v>
      </c>
      <c r="M37" s="221" t="e">
        <f t="shared" ca="1" si="1"/>
        <v>#VALUE!</v>
      </c>
      <c r="N37" s="226"/>
      <c r="O37" s="221" t="str">
        <f ca="1">_xll.DBRW(Server&amp;Cube1,$F$17,$F$18,$F$19,$F$16,$C$14,$F$15,$F$14,$F$20,O$2,O$1,$C37)</f>
        <v/>
      </c>
      <c r="P37" s="226"/>
      <c r="Q37" s="240" t="str">
        <f ca="1">IF(_xll.ELCOMPN(Server&amp;$C$24,C37)=0,"YES","NO")</f>
        <v>YES</v>
      </c>
      <c r="R37" s="241">
        <v>0</v>
      </c>
      <c r="S37" s="226"/>
      <c r="T37" s="227" t="str">
        <f ca="1">_xll.DBRW(Server&amp;Cube1,$F$17,$F$18,$F$19,$F$16,$C$14,$F$15,$F$14,$F$20,T$2,$T$1,$C37)</f>
        <v/>
      </c>
      <c r="U37" s="227" t="str">
        <f ca="1">_xll.DBRW(Server&amp;Cube1,$F$17,$F$18,$F$19,$F$16,$C$14,$F$15,$F$14,$F$20,U$2,$U$1,$C37)</f>
        <v/>
      </c>
      <c r="V37" s="227" t="str">
        <f ca="1">_xll.DBRW(Server&amp;Cube1,$F$17,$F$18,$F$19,$F$16,$C$14,$F$15,$F$14,$F$20,V$2,V$1,$C37)</f>
        <v/>
      </c>
      <c r="W37" s="227" t="str">
        <f ca="1">_xll.DBRW(Server&amp;Cube1,$F$17,$F$18,$F$19,$F$16,$C$14,$F$15,$F$14,$F$20,W$2,W$1,$C37)</f>
        <v/>
      </c>
      <c r="X37" s="227" t="str">
        <f ca="1">_xll.DBRW(Server&amp;Cube1,$F$17,$F$18,$F$19,$F$16,$C$14,$F$15,$F$14,$F$20,X$2,X$1,$C37)</f>
        <v/>
      </c>
      <c r="Y37" s="227" t="str">
        <f ca="1">_xll.DBRW(Server&amp;Cube1,$F$17,$F$18,$F$19,$F$16,$C$14,$F$15,$F$14,$F$20,Y$2,Y$1,$C37)</f>
        <v/>
      </c>
      <c r="Z37" s="241"/>
      <c r="AA37" s="241"/>
      <c r="AB37" s="241"/>
      <c r="AC37" s="241"/>
      <c r="AD37" s="241"/>
      <c r="AE37" s="241"/>
      <c r="AF37" s="221" t="str">
        <f ca="1">_xll.DBRW(Server&amp;Cube1,$F$17,$F$18,$F$19,$F$16,$C$14,$F$15,$F$14,$F$20,AF$2,$AF$1,$C37)</f>
        <v/>
      </c>
      <c r="AG37" s="53"/>
      <c r="AH37" s="53"/>
      <c r="AI37" s="53"/>
      <c r="AJ37" s="53"/>
      <c r="AK37" s="53"/>
      <c r="AL37" s="53"/>
      <c r="AM37" s="53"/>
      <c r="AN37" s="53"/>
      <c r="AO37" s="53"/>
      <c r="AP37" s="64" t="s">
        <v>41</v>
      </c>
      <c r="AQ37" s="53"/>
      <c r="AR37" s="265" t="s">
        <v>468</v>
      </c>
      <c r="AS37" s="168">
        <v>4100</v>
      </c>
      <c r="AT37" s="171" t="s">
        <v>489</v>
      </c>
    </row>
    <row r="38" spans="1:53" s="9" customFormat="1" ht="24.95" customHeight="1" x14ac:dyDescent="0.35">
      <c r="A38" s="181" t="e">
        <f ca="1">IF($AT$35="YES",1,IF(_xll.ELCOMPN(Server&amp;$C$24,C38)&lt;&gt;0,1,IF(OR(B38=$AZ$35,B38="ALL"),1,0)))</f>
        <v>#VALUE!</v>
      </c>
      <c r="B38" s="163" t="str">
        <f t="shared" si="3"/>
        <v>FI</v>
      </c>
      <c r="C38" s="158" t="s">
        <v>148</v>
      </c>
      <c r="E38" s="268" t="str">
        <f ca="1">_xll.DBRA(Server&amp;$C$24,$C38,$F$21)</f>
        <v>Documentation (DF)</v>
      </c>
      <c r="F38" s="268"/>
      <c r="G38" s="268"/>
      <c r="H38" s="40"/>
      <c r="I38" s="221" t="str">
        <f ca="1">_xll.DBRW(Server&amp;Cube1,$F$17,$F$18,$F$19,$F$16,$C$14,$F$15,$F$14,$F$20,I$2,I$1,$C38)</f>
        <v/>
      </c>
      <c r="J38" s="221" t="str">
        <f ca="1">_xll.DBRW(Server&amp;Cube1,$F$17,$F$18,$F$19,$F$16,$C$14,$F$15,$F$14,$F$20,J$2,J$1,$C38)</f>
        <v/>
      </c>
      <c r="K38" s="221" t="e">
        <f ca="1">_xll.DBRW(Server&amp;Cube1,$F$17,$F$18,$F$19,$F$16,$C$14,$F$15,$F$14,$F$20,I$2,I$1,$C38) -_xll.DBRW(Server&amp;Cube1,$F$17,$F$18,$F$19,$F$16,$C$14,$F$15,$F$14,$F$20,K$2,I$1,$C38)</f>
        <v>#VALUE!</v>
      </c>
      <c r="L38" s="221" t="e">
        <f t="shared" ca="1" si="2"/>
        <v>#VALUE!</v>
      </c>
      <c r="M38" s="221" t="e">
        <f t="shared" ca="1" si="1"/>
        <v>#VALUE!</v>
      </c>
      <c r="N38" s="226"/>
      <c r="O38" s="221" t="str">
        <f ca="1">_xll.DBRW(Server&amp;Cube1,$F$17,$F$18,$F$19,$F$16,$C$14,$F$15,$F$14,$F$20,O$2,O$1,$C38)</f>
        <v/>
      </c>
      <c r="P38" s="226"/>
      <c r="Q38" s="240" t="str">
        <f ca="1">IF(_xll.ELCOMPN(Server&amp;$C$24,C38)=0,"YES","NO")</f>
        <v>YES</v>
      </c>
      <c r="R38" s="241">
        <v>0</v>
      </c>
      <c r="S38" s="226"/>
      <c r="T38" s="227" t="str">
        <f ca="1">_xll.DBRW(Server&amp;Cube1,$F$17,$F$18,$F$19,$F$16,$C$14,$F$15,$F$14,$F$20,T$2,$T$1,$C38)</f>
        <v/>
      </c>
      <c r="U38" s="227" t="str">
        <f ca="1">_xll.DBRW(Server&amp;Cube1,$F$17,$F$18,$F$19,$F$16,$C$14,$F$15,$F$14,$F$20,U$2,$U$1,$C38)</f>
        <v/>
      </c>
      <c r="V38" s="227" t="str">
        <f ca="1">_xll.DBRW(Server&amp;Cube1,$F$17,$F$18,$F$19,$F$16,$C$14,$F$15,$F$14,$F$20,V$2,V$1,$C38)</f>
        <v/>
      </c>
      <c r="W38" s="227" t="str">
        <f ca="1">_xll.DBRW(Server&amp;Cube1,$F$17,$F$18,$F$19,$F$16,$C$14,$F$15,$F$14,$F$20,W$2,W$1,$C38)</f>
        <v/>
      </c>
      <c r="X38" s="227" t="str">
        <f ca="1">_xll.DBRW(Server&amp;Cube1,$F$17,$F$18,$F$19,$F$16,$C$14,$F$15,$F$14,$F$20,X$2,X$1,$C38)</f>
        <v/>
      </c>
      <c r="Y38" s="227" t="str">
        <f ca="1">_xll.DBRW(Server&amp;Cube1,$F$17,$F$18,$F$19,$F$16,$C$14,$F$15,$F$14,$F$20,Y$2,Y$1,$C38)</f>
        <v/>
      </c>
      <c r="Z38" s="241"/>
      <c r="AA38" s="241"/>
      <c r="AB38" s="241"/>
      <c r="AC38" s="241"/>
      <c r="AD38" s="241"/>
      <c r="AE38" s="241"/>
      <c r="AF38" s="221" t="str">
        <f ca="1">_xll.DBRW(Server&amp;Cube1,$F$17,$F$18,$F$19,$F$16,$C$14,$F$15,$F$14,$F$20,AF$2,$AF$1,$C38)</f>
        <v/>
      </c>
      <c r="AG38" s="53"/>
      <c r="AH38" s="53"/>
      <c r="AI38" s="53"/>
      <c r="AJ38" s="53"/>
      <c r="AK38" s="53"/>
      <c r="AL38" s="53"/>
      <c r="AM38" s="53"/>
      <c r="AN38" s="53"/>
      <c r="AO38" s="53"/>
      <c r="AP38" s="73" t="s">
        <v>42</v>
      </c>
      <c r="AQ38" s="53"/>
      <c r="AR38" s="266"/>
      <c r="AS38" s="169">
        <v>4110</v>
      </c>
      <c r="AT38" s="172" t="s">
        <v>489</v>
      </c>
    </row>
    <row r="39" spans="1:53" s="9" customFormat="1" ht="24.95" customHeight="1" x14ac:dyDescent="0.35">
      <c r="A39" s="181" t="e">
        <f ca="1">IF($AT$35="YES",1,IF(_xll.ELCOMPN(Server&amp;$C$24,C39)&lt;&gt;0,1,IF(OR(B39=$AZ$35,B39="ALL"),1,0)))</f>
        <v>#VALUE!</v>
      </c>
      <c r="B39" s="163" t="str">
        <f t="shared" si="3"/>
        <v>IT</v>
      </c>
      <c r="C39" s="158" t="s">
        <v>149</v>
      </c>
      <c r="E39" s="268" t="str">
        <f ca="1">_xll.DBRA(Server&amp;$C$24,$C39,$F$21)</f>
        <v>Documentation (IT)</v>
      </c>
      <c r="F39" s="268"/>
      <c r="G39" s="268"/>
      <c r="H39" s="40"/>
      <c r="I39" s="221" t="str">
        <f ca="1">_xll.DBRW(Server&amp;Cube1,$F$17,$F$18,$F$19,$F$16,$C$14,$F$15,$F$14,$F$20,I$2,I$1,$C39)</f>
        <v/>
      </c>
      <c r="J39" s="221" t="str">
        <f ca="1">_xll.DBRW(Server&amp;Cube1,$F$17,$F$18,$F$19,$F$16,$C$14,$F$15,$F$14,$F$20,J$2,J$1,$C39)</f>
        <v/>
      </c>
      <c r="K39" s="221" t="e">
        <f ca="1">_xll.DBRW(Server&amp;Cube1,$F$17,$F$18,$F$19,$F$16,$C$14,$F$15,$F$14,$F$20,I$2,I$1,$C39) -_xll.DBRW(Server&amp;Cube1,$F$17,$F$18,$F$19,$F$16,$C$14,$F$15,$F$14,$F$20,K$2,I$1,$C39)</f>
        <v>#VALUE!</v>
      </c>
      <c r="L39" s="221" t="e">
        <f t="shared" ca="1" si="2"/>
        <v>#VALUE!</v>
      </c>
      <c r="M39" s="221" t="e">
        <f t="shared" ca="1" si="1"/>
        <v>#VALUE!</v>
      </c>
      <c r="N39" s="226"/>
      <c r="O39" s="221" t="str">
        <f ca="1">_xll.DBRW(Server&amp;Cube1,$F$17,$F$18,$F$19,$F$16,$C$14,$F$15,$F$14,$F$20,O$2,O$1,$C39)</f>
        <v/>
      </c>
      <c r="P39" s="226"/>
      <c r="Q39" s="240" t="str">
        <f ca="1">IF(_xll.ELCOMPN(Server&amp;$C$24,C39)=0,"YES","NO")</f>
        <v>YES</v>
      </c>
      <c r="R39" s="241">
        <v>0</v>
      </c>
      <c r="S39" s="226"/>
      <c r="T39" s="227" t="str">
        <f ca="1">_xll.DBRW(Server&amp;Cube1,$F$17,$F$18,$F$19,$F$16,$C$14,$F$15,$F$14,$F$20,T$2,$T$1,$C39)</f>
        <v/>
      </c>
      <c r="U39" s="227" t="str">
        <f ca="1">_xll.DBRW(Server&amp;Cube1,$F$17,$F$18,$F$19,$F$16,$C$14,$F$15,$F$14,$F$20,U$2,$U$1,$C39)</f>
        <v/>
      </c>
      <c r="V39" s="227" t="str">
        <f ca="1">_xll.DBRW(Server&amp;Cube1,$F$17,$F$18,$F$19,$F$16,$C$14,$F$15,$F$14,$F$20,V$2,V$1,$C39)</f>
        <v/>
      </c>
      <c r="W39" s="227" t="str">
        <f ca="1">_xll.DBRW(Server&amp;Cube1,$F$17,$F$18,$F$19,$F$16,$C$14,$F$15,$F$14,$F$20,W$2,W$1,$C39)</f>
        <v/>
      </c>
      <c r="X39" s="227" t="str">
        <f ca="1">_xll.DBRW(Server&amp;Cube1,$F$17,$F$18,$F$19,$F$16,$C$14,$F$15,$F$14,$F$20,X$2,X$1,$C39)</f>
        <v/>
      </c>
      <c r="Y39" s="227" t="str">
        <f ca="1">_xll.DBRW(Server&amp;Cube1,$F$17,$F$18,$F$19,$F$16,$C$14,$F$15,$F$14,$F$20,Y$2,Y$1,$C39)</f>
        <v/>
      </c>
      <c r="Z39" s="241"/>
      <c r="AA39" s="241"/>
      <c r="AB39" s="241"/>
      <c r="AC39" s="241"/>
      <c r="AD39" s="241"/>
      <c r="AE39" s="241"/>
      <c r="AF39" s="221" t="str">
        <f ca="1">_xll.DBRW(Server&amp;Cube1,$F$17,$F$18,$F$19,$F$16,$C$14,$F$15,$F$14,$F$20,AF$2,$AF$1,$C39)</f>
        <v/>
      </c>
      <c r="AG39" s="53"/>
      <c r="AH39" s="53"/>
      <c r="AI39" s="53"/>
      <c r="AJ39" s="53"/>
      <c r="AK39" s="53"/>
      <c r="AL39" s="53"/>
      <c r="AM39" s="53"/>
      <c r="AN39" s="53"/>
      <c r="AO39" s="53"/>
      <c r="AP39" s="73" t="s">
        <v>43</v>
      </c>
      <c r="AQ39" s="53"/>
      <c r="AR39" s="266"/>
      <c r="AS39" s="169">
        <v>4120</v>
      </c>
      <c r="AT39" s="172" t="s">
        <v>489</v>
      </c>
    </row>
    <row r="40" spans="1:53" s="9" customFormat="1" ht="24.95" customHeight="1" thickBot="1" x14ac:dyDescent="0.4">
      <c r="A40" s="181" t="e">
        <f ca="1">IF($AT$35="YES",1,IF(_xll.ELCOMPN(Server&amp;$C$24,C40)&lt;&gt;0,1,IF(OR(B40=$AZ$35,B40="ALL"),1,0)))</f>
        <v>#VALUE!</v>
      </c>
      <c r="B40" s="163" t="str">
        <f t="shared" si="3"/>
        <v>HR</v>
      </c>
      <c r="C40" s="158" t="s">
        <v>150</v>
      </c>
      <c r="E40" s="268" t="str">
        <f ca="1">_xll.DBRA(Server&amp;$C$24,$C40,$F$21)</f>
        <v>Documentation (RH)</v>
      </c>
      <c r="F40" s="268"/>
      <c r="G40" s="268"/>
      <c r="H40" s="40"/>
      <c r="I40" s="221" t="str">
        <f ca="1">_xll.DBRW(Server&amp;Cube1,$F$17,$F$18,$F$19,$F$16,$C$14,$F$15,$F$14,$F$20,I$2,I$1,$C40)</f>
        <v/>
      </c>
      <c r="J40" s="221" t="str">
        <f ca="1">_xll.DBRW(Server&amp;Cube1,$F$17,$F$18,$F$19,$F$16,$C$14,$F$15,$F$14,$F$20,J$2,J$1,$C40)</f>
        <v/>
      </c>
      <c r="K40" s="221" t="e">
        <f ca="1">_xll.DBRW(Server&amp;Cube1,$F$17,$F$18,$F$19,$F$16,$C$14,$F$15,$F$14,$F$20,I$2,I$1,$C40) -_xll.DBRW(Server&amp;Cube1,$F$17,$F$18,$F$19,$F$16,$C$14,$F$15,$F$14,$F$20,K$2,I$1,$C40)</f>
        <v>#VALUE!</v>
      </c>
      <c r="L40" s="221" t="e">
        <f t="shared" ca="1" si="2"/>
        <v>#VALUE!</v>
      </c>
      <c r="M40" s="221" t="e">
        <f t="shared" ca="1" si="1"/>
        <v>#VALUE!</v>
      </c>
      <c r="N40" s="226"/>
      <c r="O40" s="221" t="str">
        <f ca="1">_xll.DBRW(Server&amp;Cube1,$F$17,$F$18,$F$19,$F$16,$C$14,$F$15,$F$14,$F$20,O$2,O$1,$C40)</f>
        <v/>
      </c>
      <c r="P40" s="226"/>
      <c r="Q40" s="240" t="str">
        <f ca="1">IF(_xll.ELCOMPN(Server&amp;$C$24,C40)=0,"YES","NO")</f>
        <v>YES</v>
      </c>
      <c r="R40" s="241">
        <v>0</v>
      </c>
      <c r="S40" s="226"/>
      <c r="T40" s="227" t="str">
        <f ca="1">_xll.DBRW(Server&amp;Cube1,$F$17,$F$18,$F$19,$F$16,$C$14,$F$15,$F$14,$F$20,T$2,$T$1,$C40)</f>
        <v/>
      </c>
      <c r="U40" s="227" t="str">
        <f ca="1">_xll.DBRW(Server&amp;Cube1,$F$17,$F$18,$F$19,$F$16,$C$14,$F$15,$F$14,$F$20,U$2,$U$1,$C40)</f>
        <v/>
      </c>
      <c r="V40" s="227" t="str">
        <f ca="1">_xll.DBRW(Server&amp;Cube1,$F$17,$F$18,$F$19,$F$16,$C$14,$F$15,$F$14,$F$20,V$2,V$1,$C40)</f>
        <v/>
      </c>
      <c r="W40" s="227" t="str">
        <f ca="1">_xll.DBRW(Server&amp;Cube1,$F$17,$F$18,$F$19,$F$16,$C$14,$F$15,$F$14,$F$20,W$2,W$1,$C40)</f>
        <v/>
      </c>
      <c r="X40" s="227" t="str">
        <f ca="1">_xll.DBRW(Server&amp;Cube1,$F$17,$F$18,$F$19,$F$16,$C$14,$F$15,$F$14,$F$20,X$2,X$1,$C40)</f>
        <v/>
      </c>
      <c r="Y40" s="227" t="str">
        <f ca="1">_xll.DBRW(Server&amp;Cube1,$F$17,$F$18,$F$19,$F$16,$C$14,$F$15,$F$14,$F$20,Y$2,Y$1,$C40)</f>
        <v/>
      </c>
      <c r="Z40" s="241"/>
      <c r="AA40" s="241"/>
      <c r="AB40" s="241"/>
      <c r="AC40" s="241"/>
      <c r="AD40" s="241"/>
      <c r="AE40" s="241"/>
      <c r="AF40" s="221" t="str">
        <f ca="1">_xll.DBRW(Server&amp;Cube1,$F$17,$F$18,$F$19,$F$16,$C$14,$F$15,$F$14,$F$20,AF$2,$AF$1,$C40)</f>
        <v/>
      </c>
      <c r="AG40" s="53"/>
      <c r="AH40" s="53"/>
      <c r="AI40" s="53"/>
      <c r="AJ40" s="53"/>
      <c r="AK40" s="53"/>
      <c r="AL40" s="53"/>
      <c r="AM40" s="53"/>
      <c r="AN40" s="53"/>
      <c r="AO40" s="53"/>
      <c r="AP40" s="73" t="s">
        <v>44</v>
      </c>
      <c r="AQ40" s="53"/>
      <c r="AR40" s="267"/>
      <c r="AS40" s="170">
        <v>4130</v>
      </c>
      <c r="AT40" s="173" t="s">
        <v>489</v>
      </c>
    </row>
    <row r="41" spans="1:53" s="9" customFormat="1" ht="24.95" customHeight="1" x14ac:dyDescent="0.35">
      <c r="A41" s="181" t="e">
        <f ca="1">IF($AT$35="YES",1,IF(_xll.ELCOMPN(Server&amp;$C$24,C41)&lt;&gt;0,1,IF(OR(B41=$AZ$35,B41="ALL"),1,0)))</f>
        <v>#VALUE!</v>
      </c>
      <c r="B41" s="163" t="str">
        <f t="shared" si="3"/>
        <v>GM</v>
      </c>
      <c r="C41" s="158" t="s">
        <v>151</v>
      </c>
      <c r="E41" s="268" t="str">
        <f ca="1">_xll.DBRA(Server&amp;$C$24,$C41,$F$21)</f>
        <v>Documentation (DG)</v>
      </c>
      <c r="F41" s="268"/>
      <c r="G41" s="268"/>
      <c r="H41" s="40"/>
      <c r="I41" s="221" t="str">
        <f ca="1">_xll.DBRW(Server&amp;Cube1,$F$17,$F$18,$F$19,$F$16,$C$14,$F$15,$F$14,$F$20,I$2,I$1,$C41)</f>
        <v/>
      </c>
      <c r="J41" s="221" t="str">
        <f ca="1">_xll.DBRW(Server&amp;Cube1,$F$17,$F$18,$F$19,$F$16,$C$14,$F$15,$F$14,$F$20,J$2,J$1,$C41)</f>
        <v/>
      </c>
      <c r="K41" s="221" t="e">
        <f ca="1">_xll.DBRW(Server&amp;Cube1,$F$17,$F$18,$F$19,$F$16,$C$14,$F$15,$F$14,$F$20,I$2,I$1,$C41) -_xll.DBRW(Server&amp;Cube1,$F$17,$F$18,$F$19,$F$16,$C$14,$F$15,$F$14,$F$20,K$2,I$1,$C41)</f>
        <v>#VALUE!</v>
      </c>
      <c r="L41" s="221" t="e">
        <f t="shared" ca="1" si="2"/>
        <v>#VALUE!</v>
      </c>
      <c r="M41" s="221" t="e">
        <f t="shared" ca="1" si="1"/>
        <v>#VALUE!</v>
      </c>
      <c r="N41" s="226"/>
      <c r="O41" s="221" t="str">
        <f ca="1">_xll.DBRW(Server&amp;Cube1,$F$17,$F$18,$F$19,$F$16,$C$14,$F$15,$F$14,$F$20,O$2,O$1,$C41)</f>
        <v/>
      </c>
      <c r="P41" s="226"/>
      <c r="Q41" s="240" t="str">
        <f ca="1">IF(_xll.ELCOMPN(Server&amp;$C$24,C41)=0,"YES","NO")</f>
        <v>YES</v>
      </c>
      <c r="R41" s="241">
        <v>0</v>
      </c>
      <c r="S41" s="226"/>
      <c r="T41" s="227" t="str">
        <f ca="1">_xll.DBRW(Server&amp;Cube1,$F$17,$F$18,$F$19,$F$16,$C$14,$F$15,$F$14,$F$20,T$2,$T$1,$C41)</f>
        <v/>
      </c>
      <c r="U41" s="227" t="str">
        <f ca="1">_xll.DBRW(Server&amp;Cube1,$F$17,$F$18,$F$19,$F$16,$C$14,$F$15,$F$14,$F$20,U$2,$U$1,$C41)</f>
        <v/>
      </c>
      <c r="V41" s="227" t="str">
        <f ca="1">_xll.DBRW(Server&amp;Cube1,$F$17,$F$18,$F$19,$F$16,$C$14,$F$15,$F$14,$F$20,V$2,V$1,$C41)</f>
        <v/>
      </c>
      <c r="W41" s="227" t="str">
        <f ca="1">_xll.DBRW(Server&amp;Cube1,$F$17,$F$18,$F$19,$F$16,$C$14,$F$15,$F$14,$F$20,W$2,W$1,$C41)</f>
        <v/>
      </c>
      <c r="X41" s="227" t="str">
        <f ca="1">_xll.DBRW(Server&amp;Cube1,$F$17,$F$18,$F$19,$F$16,$C$14,$F$15,$F$14,$F$20,X$2,X$1,$C41)</f>
        <v/>
      </c>
      <c r="Y41" s="227" t="str">
        <f ca="1">_xll.DBRW(Server&amp;Cube1,$F$17,$F$18,$F$19,$F$16,$C$14,$F$15,$F$14,$F$20,Y$2,Y$1,$C41)</f>
        <v/>
      </c>
      <c r="Z41" s="241"/>
      <c r="AA41" s="241"/>
      <c r="AB41" s="241"/>
      <c r="AC41" s="241"/>
      <c r="AD41" s="241"/>
      <c r="AE41" s="241"/>
      <c r="AF41" s="221" t="str">
        <f ca="1">_xll.DBRW(Server&amp;Cube1,$F$17,$F$18,$F$19,$F$16,$C$14,$F$15,$F$14,$F$20,AF$2,$AF$1,$C41)</f>
        <v/>
      </c>
      <c r="AG41" s="53"/>
      <c r="AH41" s="53"/>
      <c r="AI41" s="53"/>
      <c r="AJ41" s="53"/>
      <c r="AK41" s="53"/>
      <c r="AL41" s="53"/>
      <c r="AM41" s="53"/>
      <c r="AN41" s="53"/>
      <c r="AO41" s="53"/>
      <c r="AP41" s="73" t="s">
        <v>45</v>
      </c>
      <c r="AQ41" s="53"/>
      <c r="AR41" s="265" t="s">
        <v>467</v>
      </c>
      <c r="AS41" s="168">
        <v>4200</v>
      </c>
      <c r="AT41" s="171" t="s">
        <v>467</v>
      </c>
    </row>
    <row r="42" spans="1:53" s="9" customFormat="1" ht="24.95" customHeight="1" x14ac:dyDescent="0.35">
      <c r="A42" s="181" t="e">
        <f ca="1">IF($AT$35="YES",1,IF(_xll.ELCOMPN(Server&amp;$C$24,C42)&lt;&gt;0,1,IF(OR(B42=$AZ$35,B42="ALL"),1,0)))</f>
        <v>#VALUE!</v>
      </c>
      <c r="B42" s="163" t="str">
        <f t="shared" si="3"/>
        <v>IA</v>
      </c>
      <c r="C42" s="158" t="s">
        <v>152</v>
      </c>
      <c r="E42" s="268" t="str">
        <f ca="1">_xll.DBRA(Server&amp;$C$24,$C42,$F$21)</f>
        <v>Documentation (AI)</v>
      </c>
      <c r="F42" s="268"/>
      <c r="G42" s="268"/>
      <c r="H42" s="40"/>
      <c r="I42" s="221" t="str">
        <f ca="1">_xll.DBRW(Server&amp;Cube1,$F$17,$F$18,$F$19,$F$16,$C$14,$F$15,$F$14,$F$20,I$2,I$1,$C42)</f>
        <v/>
      </c>
      <c r="J42" s="221" t="str">
        <f ca="1">_xll.DBRW(Server&amp;Cube1,$F$17,$F$18,$F$19,$F$16,$C$14,$F$15,$F$14,$F$20,J$2,J$1,$C42)</f>
        <v/>
      </c>
      <c r="K42" s="221" t="e">
        <f ca="1">_xll.DBRW(Server&amp;Cube1,$F$17,$F$18,$F$19,$F$16,$C$14,$F$15,$F$14,$F$20,I$2,I$1,$C42) -_xll.DBRW(Server&amp;Cube1,$F$17,$F$18,$F$19,$F$16,$C$14,$F$15,$F$14,$F$20,K$2,I$1,$C42)</f>
        <v>#VALUE!</v>
      </c>
      <c r="L42" s="221" t="e">
        <f t="shared" ca="1" si="2"/>
        <v>#VALUE!</v>
      </c>
      <c r="M42" s="221" t="e">
        <f t="shared" ca="1" si="1"/>
        <v>#VALUE!</v>
      </c>
      <c r="N42" s="226"/>
      <c r="O42" s="221" t="str">
        <f ca="1">_xll.DBRW(Server&amp;Cube1,$F$17,$F$18,$F$19,$F$16,$C$14,$F$15,$F$14,$F$20,O$2,O$1,$C42)</f>
        <v/>
      </c>
      <c r="P42" s="226"/>
      <c r="Q42" s="240" t="str">
        <f ca="1">IF(_xll.ELCOMPN(Server&amp;$C$24,C42)=0,"YES","NO")</f>
        <v>YES</v>
      </c>
      <c r="R42" s="241">
        <v>0</v>
      </c>
      <c r="S42" s="226"/>
      <c r="T42" s="227" t="str">
        <f ca="1">_xll.DBRW(Server&amp;Cube1,$F$17,$F$18,$F$19,$F$16,$C$14,$F$15,$F$14,$F$20,T$2,$T$1,$C42)</f>
        <v/>
      </c>
      <c r="U42" s="227" t="str">
        <f ca="1">_xll.DBRW(Server&amp;Cube1,$F$17,$F$18,$F$19,$F$16,$C$14,$F$15,$F$14,$F$20,U$2,$U$1,$C42)</f>
        <v/>
      </c>
      <c r="V42" s="227" t="str">
        <f ca="1">_xll.DBRW(Server&amp;Cube1,$F$17,$F$18,$F$19,$F$16,$C$14,$F$15,$F$14,$F$20,V$2,V$1,$C42)</f>
        <v/>
      </c>
      <c r="W42" s="227" t="str">
        <f ca="1">_xll.DBRW(Server&amp;Cube1,$F$17,$F$18,$F$19,$F$16,$C$14,$F$15,$F$14,$F$20,W$2,W$1,$C42)</f>
        <v/>
      </c>
      <c r="X42" s="227" t="str">
        <f ca="1">_xll.DBRW(Server&amp;Cube1,$F$17,$F$18,$F$19,$F$16,$C$14,$F$15,$F$14,$F$20,X$2,X$1,$C42)</f>
        <v/>
      </c>
      <c r="Y42" s="227" t="str">
        <f ca="1">_xll.DBRW(Server&amp;Cube1,$F$17,$F$18,$F$19,$F$16,$C$14,$F$15,$F$14,$F$20,Y$2,Y$1,$C42)</f>
        <v/>
      </c>
      <c r="Z42" s="241"/>
      <c r="AA42" s="241"/>
      <c r="AB42" s="241"/>
      <c r="AC42" s="241"/>
      <c r="AD42" s="241"/>
      <c r="AE42" s="241"/>
      <c r="AF42" s="221" t="str">
        <f ca="1">_xll.DBRW(Server&amp;Cube1,$F$17,$F$18,$F$19,$F$16,$C$14,$F$15,$F$14,$F$20,AF$2,$AF$1,$C42)</f>
        <v/>
      </c>
      <c r="AG42" s="53"/>
      <c r="AH42" s="53"/>
      <c r="AI42" s="53"/>
      <c r="AJ42" s="53"/>
      <c r="AK42" s="53"/>
      <c r="AL42" s="53"/>
      <c r="AM42" s="53"/>
      <c r="AN42" s="53"/>
      <c r="AO42" s="53"/>
      <c r="AP42" s="73" t="s">
        <v>46</v>
      </c>
      <c r="AQ42" s="53"/>
      <c r="AR42" s="266"/>
      <c r="AS42" s="169">
        <v>4210</v>
      </c>
      <c r="AT42" s="172" t="s">
        <v>467</v>
      </c>
    </row>
    <row r="43" spans="1:53" s="9" customFormat="1" ht="24.95" customHeight="1" x14ac:dyDescent="0.35">
      <c r="A43" s="181" t="e">
        <f ca="1">IF($AT$35="YES",1,IF(_xll.ELCOMPN(Server&amp;$C$24,C43)&lt;&gt;0,1,IF(OR(B43=$AZ$35,B43="ALL"),1,0)))</f>
        <v>#VALUE!</v>
      </c>
      <c r="B43" s="163" t="str">
        <f t="shared" si="3"/>
        <v>LE</v>
      </c>
      <c r="C43" s="158" t="s">
        <v>153</v>
      </c>
      <c r="E43" s="268" t="str">
        <f ca="1">_xll.DBRA(Server&amp;$C$24,$C43,$F$21)</f>
        <v>Documentation (JU)</v>
      </c>
      <c r="F43" s="268"/>
      <c r="G43" s="268"/>
      <c r="H43" s="40"/>
      <c r="I43" s="221" t="str">
        <f ca="1">_xll.DBRW(Server&amp;Cube1,$F$17,$F$18,$F$19,$F$16,$C$14,$F$15,$F$14,$F$20,I$2,I$1,$C43)</f>
        <v/>
      </c>
      <c r="J43" s="221" t="str">
        <f ca="1">_xll.DBRW(Server&amp;Cube1,$F$17,$F$18,$F$19,$F$16,$C$14,$F$15,$F$14,$F$20,J$2,J$1,$C43)</f>
        <v/>
      </c>
      <c r="K43" s="221" t="e">
        <f ca="1">_xll.DBRW(Server&amp;Cube1,$F$17,$F$18,$F$19,$F$16,$C$14,$F$15,$F$14,$F$20,I$2,I$1,$C43) -_xll.DBRW(Server&amp;Cube1,$F$17,$F$18,$F$19,$F$16,$C$14,$F$15,$F$14,$F$20,K$2,I$1,$C43)</f>
        <v>#VALUE!</v>
      </c>
      <c r="L43" s="221" t="e">
        <f t="shared" ca="1" si="2"/>
        <v>#VALUE!</v>
      </c>
      <c r="M43" s="221" t="e">
        <f t="shared" ca="1" si="1"/>
        <v>#VALUE!</v>
      </c>
      <c r="N43" s="226"/>
      <c r="O43" s="221" t="str">
        <f ca="1">_xll.DBRW(Server&amp;Cube1,$F$17,$F$18,$F$19,$F$16,$C$14,$F$15,$F$14,$F$20,O$2,O$1,$C43)</f>
        <v/>
      </c>
      <c r="P43" s="226"/>
      <c r="Q43" s="240" t="str">
        <f ca="1">IF(_xll.ELCOMPN(Server&amp;$C$24,C43)=0,"YES","NO")</f>
        <v>YES</v>
      </c>
      <c r="R43" s="241">
        <v>0</v>
      </c>
      <c r="S43" s="226"/>
      <c r="T43" s="227" t="str">
        <f ca="1">_xll.DBRW(Server&amp;Cube1,$F$17,$F$18,$F$19,$F$16,$C$14,$F$15,$F$14,$F$20,T$2,$T$1,$C43)</f>
        <v/>
      </c>
      <c r="U43" s="227" t="str">
        <f ca="1">_xll.DBRW(Server&amp;Cube1,$F$17,$F$18,$F$19,$F$16,$C$14,$F$15,$F$14,$F$20,U$2,$U$1,$C43)</f>
        <v/>
      </c>
      <c r="V43" s="227" t="str">
        <f ca="1">_xll.DBRW(Server&amp;Cube1,$F$17,$F$18,$F$19,$F$16,$C$14,$F$15,$F$14,$F$20,V$2,V$1,$C43)</f>
        <v/>
      </c>
      <c r="W43" s="227" t="str">
        <f ca="1">_xll.DBRW(Server&amp;Cube1,$F$17,$F$18,$F$19,$F$16,$C$14,$F$15,$F$14,$F$20,W$2,W$1,$C43)</f>
        <v/>
      </c>
      <c r="X43" s="227" t="str">
        <f ca="1">_xll.DBRW(Server&amp;Cube1,$F$17,$F$18,$F$19,$F$16,$C$14,$F$15,$F$14,$F$20,X$2,X$1,$C43)</f>
        <v/>
      </c>
      <c r="Y43" s="227" t="str">
        <f ca="1">_xll.DBRW(Server&amp;Cube1,$F$17,$F$18,$F$19,$F$16,$C$14,$F$15,$F$14,$F$20,Y$2,Y$1,$C43)</f>
        <v/>
      </c>
      <c r="Z43" s="241"/>
      <c r="AA43" s="241"/>
      <c r="AB43" s="241"/>
      <c r="AC43" s="241"/>
      <c r="AD43" s="241"/>
      <c r="AE43" s="241"/>
      <c r="AF43" s="221" t="str">
        <f ca="1">_xll.DBRW(Server&amp;Cube1,$F$17,$F$18,$F$19,$F$16,$C$14,$F$15,$F$14,$F$20,AF$2,$AF$1,$C43)</f>
        <v/>
      </c>
      <c r="AG43" s="53"/>
      <c r="AH43" s="53"/>
      <c r="AI43" s="53"/>
      <c r="AJ43" s="53"/>
      <c r="AK43" s="53"/>
      <c r="AL43" s="53"/>
      <c r="AM43" s="53"/>
      <c r="AN43" s="53"/>
      <c r="AO43" s="53"/>
      <c r="AP43" s="73" t="s">
        <v>47</v>
      </c>
      <c r="AQ43" s="53"/>
      <c r="AR43" s="266"/>
      <c r="AS43" s="169">
        <v>4220</v>
      </c>
      <c r="AT43" s="172" t="s">
        <v>467</v>
      </c>
    </row>
    <row r="44" spans="1:53" s="9" customFormat="1" ht="24.95" customHeight="1" x14ac:dyDescent="0.35">
      <c r="A44" s="181" t="e">
        <f ca="1">IF($AT$35="YES",1,IF(_xll.ELCOMPN(Server&amp;$C$24,C44)&lt;&gt;0,1,IF(OR(B44=$AZ$35,B44="ALL"),1,0)))</f>
        <v>#VALUE!</v>
      </c>
      <c r="B44" s="163" t="str">
        <f t="shared" si="3"/>
        <v>RM</v>
      </c>
      <c r="C44" s="158" t="s">
        <v>154</v>
      </c>
      <c r="E44" s="268" t="str">
        <f ca="1">_xll.DBRA(Server&amp;$C$24,$C44,$F$21)</f>
        <v>Documentation (GR)</v>
      </c>
      <c r="F44" s="268"/>
      <c r="G44" s="268"/>
      <c r="H44" s="40"/>
      <c r="I44" s="221" t="str">
        <f ca="1">_xll.DBRW(Server&amp;Cube1,$F$17,$F$18,$F$19,$F$16,$C$14,$F$15,$F$14,$F$20,I$2,I$1,$C44)</f>
        <v/>
      </c>
      <c r="J44" s="221" t="str">
        <f ca="1">_xll.DBRW(Server&amp;Cube1,$F$17,$F$18,$F$19,$F$16,$C$14,$F$15,$F$14,$F$20,J$2,J$1,$C44)</f>
        <v/>
      </c>
      <c r="K44" s="221" t="e">
        <f ca="1">_xll.DBRW(Server&amp;Cube1,$F$17,$F$18,$F$19,$F$16,$C$14,$F$15,$F$14,$F$20,I$2,I$1,$C44) -_xll.DBRW(Server&amp;Cube1,$F$17,$F$18,$F$19,$F$16,$C$14,$F$15,$F$14,$F$20,K$2,I$1,$C44)</f>
        <v>#VALUE!</v>
      </c>
      <c r="L44" s="221" t="e">
        <f t="shared" ca="1" si="2"/>
        <v>#VALUE!</v>
      </c>
      <c r="M44" s="221" t="e">
        <f t="shared" ca="1" si="1"/>
        <v>#VALUE!</v>
      </c>
      <c r="N44" s="226"/>
      <c r="O44" s="221" t="str">
        <f ca="1">_xll.DBRW(Server&amp;Cube1,$F$17,$F$18,$F$19,$F$16,$C$14,$F$15,$F$14,$F$20,O$2,O$1,$C44)</f>
        <v/>
      </c>
      <c r="P44" s="226"/>
      <c r="Q44" s="240" t="str">
        <f ca="1">IF(_xll.ELCOMPN(Server&amp;$C$24,C44)=0,"YES","NO")</f>
        <v>YES</v>
      </c>
      <c r="R44" s="241">
        <v>0</v>
      </c>
      <c r="S44" s="226"/>
      <c r="T44" s="227" t="str">
        <f ca="1">_xll.DBRW(Server&amp;Cube1,$F$17,$F$18,$F$19,$F$16,$C$14,$F$15,$F$14,$F$20,T$2,$T$1,$C44)</f>
        <v/>
      </c>
      <c r="U44" s="227" t="str">
        <f ca="1">_xll.DBRW(Server&amp;Cube1,$F$17,$F$18,$F$19,$F$16,$C$14,$F$15,$F$14,$F$20,U$2,$U$1,$C44)</f>
        <v/>
      </c>
      <c r="V44" s="227" t="str">
        <f ca="1">_xll.DBRW(Server&amp;Cube1,$F$17,$F$18,$F$19,$F$16,$C$14,$F$15,$F$14,$F$20,V$2,V$1,$C44)</f>
        <v/>
      </c>
      <c r="W44" s="227" t="str">
        <f ca="1">_xll.DBRW(Server&amp;Cube1,$F$17,$F$18,$F$19,$F$16,$C$14,$F$15,$F$14,$F$20,W$2,W$1,$C44)</f>
        <v/>
      </c>
      <c r="X44" s="227" t="str">
        <f ca="1">_xll.DBRW(Server&amp;Cube1,$F$17,$F$18,$F$19,$F$16,$C$14,$F$15,$F$14,$F$20,X$2,X$1,$C44)</f>
        <v/>
      </c>
      <c r="Y44" s="227" t="str">
        <f ca="1">_xll.DBRW(Server&amp;Cube1,$F$17,$F$18,$F$19,$F$16,$C$14,$F$15,$F$14,$F$20,Y$2,Y$1,$C44)</f>
        <v/>
      </c>
      <c r="Z44" s="241"/>
      <c r="AA44" s="241"/>
      <c r="AB44" s="241"/>
      <c r="AC44" s="241"/>
      <c r="AD44" s="241"/>
      <c r="AE44" s="241"/>
      <c r="AF44" s="221" t="str">
        <f ca="1">_xll.DBRW(Server&amp;Cube1,$F$17,$F$18,$F$19,$F$16,$C$14,$F$15,$F$14,$F$20,AF$2,$AF$1,$C44)</f>
        <v/>
      </c>
      <c r="AG44" s="53"/>
      <c r="AH44" s="53"/>
      <c r="AI44" s="53"/>
      <c r="AJ44" s="53"/>
      <c r="AK44" s="53"/>
      <c r="AL44" s="53"/>
      <c r="AM44" s="53"/>
      <c r="AN44" s="53"/>
      <c r="AO44" s="53"/>
      <c r="AP44" s="73" t="s">
        <v>48</v>
      </c>
      <c r="AQ44" s="53"/>
      <c r="AR44" s="266"/>
      <c r="AS44" s="169">
        <v>4230</v>
      </c>
      <c r="AT44" s="172" t="s">
        <v>467</v>
      </c>
    </row>
    <row r="45" spans="1:53" s="9" customFormat="1" ht="24.95" customHeight="1" x14ac:dyDescent="0.35">
      <c r="A45" s="181" t="e">
        <f ca="1">IF($AT$35="YES",1,IF(_xll.ELCOMPN(Server&amp;$C$24,C45)&lt;&gt;0,1,IF(OR(B45=$AZ$35,B45="ALL"),1,0)))</f>
        <v>#VALUE!</v>
      </c>
      <c r="B45" s="163" t="str">
        <f t="shared" si="3"/>
        <v>PU</v>
      </c>
      <c r="C45" s="158" t="s">
        <v>155</v>
      </c>
      <c r="E45" s="268" t="str">
        <f ca="1">_xll.DBRA(Server&amp;$C$24,$C45,$F$21)</f>
        <v>Documentation (AC)</v>
      </c>
      <c r="F45" s="268"/>
      <c r="G45" s="268"/>
      <c r="H45" s="40"/>
      <c r="I45" s="221" t="str">
        <f ca="1">_xll.DBRW(Server&amp;Cube1,$F$17,$F$18,$F$19,$F$16,$C$14,$F$15,$F$14,$F$20,I$2,I$1,$C45)</f>
        <v/>
      </c>
      <c r="J45" s="221" t="str">
        <f ca="1">_xll.DBRW(Server&amp;Cube1,$F$17,$F$18,$F$19,$F$16,$C$14,$F$15,$F$14,$F$20,J$2,J$1,$C45)</f>
        <v/>
      </c>
      <c r="K45" s="221" t="e">
        <f ca="1">_xll.DBRW(Server&amp;Cube1,$F$17,$F$18,$F$19,$F$16,$C$14,$F$15,$F$14,$F$20,I$2,I$1,$C45) -_xll.DBRW(Server&amp;Cube1,$F$17,$F$18,$F$19,$F$16,$C$14,$F$15,$F$14,$F$20,K$2,I$1,$C45)</f>
        <v>#VALUE!</v>
      </c>
      <c r="L45" s="221" t="e">
        <f t="shared" ca="1" si="2"/>
        <v>#VALUE!</v>
      </c>
      <c r="M45" s="221" t="e">
        <f t="shared" ca="1" si="1"/>
        <v>#VALUE!</v>
      </c>
      <c r="N45" s="226"/>
      <c r="O45" s="221" t="str">
        <f ca="1">_xll.DBRW(Server&amp;Cube1,$F$17,$F$18,$F$19,$F$16,$C$14,$F$15,$F$14,$F$20,O$2,O$1,$C45)</f>
        <v/>
      </c>
      <c r="P45" s="226"/>
      <c r="Q45" s="240" t="str">
        <f ca="1">IF(_xll.ELCOMPN(Server&amp;$C$24,C45)=0,"YES","NO")</f>
        <v>YES</v>
      </c>
      <c r="R45" s="241">
        <v>0</v>
      </c>
      <c r="S45" s="226"/>
      <c r="T45" s="227" t="str">
        <f ca="1">_xll.DBRW(Server&amp;Cube1,$F$17,$F$18,$F$19,$F$16,$C$14,$F$15,$F$14,$F$20,T$2,$T$1,$C45)</f>
        <v/>
      </c>
      <c r="U45" s="227" t="str">
        <f ca="1">_xll.DBRW(Server&amp;Cube1,$F$17,$F$18,$F$19,$F$16,$C$14,$F$15,$F$14,$F$20,U$2,$U$1,$C45)</f>
        <v/>
      </c>
      <c r="V45" s="227" t="str">
        <f ca="1">_xll.DBRW(Server&amp;Cube1,$F$17,$F$18,$F$19,$F$16,$C$14,$F$15,$F$14,$F$20,V$2,V$1,$C45)</f>
        <v/>
      </c>
      <c r="W45" s="227" t="str">
        <f ca="1">_xll.DBRW(Server&amp;Cube1,$F$17,$F$18,$F$19,$F$16,$C$14,$F$15,$F$14,$F$20,W$2,W$1,$C45)</f>
        <v/>
      </c>
      <c r="X45" s="227" t="str">
        <f ca="1">_xll.DBRW(Server&amp;Cube1,$F$17,$F$18,$F$19,$F$16,$C$14,$F$15,$F$14,$F$20,X$2,X$1,$C45)</f>
        <v/>
      </c>
      <c r="Y45" s="227" t="str">
        <f ca="1">_xll.DBRW(Server&amp;Cube1,$F$17,$F$18,$F$19,$F$16,$C$14,$F$15,$F$14,$F$20,Y$2,Y$1,$C45)</f>
        <v/>
      </c>
      <c r="Z45" s="241"/>
      <c r="AA45" s="241"/>
      <c r="AB45" s="241"/>
      <c r="AC45" s="241"/>
      <c r="AD45" s="241"/>
      <c r="AE45" s="241"/>
      <c r="AF45" s="221" t="str">
        <f ca="1">_xll.DBRW(Server&amp;Cube1,$F$17,$F$18,$F$19,$F$16,$C$14,$F$15,$F$14,$F$20,AF$2,$AF$1,$C45)</f>
        <v/>
      </c>
      <c r="AG45" s="53"/>
      <c r="AH45" s="53"/>
      <c r="AI45" s="53"/>
      <c r="AJ45" s="53"/>
      <c r="AK45" s="53"/>
      <c r="AL45" s="53"/>
      <c r="AM45" s="53"/>
      <c r="AN45" s="53"/>
      <c r="AO45" s="53"/>
      <c r="AP45" s="73" t="s">
        <v>49</v>
      </c>
      <c r="AQ45" s="53"/>
      <c r="AR45" s="266"/>
      <c r="AS45" s="169">
        <v>4240</v>
      </c>
      <c r="AT45" s="172" t="s">
        <v>467</v>
      </c>
    </row>
    <row r="46" spans="1:53" s="9" customFormat="1" ht="24.95" customHeight="1" x14ac:dyDescent="0.35">
      <c r="A46" s="181" t="e">
        <f ca="1">IF($AT$35="YES",1,IF(_xll.ELCOMPN(Server&amp;$C$24,C46)&lt;&gt;0,1,IF(OR(B46=$AZ$35,B46="ALL"),1,0)))</f>
        <v>#VALUE!</v>
      </c>
      <c r="B46" s="163" t="str">
        <f t="shared" si="3"/>
        <v>CO</v>
      </c>
      <c r="C46" s="158" t="s">
        <v>156</v>
      </c>
      <c r="E46" s="268" t="str">
        <f ca="1">_xll.DBRA(Server&amp;$C$24,$C46,$F$21)</f>
        <v>Documentation (CO)</v>
      </c>
      <c r="F46" s="268"/>
      <c r="G46" s="268"/>
      <c r="H46" s="40"/>
      <c r="I46" s="221" t="str">
        <f ca="1">_xll.DBRW(Server&amp;Cube1,$F$17,$F$18,$F$19,$F$16,$C$14,$F$15,$F$14,$F$20,I$2,I$1,$C46)</f>
        <v/>
      </c>
      <c r="J46" s="221" t="str">
        <f ca="1">_xll.DBRW(Server&amp;Cube1,$F$17,$F$18,$F$19,$F$16,$C$14,$F$15,$F$14,$F$20,J$2,J$1,$C46)</f>
        <v/>
      </c>
      <c r="K46" s="221" t="e">
        <f ca="1">_xll.DBRW(Server&amp;Cube1,$F$17,$F$18,$F$19,$F$16,$C$14,$F$15,$F$14,$F$20,I$2,I$1,$C46) -_xll.DBRW(Server&amp;Cube1,$F$17,$F$18,$F$19,$F$16,$C$14,$F$15,$F$14,$F$20,K$2,I$1,$C46)</f>
        <v>#VALUE!</v>
      </c>
      <c r="L46" s="221" t="e">
        <f t="shared" ca="1" si="2"/>
        <v>#VALUE!</v>
      </c>
      <c r="M46" s="221" t="e">
        <f t="shared" ca="1" si="1"/>
        <v>#VALUE!</v>
      </c>
      <c r="N46" s="226"/>
      <c r="O46" s="221" t="str">
        <f ca="1">_xll.DBRW(Server&amp;Cube1,$F$17,$F$18,$F$19,$F$16,$C$14,$F$15,$F$14,$F$20,O$2,O$1,$C46)</f>
        <v/>
      </c>
      <c r="P46" s="226"/>
      <c r="Q46" s="240" t="str">
        <f ca="1">IF(_xll.ELCOMPN(Server&amp;$C$24,C46)=0,"YES","NO")</f>
        <v>YES</v>
      </c>
      <c r="R46" s="241">
        <v>0</v>
      </c>
      <c r="S46" s="226"/>
      <c r="T46" s="227" t="str">
        <f ca="1">_xll.DBRW(Server&amp;Cube1,$F$17,$F$18,$F$19,$F$16,$C$14,$F$15,$F$14,$F$20,T$2,$T$1,$C46)</f>
        <v/>
      </c>
      <c r="U46" s="227" t="str">
        <f ca="1">_xll.DBRW(Server&amp;Cube1,$F$17,$F$18,$F$19,$F$16,$C$14,$F$15,$F$14,$F$20,U$2,$U$1,$C46)</f>
        <v/>
      </c>
      <c r="V46" s="227" t="str">
        <f ca="1">_xll.DBRW(Server&amp;Cube1,$F$17,$F$18,$F$19,$F$16,$C$14,$F$15,$F$14,$F$20,V$2,V$1,$C46)</f>
        <v/>
      </c>
      <c r="W46" s="227" t="str">
        <f ca="1">_xll.DBRW(Server&amp;Cube1,$F$17,$F$18,$F$19,$F$16,$C$14,$F$15,$F$14,$F$20,W$2,W$1,$C46)</f>
        <v/>
      </c>
      <c r="X46" s="227" t="str">
        <f ca="1">_xll.DBRW(Server&amp;Cube1,$F$17,$F$18,$F$19,$F$16,$C$14,$F$15,$F$14,$F$20,X$2,X$1,$C46)</f>
        <v/>
      </c>
      <c r="Y46" s="227" t="str">
        <f ca="1">_xll.DBRW(Server&amp;Cube1,$F$17,$F$18,$F$19,$F$16,$C$14,$F$15,$F$14,$F$20,Y$2,Y$1,$C46)</f>
        <v/>
      </c>
      <c r="Z46" s="241"/>
      <c r="AA46" s="241"/>
      <c r="AB46" s="241"/>
      <c r="AC46" s="241"/>
      <c r="AD46" s="241"/>
      <c r="AE46" s="241"/>
      <c r="AF46" s="221" t="str">
        <f ca="1">_xll.DBRW(Server&amp;Cube1,$F$17,$F$18,$F$19,$F$16,$C$14,$F$15,$F$14,$F$20,AF$2,$AF$1,$C46)</f>
        <v/>
      </c>
      <c r="AG46" s="53"/>
      <c r="AH46" s="53"/>
      <c r="AI46" s="53"/>
      <c r="AJ46" s="53"/>
      <c r="AK46" s="53"/>
      <c r="AL46" s="53"/>
      <c r="AM46" s="53"/>
      <c r="AN46" s="53"/>
      <c r="AO46" s="53"/>
      <c r="AP46" s="73" t="s">
        <v>50</v>
      </c>
      <c r="AQ46" s="53"/>
      <c r="AR46" s="266"/>
      <c r="AS46" s="169">
        <v>4250</v>
      </c>
      <c r="AT46" s="172" t="s">
        <v>467</v>
      </c>
    </row>
    <row r="47" spans="1:53" s="9" customFormat="1" ht="24.95" customHeight="1" thickBot="1" x14ac:dyDescent="0.4">
      <c r="A47" s="181" t="e">
        <f ca="1">IF($AT$35="YES",1,IF(_xll.ELCOMPN(Server&amp;$C$24,C47)&lt;&gt;0,1,IF(OR(B47=$AZ$35,B47="ALL"),1,0)))</f>
        <v>#VALUE!</v>
      </c>
      <c r="B47" s="163" t="str">
        <f t="shared" si="3"/>
        <v>GS</v>
      </c>
      <c r="C47" s="158" t="s">
        <v>157</v>
      </c>
      <c r="E47" s="268" t="str">
        <f ca="1">_xll.DBRA(Server&amp;$C$24,$C47,$F$21)</f>
        <v>Documentation (SG)</v>
      </c>
      <c r="F47" s="268"/>
      <c r="G47" s="268"/>
      <c r="H47" s="40"/>
      <c r="I47" s="221" t="str">
        <f ca="1">_xll.DBRW(Server&amp;Cube1,$F$17,$F$18,$F$19,$F$16,$C$14,$F$15,$F$14,$F$20,I$2,I$1,$C47)</f>
        <v/>
      </c>
      <c r="J47" s="221" t="str">
        <f ca="1">_xll.DBRW(Server&amp;Cube1,$F$17,$F$18,$F$19,$F$16,$C$14,$F$15,$F$14,$F$20,J$2,J$1,$C47)</f>
        <v/>
      </c>
      <c r="K47" s="221" t="e">
        <f ca="1">_xll.DBRW(Server&amp;Cube1,$F$17,$F$18,$F$19,$F$16,$C$14,$F$15,$F$14,$F$20,I$2,I$1,$C47) -_xll.DBRW(Server&amp;Cube1,$F$17,$F$18,$F$19,$F$16,$C$14,$F$15,$F$14,$F$20,K$2,I$1,$C47)</f>
        <v>#VALUE!</v>
      </c>
      <c r="L47" s="221" t="e">
        <f t="shared" ca="1" si="2"/>
        <v>#VALUE!</v>
      </c>
      <c r="M47" s="221" t="e">
        <f t="shared" ca="1" si="1"/>
        <v>#VALUE!</v>
      </c>
      <c r="N47" s="226"/>
      <c r="O47" s="221" t="str">
        <f ca="1">_xll.DBRW(Server&amp;Cube1,$F$17,$F$18,$F$19,$F$16,$C$14,$F$15,$F$14,$F$20,O$2,O$1,$C47)</f>
        <v/>
      </c>
      <c r="P47" s="226"/>
      <c r="Q47" s="240" t="str">
        <f ca="1">IF(_xll.ELCOMPN(Server&amp;$C$24,C47)=0,"YES","NO")</f>
        <v>YES</v>
      </c>
      <c r="R47" s="241">
        <v>0</v>
      </c>
      <c r="S47" s="226"/>
      <c r="T47" s="227" t="str">
        <f ca="1">_xll.DBRW(Server&amp;Cube1,$F$17,$F$18,$F$19,$F$16,$C$14,$F$15,$F$14,$F$20,T$2,$T$1,$C47)</f>
        <v/>
      </c>
      <c r="U47" s="227" t="str">
        <f ca="1">_xll.DBRW(Server&amp;Cube1,$F$17,$F$18,$F$19,$F$16,$C$14,$F$15,$F$14,$F$20,U$2,$U$1,$C47)</f>
        <v/>
      </c>
      <c r="V47" s="227" t="str">
        <f ca="1">_xll.DBRW(Server&amp;Cube1,$F$17,$F$18,$F$19,$F$16,$C$14,$F$15,$F$14,$F$20,V$2,V$1,$C47)</f>
        <v/>
      </c>
      <c r="W47" s="227" t="str">
        <f ca="1">_xll.DBRW(Server&amp;Cube1,$F$17,$F$18,$F$19,$F$16,$C$14,$F$15,$F$14,$F$20,W$2,W$1,$C47)</f>
        <v/>
      </c>
      <c r="X47" s="227" t="str">
        <f ca="1">_xll.DBRW(Server&amp;Cube1,$F$17,$F$18,$F$19,$F$16,$C$14,$F$15,$F$14,$F$20,X$2,X$1,$C47)</f>
        <v/>
      </c>
      <c r="Y47" s="227" t="str">
        <f ca="1">_xll.DBRW(Server&amp;Cube1,$F$17,$F$18,$F$19,$F$16,$C$14,$F$15,$F$14,$F$20,Y$2,Y$1,$C47)</f>
        <v/>
      </c>
      <c r="Z47" s="241"/>
      <c r="AA47" s="241"/>
      <c r="AB47" s="241"/>
      <c r="AC47" s="241"/>
      <c r="AD47" s="241"/>
      <c r="AE47" s="241"/>
      <c r="AF47" s="221" t="str">
        <f ca="1">_xll.DBRW(Server&amp;Cube1,$F$17,$F$18,$F$19,$F$16,$C$14,$F$15,$F$14,$F$20,AF$2,$AF$1,$C47)</f>
        <v/>
      </c>
      <c r="AG47" s="53"/>
      <c r="AH47" s="53"/>
      <c r="AI47" s="53"/>
      <c r="AJ47" s="53"/>
      <c r="AK47" s="53"/>
      <c r="AL47" s="53"/>
      <c r="AM47" s="53"/>
      <c r="AN47" s="53"/>
      <c r="AO47" s="53"/>
      <c r="AP47" s="73" t="s">
        <v>51</v>
      </c>
      <c r="AQ47" s="53"/>
      <c r="AR47" s="267"/>
      <c r="AS47" s="170">
        <v>5200</v>
      </c>
      <c r="AT47" s="173" t="s">
        <v>467</v>
      </c>
    </row>
    <row r="48" spans="1:53" s="9" customFormat="1" ht="24.95" customHeight="1" x14ac:dyDescent="0.35">
      <c r="A48" s="181" t="e">
        <f ca="1">IF($AT$35="YES",1,IF(_xll.ELCOMPN(Server&amp;$C$24,C48)&lt;&gt;0,1,IF(OR(B48=$AZ$35,B48="ALL"),1,0)))</f>
        <v>#VALUE!</v>
      </c>
      <c r="B48" s="163" t="str">
        <f t="shared" si="3"/>
        <v>RD</v>
      </c>
      <c r="C48" s="158" t="s">
        <v>158</v>
      </c>
      <c r="E48" s="268" t="str">
        <f ca="1">_xll.DBRA(Server&amp;$C$24,$C48,$F$21)</f>
        <v>Documentation (RD)</v>
      </c>
      <c r="F48" s="268"/>
      <c r="G48" s="268"/>
      <c r="H48" s="40"/>
      <c r="I48" s="221" t="str">
        <f ca="1">_xll.DBRW(Server&amp;Cube1,$F$17,$F$18,$F$19,$F$16,$C$14,$F$15,$F$14,$F$20,I$2,I$1,$C48)</f>
        <v/>
      </c>
      <c r="J48" s="221" t="str">
        <f ca="1">_xll.DBRW(Server&amp;Cube1,$F$17,$F$18,$F$19,$F$16,$C$14,$F$15,$F$14,$F$20,J$2,J$1,$C48)</f>
        <v/>
      </c>
      <c r="K48" s="221" t="e">
        <f ca="1">_xll.DBRW(Server&amp;Cube1,$F$17,$F$18,$F$19,$F$16,$C$14,$F$15,$F$14,$F$20,I$2,I$1,$C48) -_xll.DBRW(Server&amp;Cube1,$F$17,$F$18,$F$19,$F$16,$C$14,$F$15,$F$14,$F$20,K$2,I$1,$C48)</f>
        <v>#VALUE!</v>
      </c>
      <c r="L48" s="221" t="e">
        <f t="shared" ca="1" si="2"/>
        <v>#VALUE!</v>
      </c>
      <c r="M48" s="221" t="e">
        <f t="shared" ca="1" si="1"/>
        <v>#VALUE!</v>
      </c>
      <c r="N48" s="226"/>
      <c r="O48" s="221" t="str">
        <f ca="1">_xll.DBRW(Server&amp;Cube1,$F$17,$F$18,$F$19,$F$16,$C$14,$F$15,$F$14,$F$20,O$2,O$1,$C48)</f>
        <v/>
      </c>
      <c r="P48" s="226"/>
      <c r="Q48" s="240" t="str">
        <f ca="1">IF(_xll.ELCOMPN(Server&amp;$C$24,C48)=0,"YES","NO")</f>
        <v>YES</v>
      </c>
      <c r="R48" s="241">
        <v>0</v>
      </c>
      <c r="S48" s="226"/>
      <c r="T48" s="227" t="str">
        <f ca="1">_xll.DBRW(Server&amp;Cube1,$F$17,$F$18,$F$19,$F$16,$C$14,$F$15,$F$14,$F$20,T$2,$T$1,$C48)</f>
        <v/>
      </c>
      <c r="U48" s="227" t="str">
        <f ca="1">_xll.DBRW(Server&amp;Cube1,$F$17,$F$18,$F$19,$F$16,$C$14,$F$15,$F$14,$F$20,U$2,$U$1,$C48)</f>
        <v/>
      </c>
      <c r="V48" s="227" t="str">
        <f ca="1">_xll.DBRW(Server&amp;Cube1,$F$17,$F$18,$F$19,$F$16,$C$14,$F$15,$F$14,$F$20,V$2,V$1,$C48)</f>
        <v/>
      </c>
      <c r="W48" s="227" t="str">
        <f ca="1">_xll.DBRW(Server&amp;Cube1,$F$17,$F$18,$F$19,$F$16,$C$14,$F$15,$F$14,$F$20,W$2,W$1,$C48)</f>
        <v/>
      </c>
      <c r="X48" s="227" t="str">
        <f ca="1">_xll.DBRW(Server&amp;Cube1,$F$17,$F$18,$F$19,$F$16,$C$14,$F$15,$F$14,$F$20,X$2,X$1,$C48)</f>
        <v/>
      </c>
      <c r="Y48" s="227" t="str">
        <f ca="1">_xll.DBRW(Server&amp;Cube1,$F$17,$F$18,$F$19,$F$16,$C$14,$F$15,$F$14,$F$20,Y$2,Y$1,$C48)</f>
        <v/>
      </c>
      <c r="Z48" s="241"/>
      <c r="AA48" s="241"/>
      <c r="AB48" s="241"/>
      <c r="AC48" s="241"/>
      <c r="AD48" s="241"/>
      <c r="AE48" s="241"/>
      <c r="AF48" s="221" t="str">
        <f ca="1">_xll.DBRW(Server&amp;Cube1,$F$17,$F$18,$F$19,$F$16,$C$14,$F$15,$F$14,$F$20,AF$2,$AF$1,$C48)</f>
        <v/>
      </c>
      <c r="AG48" s="53"/>
      <c r="AH48" s="53"/>
      <c r="AI48" s="53"/>
      <c r="AJ48" s="53"/>
      <c r="AK48" s="53"/>
      <c r="AL48" s="53"/>
      <c r="AM48" s="53"/>
      <c r="AN48" s="53"/>
      <c r="AO48" s="53"/>
      <c r="AP48" s="73" t="s">
        <v>52</v>
      </c>
      <c r="AQ48" s="53"/>
      <c r="AR48" s="265" t="s">
        <v>469</v>
      </c>
      <c r="AS48" s="168">
        <v>4400</v>
      </c>
      <c r="AT48" s="171" t="s">
        <v>490</v>
      </c>
    </row>
    <row r="49" spans="1:53" s="9" customFormat="1" ht="24.75" customHeight="1" collapsed="1" thickBot="1" x14ac:dyDescent="0.4">
      <c r="A49" s="181">
        <f ca="1">IF($AT$35="YES",1,IF(_xll.ELCOMPN(Server&amp;$C$24,C49)&lt;&gt;0,1,IF(OR(B49=$AZ$35,B49="ALL"),1,0)))</f>
        <v>1</v>
      </c>
      <c r="B49" s="163" t="str">
        <f t="shared" si="3"/>
        <v>bu</v>
      </c>
      <c r="C49" s="117" t="s">
        <v>88</v>
      </c>
      <c r="E49" s="270" t="str">
        <f ca="1">_xll.DBRA(Server&amp;$C$24,$C49,$F$21)</f>
        <v>Fournitures de bureau et autres consommables</v>
      </c>
      <c r="F49" s="270"/>
      <c r="G49" s="270"/>
      <c r="H49" s="40"/>
      <c r="I49" s="221" t="str">
        <f ca="1">_xll.DBRW(Server&amp;Cube1,$F$17,$F$18,$F$19,$F$16,$C$14,$F$15,$F$14,$F$20,I$2,I$1,$C49)</f>
        <v/>
      </c>
      <c r="J49" s="221" t="str">
        <f ca="1">_xll.DBRW(Server&amp;Cube1,$F$17,$F$18,$F$19,$F$16,$C$14,$F$15,$F$14,$F$20,J$2,J$1,$C49)</f>
        <v/>
      </c>
      <c r="K49" s="221" t="e">
        <f ca="1">_xll.DBRW(Server&amp;Cube1,$F$17,$F$18,$F$19,$F$16,$C$14,$F$15,$F$14,$F$20,I$2,I$1,$C49) -_xll.DBRW(Server&amp;Cube1,$F$17,$F$18,$F$19,$F$16,$C$14,$F$15,$F$14,$F$20,K$2,I$1,$C49)</f>
        <v>#VALUE!</v>
      </c>
      <c r="L49" s="221" t="e">
        <f t="shared" ca="1" si="2"/>
        <v>#VALUE!</v>
      </c>
      <c r="M49" s="221" t="e">
        <f t="shared" ca="1" si="1"/>
        <v>#VALUE!</v>
      </c>
      <c r="N49" s="229"/>
      <c r="O49" s="229" t="str">
        <f ca="1">_xll.DBRW(Server&amp;Cube1,$F$17,$F$18,$F$19,$F$16,$C$14,$F$15,$F$14,$F$20,O$2,O$1,$C49)</f>
        <v/>
      </c>
      <c r="P49" s="229"/>
      <c r="Q49" s="240" t="str">
        <f ca="1">IF(_xll.ELCOMPN(Server&amp;$C$24,C49)=0,"YES","NO")</f>
        <v>NO</v>
      </c>
      <c r="R49" s="229"/>
      <c r="S49" s="229"/>
      <c r="T49" s="230" t="str">
        <f ca="1">_xll.DBRW(Server&amp;Cube1,$F$17,$F$18,$F$19,$F$16,$C$14,$F$15,$F$14,$F$20,T$2,$T$1,$C49)</f>
        <v/>
      </c>
      <c r="U49" s="230" t="str">
        <f ca="1">_xll.DBRW(Server&amp;Cube1,$F$17,$F$18,$F$19,$F$16,$C$14,$F$15,$F$14,$F$20,U$2,$U$1,$C49)</f>
        <v/>
      </c>
      <c r="V49" s="230" t="str">
        <f ca="1">_xll.DBRW(Server&amp;Cube1,$F$17,$F$18,$F$19,$F$16,$C$14,$F$15,$F$14,$F$20,V$2,V$1,$C49)</f>
        <v/>
      </c>
      <c r="W49" s="230" t="str">
        <f ca="1">_xll.DBRW(Server&amp;Cube1,$F$17,$F$18,$F$19,$F$16,$C$14,$F$15,$F$14,$F$20,W$2,W$1,$C49)</f>
        <v/>
      </c>
      <c r="X49" s="229" t="str">
        <f ca="1">_xll.DBRW(Server&amp;Cube1,$F$17,$F$18,$F$19,$F$16,$C$14,$F$15,$F$14,$F$20,X$2,X$1,$C49)</f>
        <v/>
      </c>
      <c r="Y49" s="229" t="str">
        <f ca="1">_xll.DBRW(Server&amp;Cube1,$F$17,$F$18,$F$19,$F$16,$C$14,$F$15,$F$14,$F$20,Y$2,Y$1,$C49)</f>
        <v/>
      </c>
      <c r="Z49" s="229" t="str">
        <f ca="1">_xll.DBRW(Server&amp;Cube1,$F$17,$F$18,$F$19,$F$16,$C$14,$F$15,$F$14,$F$20,Z$2,Z$1,$C49)</f>
        <v/>
      </c>
      <c r="AA49" s="229" t="str">
        <f ca="1">_xll.DBRW(Server&amp;Cube1,$F$17,$F$18,$F$19,$F$16,$C$14,$F$15,$F$14,$F$20,AA$2,AA$1,$C49)</f>
        <v/>
      </c>
      <c r="AB49" s="229" t="str">
        <f ca="1">_xll.DBRW(Server&amp;Cube1,$F$17,$F$18,$F$19,$F$16,$C$14,$F$15,$F$14,$F$20,AB$2,AB$1,$C49)</f>
        <v/>
      </c>
      <c r="AC49" s="229" t="str">
        <f ca="1">_xll.DBRW(Server&amp;Cube1,$F$17,$F$18,$F$19,$F$16,$C$14,$F$15,$F$14,$F$20,AC$2,AC$1,$C49)</f>
        <v/>
      </c>
      <c r="AD49" s="229" t="str">
        <f ca="1">_xll.DBRW(Server&amp;Cube1,$F$17,$F$18,$F$19,$F$16,$C$14,$F$15,$F$14,$F$20,AD$2,AD$1,$C49)</f>
        <v/>
      </c>
      <c r="AE49" s="229" t="str">
        <f ca="1">_xll.DBRW(Server&amp;Cube1,$F$17,$F$18,$F$19,$F$16,$C$14,$F$15,$F$14,$F$20,AE$2,AE$1,$C49)</f>
        <v/>
      </c>
      <c r="AF49" s="229" t="str">
        <f ca="1">_xll.DBRW(Server&amp;Cube1,$F$17,$F$18,$F$19,$F$16,$C$14,$F$15,$F$14,$F$20,AF$2,$AF$1,$C49)</f>
        <v/>
      </c>
      <c r="AG49" s="23"/>
      <c r="AH49" s="23"/>
      <c r="AI49" s="23"/>
      <c r="AJ49" s="23"/>
      <c r="AK49" s="23"/>
      <c r="AL49" s="23"/>
      <c r="AM49" s="23"/>
      <c r="AN49" s="23"/>
      <c r="AO49" s="23"/>
      <c r="AP49" s="74" t="s">
        <v>53</v>
      </c>
      <c r="AQ49" s="23"/>
      <c r="AR49" s="266"/>
      <c r="AS49" s="169">
        <v>4410</v>
      </c>
      <c r="AT49" s="172" t="s">
        <v>490</v>
      </c>
    </row>
    <row r="50" spans="1:53" s="9" customFormat="1" ht="24.75" customHeight="1" x14ac:dyDescent="0.35">
      <c r="A50" s="181" t="e">
        <f ca="1">IF($AT$35="YES",1,IF(_xll.ELCOMPN(Server&amp;$C$24,C50)&lt;&gt;0,1,IF(OR(B50=$AZ$35,B50="ALL"),1,0)))</f>
        <v>#VALUE!</v>
      </c>
      <c r="B50" s="163" t="str">
        <f t="shared" si="3"/>
        <v>DS</v>
      </c>
      <c r="C50" s="158" t="s">
        <v>159</v>
      </c>
      <c r="E50" s="268" t="str">
        <f ca="1">_xll.DBRA(Server&amp;$C$24,$C50,$F$21)</f>
        <v>Fournitures de bureau et autres consommables (SO)</v>
      </c>
      <c r="F50" s="268"/>
      <c r="G50" s="268"/>
      <c r="H50" s="40"/>
      <c r="I50" s="221" t="str">
        <f ca="1">_xll.DBRW(Server&amp;Cube1,$F$17,$F$18,$F$19,$F$16,$C$14,$F$15,$F$14,$F$20,I$2,I$1,$C50)</f>
        <v/>
      </c>
      <c r="J50" s="221" t="str">
        <f ca="1">_xll.DBRW(Server&amp;Cube1,$F$17,$F$18,$F$19,$F$16,$C$14,$F$15,$F$14,$F$20,J$2,J$1,$C50)</f>
        <v/>
      </c>
      <c r="K50" s="221" t="e">
        <f ca="1">_xll.DBRW(Server&amp;Cube1,$F$17,$F$18,$F$19,$F$16,$C$14,$F$15,$F$14,$F$20,I$2,I$1,$C50) -_xll.DBRW(Server&amp;Cube1,$F$17,$F$18,$F$19,$F$16,$C$14,$F$15,$F$14,$F$20,K$2,I$1,$C50)</f>
        <v>#VALUE!</v>
      </c>
      <c r="L50" s="221" t="e">
        <f t="shared" ca="1" si="2"/>
        <v>#VALUE!</v>
      </c>
      <c r="M50" s="221" t="e">
        <f t="shared" ca="1" si="1"/>
        <v>#VALUE!</v>
      </c>
      <c r="N50" s="226"/>
      <c r="O50" s="221" t="str">
        <f ca="1">_xll.DBRW(Server&amp;Cube1,$F$17,$F$18,$F$19,$F$16,$C$14,$F$15,$F$14,$F$20,O$2,O$1,$C50)</f>
        <v/>
      </c>
      <c r="P50" s="226"/>
      <c r="Q50" s="240" t="str">
        <f ca="1">IF(_xll.ELCOMPN(Server&amp;$C$24,C50)=0,"YES","NO")</f>
        <v>YES</v>
      </c>
      <c r="R50" s="241">
        <v>0</v>
      </c>
      <c r="S50" s="226"/>
      <c r="T50" s="227" t="str">
        <f ca="1">_xll.DBRW(Server&amp;Cube1,$F$17,$F$18,$F$19,$F$16,$C$14,$F$15,$F$14,$F$20,T$2,$T$1,$C50)</f>
        <v/>
      </c>
      <c r="U50" s="227" t="str">
        <f ca="1">_xll.DBRW(Server&amp;Cube1,$F$17,$F$18,$F$19,$F$16,$C$14,$F$15,$F$14,$F$20,U$2,$U$1,$C50)</f>
        <v/>
      </c>
      <c r="V50" s="227" t="str">
        <f ca="1">_xll.DBRW(Server&amp;Cube1,$F$17,$F$18,$F$19,$F$16,$C$14,$F$15,$F$14,$F$20,V$2,V$1,$C50)</f>
        <v/>
      </c>
      <c r="W50" s="227" t="str">
        <f ca="1">_xll.DBRW(Server&amp;Cube1,$F$17,$F$18,$F$19,$F$16,$C$14,$F$15,$F$14,$F$20,W$2,W$1,$C50)</f>
        <v/>
      </c>
      <c r="X50" s="227" t="str">
        <f ca="1">_xll.DBRW(Server&amp;Cube1,$F$17,$F$18,$F$19,$F$16,$C$14,$F$15,$F$14,$F$20,X$2,X$1,$C50)</f>
        <v/>
      </c>
      <c r="Y50" s="227" t="str">
        <f ca="1">_xll.DBRW(Server&amp;Cube1,$F$17,$F$18,$F$19,$F$16,$C$14,$F$15,$F$14,$F$20,Y$2,Y$1,$C50)</f>
        <v/>
      </c>
      <c r="Z50" s="241"/>
      <c r="AA50" s="241"/>
      <c r="AB50" s="241"/>
      <c r="AC50" s="241"/>
      <c r="AD50" s="241"/>
      <c r="AE50" s="241"/>
      <c r="AF50" s="221" t="str">
        <f ca="1">_xll.DBRW(Server&amp;Cube1,$F$17,$F$18,$F$19,$F$16,$C$14,$F$15,$F$14,$F$20,AF$2,$AF$1,$C50)</f>
        <v/>
      </c>
      <c r="AG50" s="53"/>
      <c r="AH50" s="53"/>
      <c r="AI50" s="53"/>
      <c r="AJ50" s="53"/>
      <c r="AK50" s="53"/>
      <c r="AL50" s="53"/>
      <c r="AM50" s="53"/>
      <c r="AN50" s="53"/>
      <c r="AO50" s="53"/>
      <c r="AP50" s="64" t="s">
        <v>56</v>
      </c>
      <c r="AQ50" s="53"/>
      <c r="AR50" s="266"/>
      <c r="AS50" s="169">
        <v>4420</v>
      </c>
      <c r="AT50" s="172" t="s">
        <v>490</v>
      </c>
    </row>
    <row r="51" spans="1:53" s="9" customFormat="1" ht="24.75" customHeight="1" x14ac:dyDescent="0.35">
      <c r="A51" s="181" t="e">
        <f ca="1">IF($AT$35="YES",1,IF(_xll.ELCOMPN(Server&amp;$C$24,C51)&lt;&gt;0,1,IF(OR(B51=$AZ$35,B51="ALL"),1,0)))</f>
        <v>#VALUE!</v>
      </c>
      <c r="B51" s="163" t="str">
        <f t="shared" si="3"/>
        <v>BD</v>
      </c>
      <c r="C51" s="158" t="s">
        <v>160</v>
      </c>
      <c r="E51" s="268" t="str">
        <f ca="1">_xll.DBRA(Server&amp;$C$24,$C51,$F$21)</f>
        <v>Fournitures de bureau et autres consommables (DC)</v>
      </c>
      <c r="F51" s="268"/>
      <c r="G51" s="268"/>
      <c r="H51" s="40"/>
      <c r="I51" s="221" t="str">
        <f ca="1">_xll.DBRW(Server&amp;Cube1,$F$17,$F$18,$F$19,$F$16,$C$14,$F$15,$F$14,$F$20,I$2,I$1,$C51)</f>
        <v/>
      </c>
      <c r="J51" s="221" t="str">
        <f ca="1">_xll.DBRW(Server&amp;Cube1,$F$17,$F$18,$F$19,$F$16,$C$14,$F$15,$F$14,$F$20,J$2,J$1,$C51)</f>
        <v/>
      </c>
      <c r="K51" s="221" t="e">
        <f ca="1">_xll.DBRW(Server&amp;Cube1,$F$17,$F$18,$F$19,$F$16,$C$14,$F$15,$F$14,$F$20,I$2,I$1,$C51) -_xll.DBRW(Server&amp;Cube1,$F$17,$F$18,$F$19,$F$16,$C$14,$F$15,$F$14,$F$20,K$2,I$1,$C51)</f>
        <v>#VALUE!</v>
      </c>
      <c r="L51" s="221" t="e">
        <f t="shared" ca="1" si="2"/>
        <v>#VALUE!</v>
      </c>
      <c r="M51" s="221" t="e">
        <f t="shared" ca="1" si="1"/>
        <v>#VALUE!</v>
      </c>
      <c r="N51" s="226"/>
      <c r="O51" s="221" t="str">
        <f ca="1">_xll.DBRW(Server&amp;Cube1,$F$17,$F$18,$F$19,$F$16,$C$14,$F$15,$F$14,$F$20,O$2,O$1,$C51)</f>
        <v/>
      </c>
      <c r="P51" s="226"/>
      <c r="Q51" s="240" t="str">
        <f ca="1">IF(_xll.ELCOMPN(Server&amp;$C$24,C51)=0,"YES","NO")</f>
        <v>YES</v>
      </c>
      <c r="R51" s="241">
        <v>0</v>
      </c>
      <c r="S51" s="226"/>
      <c r="T51" s="227" t="str">
        <f ca="1">_xll.DBRW(Server&amp;Cube1,$F$17,$F$18,$F$19,$F$16,$C$14,$F$15,$F$14,$F$20,T$2,$T$1,$C51)</f>
        <v/>
      </c>
      <c r="U51" s="227" t="str">
        <f ca="1">_xll.DBRW(Server&amp;Cube1,$F$17,$F$18,$F$19,$F$16,$C$14,$F$15,$F$14,$F$20,U$2,$U$1,$C51)</f>
        <v/>
      </c>
      <c r="V51" s="227" t="str">
        <f ca="1">_xll.DBRW(Server&amp;Cube1,$F$17,$F$18,$F$19,$F$16,$C$14,$F$15,$F$14,$F$20,V$2,V$1,$C51)</f>
        <v/>
      </c>
      <c r="W51" s="227" t="str">
        <f ca="1">_xll.DBRW(Server&amp;Cube1,$F$17,$F$18,$F$19,$F$16,$C$14,$F$15,$F$14,$F$20,W$2,W$1,$C51)</f>
        <v/>
      </c>
      <c r="X51" s="227" t="str">
        <f ca="1">_xll.DBRW(Server&amp;Cube1,$F$17,$F$18,$F$19,$F$16,$C$14,$F$15,$F$14,$F$20,X$2,X$1,$C51)</f>
        <v/>
      </c>
      <c r="Y51" s="227" t="str">
        <f ca="1">_xll.DBRW(Server&amp;Cube1,$F$17,$F$18,$F$19,$F$16,$C$14,$F$15,$F$14,$F$20,Y$2,Y$1,$C51)</f>
        <v/>
      </c>
      <c r="Z51" s="241"/>
      <c r="AA51" s="241"/>
      <c r="AB51" s="241"/>
      <c r="AC51" s="241"/>
      <c r="AD51" s="241"/>
      <c r="AE51" s="241"/>
      <c r="AF51" s="221" t="str">
        <f ca="1">_xll.DBRW(Server&amp;Cube1,$F$17,$F$18,$F$19,$F$16,$C$14,$F$15,$F$14,$F$20,AF$2,$AF$1,$C51)</f>
        <v/>
      </c>
      <c r="AG51" s="53"/>
      <c r="AH51" s="53"/>
      <c r="AI51" s="53"/>
      <c r="AJ51" s="53"/>
      <c r="AK51" s="53"/>
      <c r="AL51" s="53"/>
      <c r="AM51" s="53"/>
      <c r="AN51" s="53"/>
      <c r="AO51" s="53"/>
      <c r="AP51" s="71" t="s">
        <v>59</v>
      </c>
      <c r="AQ51" s="53"/>
      <c r="AR51" s="266"/>
      <c r="AS51" s="169">
        <v>4440</v>
      </c>
      <c r="AT51" s="172" t="s">
        <v>490</v>
      </c>
    </row>
    <row r="52" spans="1:53" s="9" customFormat="1" ht="24.75" customHeight="1" thickBot="1" x14ac:dyDescent="0.4">
      <c r="A52" s="181" t="e">
        <f ca="1">IF($AT$35="YES",1,IF(_xll.ELCOMPN(Server&amp;$C$24,C52)&lt;&gt;0,1,IF(OR(B52=$AZ$35,B52="ALL"),1,0)))</f>
        <v>#VALUE!</v>
      </c>
      <c r="B52" s="163" t="str">
        <f t="shared" si="3"/>
        <v>FI</v>
      </c>
      <c r="C52" s="158" t="s">
        <v>161</v>
      </c>
      <c r="E52" s="268" t="str">
        <f ca="1">_xll.DBRA(Server&amp;$C$24,$C52,$F$21)</f>
        <v>Fournitures de bureau et autres consommables (DF)</v>
      </c>
      <c r="F52" s="268"/>
      <c r="G52" s="268"/>
      <c r="H52" s="40"/>
      <c r="I52" s="221" t="str">
        <f ca="1">_xll.DBRW(Server&amp;Cube1,$F$17,$F$18,$F$19,$F$16,$C$14,$F$15,$F$14,$F$20,I$2,I$1,$C52)</f>
        <v/>
      </c>
      <c r="J52" s="221" t="str">
        <f ca="1">_xll.DBRW(Server&amp;Cube1,$F$17,$F$18,$F$19,$F$16,$C$14,$F$15,$F$14,$F$20,J$2,J$1,$C52)</f>
        <v/>
      </c>
      <c r="K52" s="221" t="e">
        <f ca="1">_xll.DBRW(Server&amp;Cube1,$F$17,$F$18,$F$19,$F$16,$C$14,$F$15,$F$14,$F$20,I$2,I$1,$C52) -_xll.DBRW(Server&amp;Cube1,$F$17,$F$18,$F$19,$F$16,$C$14,$F$15,$F$14,$F$20,K$2,I$1,$C52)</f>
        <v>#VALUE!</v>
      </c>
      <c r="L52" s="221" t="e">
        <f t="shared" ca="1" si="2"/>
        <v>#VALUE!</v>
      </c>
      <c r="M52" s="221" t="e">
        <f t="shared" ca="1" si="1"/>
        <v>#VALUE!</v>
      </c>
      <c r="N52" s="226"/>
      <c r="O52" s="221" t="str">
        <f ca="1">_xll.DBRW(Server&amp;Cube1,$F$17,$F$18,$F$19,$F$16,$C$14,$F$15,$F$14,$F$20,O$2,O$1,$C52)</f>
        <v/>
      </c>
      <c r="P52" s="226"/>
      <c r="Q52" s="240" t="str">
        <f ca="1">IF(_xll.ELCOMPN(Server&amp;$C$24,C52)=0,"YES","NO")</f>
        <v>YES</v>
      </c>
      <c r="R52" s="241">
        <v>0</v>
      </c>
      <c r="S52" s="226"/>
      <c r="T52" s="227" t="str">
        <f ca="1">_xll.DBRW(Server&amp;Cube1,$F$17,$F$18,$F$19,$F$16,$C$14,$F$15,$F$14,$F$20,T$2,$T$1,$C52)</f>
        <v/>
      </c>
      <c r="U52" s="227" t="str">
        <f ca="1">_xll.DBRW(Server&amp;Cube1,$F$17,$F$18,$F$19,$F$16,$C$14,$F$15,$F$14,$F$20,U$2,$U$1,$C52)</f>
        <v/>
      </c>
      <c r="V52" s="227" t="str">
        <f ca="1">_xll.DBRW(Server&amp;Cube1,$F$17,$F$18,$F$19,$F$16,$C$14,$F$15,$F$14,$F$20,V$2,V$1,$C52)</f>
        <v/>
      </c>
      <c r="W52" s="227" t="str">
        <f ca="1">_xll.DBRW(Server&amp;Cube1,$F$17,$F$18,$F$19,$F$16,$C$14,$F$15,$F$14,$F$20,W$2,W$1,$C52)</f>
        <v/>
      </c>
      <c r="X52" s="227" t="str">
        <f ca="1">_xll.DBRW(Server&amp;Cube1,$F$17,$F$18,$F$19,$F$16,$C$14,$F$15,$F$14,$F$20,X$2,X$1,$C52)</f>
        <v/>
      </c>
      <c r="Y52" s="227" t="str">
        <f ca="1">_xll.DBRW(Server&amp;Cube1,$F$17,$F$18,$F$19,$F$16,$C$14,$F$15,$F$14,$F$20,Y$2,Y$1,$C52)</f>
        <v/>
      </c>
      <c r="Z52" s="241"/>
      <c r="AA52" s="241"/>
      <c r="AB52" s="241"/>
      <c r="AC52" s="241"/>
      <c r="AD52" s="241"/>
      <c r="AE52" s="241"/>
      <c r="AF52" s="221" t="str">
        <f ca="1">_xll.DBRW(Server&amp;Cube1,$F$17,$F$18,$F$19,$F$16,$C$14,$F$15,$F$14,$F$20,AF$2,$AF$1,$C52)</f>
        <v/>
      </c>
      <c r="AG52" s="53"/>
      <c r="AH52" s="53"/>
      <c r="AI52" s="53"/>
      <c r="AJ52" s="53"/>
      <c r="AK52" s="53"/>
      <c r="AL52" s="53"/>
      <c r="AM52" s="53"/>
      <c r="AN52" s="53"/>
      <c r="AO52" s="53"/>
      <c r="AP52" s="72" t="s">
        <v>60</v>
      </c>
      <c r="AQ52" s="53"/>
      <c r="AR52" s="266"/>
      <c r="AS52" s="169">
        <v>4450</v>
      </c>
      <c r="AT52" s="172" t="s">
        <v>490</v>
      </c>
    </row>
    <row r="53" spans="1:53" s="9" customFormat="1" ht="24.75" customHeight="1" thickBot="1" x14ac:dyDescent="0.4">
      <c r="A53" s="181" t="e">
        <f ca="1">IF($AT$35="YES",1,IF(_xll.ELCOMPN(Server&amp;$C$24,C53)&lt;&gt;0,1,IF(OR(B53=$AZ$35,B53="ALL"),1,0)))</f>
        <v>#VALUE!</v>
      </c>
      <c r="B53" s="163" t="str">
        <f t="shared" si="3"/>
        <v>IT</v>
      </c>
      <c r="C53" s="158" t="s">
        <v>162</v>
      </c>
      <c r="E53" s="268" t="str">
        <f ca="1">_xll.DBRA(Server&amp;$C$24,$C53,$F$21)</f>
        <v>Fournitures de bureau et autres consommables (IT)</v>
      </c>
      <c r="F53" s="268"/>
      <c r="G53" s="268"/>
      <c r="H53" s="40"/>
      <c r="I53" s="221" t="str">
        <f ca="1">_xll.DBRW(Server&amp;Cube1,$F$17,$F$18,$F$19,$F$16,$C$14,$F$15,$F$14,$F$20,I$2,I$1,$C53)</f>
        <v/>
      </c>
      <c r="J53" s="221" t="str">
        <f ca="1">_xll.DBRW(Server&amp;Cube1,$F$17,$F$18,$F$19,$F$16,$C$14,$F$15,$F$14,$F$20,J$2,J$1,$C53)</f>
        <v/>
      </c>
      <c r="K53" s="221" t="e">
        <f ca="1">_xll.DBRW(Server&amp;Cube1,$F$17,$F$18,$F$19,$F$16,$C$14,$F$15,$F$14,$F$20,I$2,I$1,$C53) -_xll.DBRW(Server&amp;Cube1,$F$17,$F$18,$F$19,$F$16,$C$14,$F$15,$F$14,$F$20,K$2,I$1,$C53)</f>
        <v>#VALUE!</v>
      </c>
      <c r="L53" s="221" t="e">
        <f t="shared" ca="1" si="2"/>
        <v>#VALUE!</v>
      </c>
      <c r="M53" s="221" t="e">
        <f t="shared" ca="1" si="1"/>
        <v>#VALUE!</v>
      </c>
      <c r="N53" s="226"/>
      <c r="O53" s="221" t="str">
        <f ca="1">_xll.DBRW(Server&amp;Cube1,$F$17,$F$18,$F$19,$F$16,$C$14,$F$15,$F$14,$F$20,O$2,O$1,$C53)</f>
        <v/>
      </c>
      <c r="P53" s="226"/>
      <c r="Q53" s="240" t="str">
        <f ca="1">IF(_xll.ELCOMPN(Server&amp;$C$24,C53)=0,"YES","NO")</f>
        <v>YES</v>
      </c>
      <c r="R53" s="241">
        <v>0</v>
      </c>
      <c r="S53" s="226"/>
      <c r="T53" s="227" t="str">
        <f ca="1">_xll.DBRW(Server&amp;Cube1,$F$17,$F$18,$F$19,$F$16,$C$14,$F$15,$F$14,$F$20,T$2,$T$1,$C53)</f>
        <v/>
      </c>
      <c r="U53" s="227" t="str">
        <f ca="1">_xll.DBRW(Server&amp;Cube1,$F$17,$F$18,$F$19,$F$16,$C$14,$F$15,$F$14,$F$20,U$2,$U$1,$C53)</f>
        <v/>
      </c>
      <c r="V53" s="227" t="str">
        <f ca="1">_xll.DBRW(Server&amp;Cube1,$F$17,$F$18,$F$19,$F$16,$C$14,$F$15,$F$14,$F$20,V$2,V$1,$C53)</f>
        <v/>
      </c>
      <c r="W53" s="227" t="str">
        <f ca="1">_xll.DBRW(Server&amp;Cube1,$F$17,$F$18,$F$19,$F$16,$C$14,$F$15,$F$14,$F$20,W$2,W$1,$C53)</f>
        <v/>
      </c>
      <c r="X53" s="227" t="str">
        <f ca="1">_xll.DBRW(Server&amp;Cube1,$F$17,$F$18,$F$19,$F$16,$C$14,$F$15,$F$14,$F$20,X$2,X$1,$C53)</f>
        <v/>
      </c>
      <c r="Y53" s="227" t="str">
        <f ca="1">_xll.DBRW(Server&amp;Cube1,$F$17,$F$18,$F$19,$F$16,$C$14,$F$15,$F$14,$F$20,Y$2,Y$1,$C53)</f>
        <v/>
      </c>
      <c r="Z53" s="241"/>
      <c r="AA53" s="241"/>
      <c r="AB53" s="241"/>
      <c r="AC53" s="241"/>
      <c r="AD53" s="241"/>
      <c r="AE53" s="241"/>
      <c r="AF53" s="221" t="str">
        <f ca="1">_xll.DBRW(Server&amp;Cube1,$F$17,$F$18,$F$19,$F$16,$C$14,$F$15,$F$14,$F$20,AF$2,$AF$1,$C53)</f>
        <v/>
      </c>
      <c r="AG53" s="53"/>
      <c r="AH53" s="53"/>
      <c r="AI53" s="53"/>
      <c r="AJ53" s="53"/>
      <c r="AK53" s="53"/>
      <c r="AL53" s="53"/>
      <c r="AM53" s="53"/>
      <c r="AN53" s="53"/>
      <c r="AO53" s="53"/>
      <c r="AP53" s="84" t="s">
        <v>66</v>
      </c>
      <c r="AQ53" s="53"/>
      <c r="AR53" s="267"/>
      <c r="AS53" s="170">
        <v>4430</v>
      </c>
      <c r="AT53" s="173" t="s">
        <v>490</v>
      </c>
    </row>
    <row r="54" spans="1:53" s="9" customFormat="1" ht="24.75" customHeight="1" x14ac:dyDescent="0.35">
      <c r="A54" s="181" t="e">
        <f ca="1">IF($AT$35="YES",1,IF(_xll.ELCOMPN(Server&amp;$C$24,C54)&lt;&gt;0,1,IF(OR(B54=$AZ$35,B54="ALL"),1,0)))</f>
        <v>#VALUE!</v>
      </c>
      <c r="B54" s="163" t="str">
        <f t="shared" si="3"/>
        <v>HR</v>
      </c>
      <c r="C54" s="158" t="s">
        <v>163</v>
      </c>
      <c r="E54" s="268" t="str">
        <f ca="1">_xll.DBRA(Server&amp;$C$24,$C54,$F$21)</f>
        <v>Fournitures de bureau et autres consommables (RH)</v>
      </c>
      <c r="F54" s="268"/>
      <c r="G54" s="268"/>
      <c r="H54" s="40"/>
      <c r="I54" s="221" t="str">
        <f ca="1">_xll.DBRW(Server&amp;Cube1,$F$17,$F$18,$F$19,$F$16,$C$14,$F$15,$F$14,$F$20,I$2,I$1,$C54)</f>
        <v/>
      </c>
      <c r="J54" s="221" t="str">
        <f ca="1">_xll.DBRW(Server&amp;Cube1,$F$17,$F$18,$F$19,$F$16,$C$14,$F$15,$F$14,$F$20,J$2,J$1,$C54)</f>
        <v/>
      </c>
      <c r="K54" s="221" t="e">
        <f ca="1">_xll.DBRW(Server&amp;Cube1,$F$17,$F$18,$F$19,$F$16,$C$14,$F$15,$F$14,$F$20,I$2,I$1,$C54) -_xll.DBRW(Server&amp;Cube1,$F$17,$F$18,$F$19,$F$16,$C$14,$F$15,$F$14,$F$20,K$2,I$1,$C54)</f>
        <v>#VALUE!</v>
      </c>
      <c r="L54" s="221" t="e">
        <f t="shared" ca="1" si="2"/>
        <v>#VALUE!</v>
      </c>
      <c r="M54" s="221" t="e">
        <f t="shared" ca="1" si="1"/>
        <v>#VALUE!</v>
      </c>
      <c r="N54" s="226"/>
      <c r="O54" s="221" t="str">
        <f ca="1">_xll.DBRW(Server&amp;Cube1,$F$17,$F$18,$F$19,$F$16,$C$14,$F$15,$F$14,$F$20,O$2,O$1,$C54)</f>
        <v/>
      </c>
      <c r="P54" s="226"/>
      <c r="Q54" s="240" t="str">
        <f ca="1">IF(_xll.ELCOMPN(Server&amp;$C$24,C54)=0,"YES","NO")</f>
        <v>YES</v>
      </c>
      <c r="R54" s="241">
        <v>0</v>
      </c>
      <c r="S54" s="226"/>
      <c r="T54" s="227" t="str">
        <f ca="1">_xll.DBRW(Server&amp;Cube1,$F$17,$F$18,$F$19,$F$16,$C$14,$F$15,$F$14,$F$20,T$2,$T$1,$C54)</f>
        <v/>
      </c>
      <c r="U54" s="227" t="str">
        <f ca="1">_xll.DBRW(Server&amp;Cube1,$F$17,$F$18,$F$19,$F$16,$C$14,$F$15,$F$14,$F$20,U$2,$U$1,$C54)</f>
        <v/>
      </c>
      <c r="V54" s="227" t="str">
        <f ca="1">_xll.DBRW(Server&amp;Cube1,$F$17,$F$18,$F$19,$F$16,$C$14,$F$15,$F$14,$F$20,V$2,V$1,$C54)</f>
        <v/>
      </c>
      <c r="W54" s="227" t="str">
        <f ca="1">_xll.DBRW(Server&amp;Cube1,$F$17,$F$18,$F$19,$F$16,$C$14,$F$15,$F$14,$F$20,W$2,W$1,$C54)</f>
        <v/>
      </c>
      <c r="X54" s="227" t="str">
        <f ca="1">_xll.DBRW(Server&amp;Cube1,$F$17,$F$18,$F$19,$F$16,$C$14,$F$15,$F$14,$F$20,X$2,X$1,$C54)</f>
        <v/>
      </c>
      <c r="Y54" s="227" t="str">
        <f ca="1">_xll.DBRW(Server&amp;Cube1,$F$17,$F$18,$F$19,$F$16,$C$14,$F$15,$F$14,$F$20,Y$2,Y$1,$C54)</f>
        <v/>
      </c>
      <c r="Z54" s="241"/>
      <c r="AA54" s="241"/>
      <c r="AB54" s="241"/>
      <c r="AC54" s="241"/>
      <c r="AD54" s="241"/>
      <c r="AE54" s="241"/>
      <c r="AF54" s="221" t="str">
        <f ca="1">_xll.DBRW(Server&amp;Cube1,$F$17,$F$18,$F$19,$F$16,$C$14,$F$15,$F$14,$F$20,AF$2,$AF$1,$C54)</f>
        <v/>
      </c>
      <c r="AG54" s="53"/>
      <c r="AH54" s="53"/>
      <c r="AI54" s="53"/>
      <c r="AJ54" s="53"/>
      <c r="AK54" s="53"/>
      <c r="AL54" s="53"/>
      <c r="AM54" s="53"/>
      <c r="AN54" s="53"/>
      <c r="AO54" s="53"/>
      <c r="AP54" s="85" t="s">
        <v>67</v>
      </c>
      <c r="AQ54" s="53"/>
      <c r="AR54" s="265" t="s">
        <v>470</v>
      </c>
      <c r="AS54" s="165">
        <v>4500</v>
      </c>
      <c r="AT54" s="175" t="s">
        <v>493</v>
      </c>
      <c r="AU54" s="53"/>
      <c r="AV54" s="53"/>
      <c r="AW54" s="53"/>
      <c r="AX54" s="53"/>
      <c r="AY54" s="53"/>
      <c r="AZ54" s="53"/>
      <c r="BA54" s="53"/>
    </row>
    <row r="55" spans="1:53" s="9" customFormat="1" ht="24.75" customHeight="1" thickBot="1" x14ac:dyDescent="0.4">
      <c r="A55" s="181" t="e">
        <f ca="1">IF($AT$35="YES",1,IF(_xll.ELCOMPN(Server&amp;$C$24,C55)&lt;&gt;0,1,IF(OR(B55=$AZ$35,B55="ALL"),1,0)))</f>
        <v>#VALUE!</v>
      </c>
      <c r="B55" s="163" t="str">
        <f t="shared" si="3"/>
        <v>GM</v>
      </c>
      <c r="C55" s="158" t="s">
        <v>164</v>
      </c>
      <c r="E55" s="268" t="str">
        <f ca="1">_xll.DBRA(Server&amp;$C$24,$C55,$F$21)</f>
        <v>Fournitures de bureau et autres consommables (DG)</v>
      </c>
      <c r="F55" s="268"/>
      <c r="G55" s="268"/>
      <c r="H55" s="40"/>
      <c r="I55" s="221" t="str">
        <f ca="1">_xll.DBRW(Server&amp;Cube1,$F$17,$F$18,$F$19,$F$16,$C$14,$F$15,$F$14,$F$20,I$2,I$1,$C55)</f>
        <v/>
      </c>
      <c r="J55" s="221" t="str">
        <f ca="1">_xll.DBRW(Server&amp;Cube1,$F$17,$F$18,$F$19,$F$16,$C$14,$F$15,$F$14,$F$20,J$2,J$1,$C55)</f>
        <v/>
      </c>
      <c r="K55" s="221" t="e">
        <f ca="1">_xll.DBRW(Server&amp;Cube1,$F$17,$F$18,$F$19,$F$16,$C$14,$F$15,$F$14,$F$20,I$2,I$1,$C55) -_xll.DBRW(Server&amp;Cube1,$F$17,$F$18,$F$19,$F$16,$C$14,$F$15,$F$14,$F$20,K$2,I$1,$C55)</f>
        <v>#VALUE!</v>
      </c>
      <c r="L55" s="221" t="e">
        <f t="shared" ca="1" si="2"/>
        <v>#VALUE!</v>
      </c>
      <c r="M55" s="221" t="e">
        <f t="shared" ca="1" si="1"/>
        <v>#VALUE!</v>
      </c>
      <c r="N55" s="226"/>
      <c r="O55" s="221" t="str">
        <f ca="1">_xll.DBRW(Server&amp;Cube1,$F$17,$F$18,$F$19,$F$16,$C$14,$F$15,$F$14,$F$20,O$2,O$1,$C55)</f>
        <v/>
      </c>
      <c r="P55" s="226"/>
      <c r="Q55" s="240" t="str">
        <f ca="1">IF(_xll.ELCOMPN(Server&amp;$C$24,C55)=0,"YES","NO")</f>
        <v>YES</v>
      </c>
      <c r="R55" s="241">
        <v>0</v>
      </c>
      <c r="S55" s="226"/>
      <c r="T55" s="227" t="str">
        <f ca="1">_xll.DBRW(Server&amp;Cube1,$F$17,$F$18,$F$19,$F$16,$C$14,$F$15,$F$14,$F$20,T$2,$T$1,$C55)</f>
        <v/>
      </c>
      <c r="U55" s="227" t="str">
        <f ca="1">_xll.DBRW(Server&amp;Cube1,$F$17,$F$18,$F$19,$F$16,$C$14,$F$15,$F$14,$F$20,U$2,$U$1,$C55)</f>
        <v/>
      </c>
      <c r="V55" s="227" t="str">
        <f ca="1">_xll.DBRW(Server&amp;Cube1,$F$17,$F$18,$F$19,$F$16,$C$14,$F$15,$F$14,$F$20,V$2,V$1,$C55)</f>
        <v/>
      </c>
      <c r="W55" s="227" t="str">
        <f ca="1">_xll.DBRW(Server&amp;Cube1,$F$17,$F$18,$F$19,$F$16,$C$14,$F$15,$F$14,$F$20,W$2,W$1,$C55)</f>
        <v/>
      </c>
      <c r="X55" s="227" t="str">
        <f ca="1">_xll.DBRW(Server&amp;Cube1,$F$17,$F$18,$F$19,$F$16,$C$14,$F$15,$F$14,$F$20,X$2,X$1,$C55)</f>
        <v/>
      </c>
      <c r="Y55" s="227" t="str">
        <f ca="1">_xll.DBRW(Server&amp;Cube1,$F$17,$F$18,$F$19,$F$16,$C$14,$F$15,$F$14,$F$20,Y$2,Y$1,$C55)</f>
        <v/>
      </c>
      <c r="Z55" s="241"/>
      <c r="AA55" s="241"/>
      <c r="AB55" s="241"/>
      <c r="AC55" s="241"/>
      <c r="AD55" s="241"/>
      <c r="AE55" s="241"/>
      <c r="AF55" s="221" t="str">
        <f ca="1">_xll.DBRW(Server&amp;Cube1,$F$17,$F$18,$F$19,$F$16,$C$14,$F$15,$F$14,$F$20,AF$2,$AF$1,$C55)</f>
        <v/>
      </c>
      <c r="AG55" s="53"/>
      <c r="AH55" s="53"/>
      <c r="AI55" s="53"/>
      <c r="AJ55" s="53"/>
      <c r="AK55" s="53"/>
      <c r="AL55" s="53"/>
      <c r="AM55" s="53"/>
      <c r="AN55" s="53"/>
      <c r="AO55" s="53"/>
      <c r="AP55" s="69" t="s">
        <v>68</v>
      </c>
      <c r="AQ55" s="53"/>
      <c r="AR55" s="266"/>
      <c r="AS55" s="166">
        <v>4510</v>
      </c>
      <c r="AT55" s="174" t="s">
        <v>493</v>
      </c>
      <c r="AU55" s="53"/>
      <c r="AV55" s="53"/>
      <c r="AW55" s="53"/>
      <c r="AX55" s="53"/>
      <c r="AY55" s="53"/>
      <c r="AZ55" s="53"/>
      <c r="BA55" s="53"/>
    </row>
    <row r="56" spans="1:53" s="9" customFormat="1" ht="24.75" customHeight="1" x14ac:dyDescent="0.35">
      <c r="A56" s="181" t="e">
        <f ca="1">IF($AT$35="YES",1,IF(_xll.ELCOMPN(Server&amp;$C$24,C56)&lt;&gt;0,1,IF(OR(B56=$AZ$35,B56="ALL"),1,0)))</f>
        <v>#VALUE!</v>
      </c>
      <c r="B56" s="163" t="str">
        <f t="shared" si="3"/>
        <v>IA</v>
      </c>
      <c r="C56" s="158" t="s">
        <v>165</v>
      </c>
      <c r="E56" s="268" t="str">
        <f ca="1">_xll.DBRA(Server&amp;$C$24,$C56,$F$21)</f>
        <v>Fournitures de bureau et autres consommables (AI)</v>
      </c>
      <c r="F56" s="268"/>
      <c r="G56" s="268"/>
      <c r="H56" s="40"/>
      <c r="I56" s="221" t="str">
        <f ca="1">_xll.DBRW(Server&amp;Cube1,$F$17,$F$18,$F$19,$F$16,$C$14,$F$15,$F$14,$F$20,I$2,I$1,$C56)</f>
        <v/>
      </c>
      <c r="J56" s="221" t="str">
        <f ca="1">_xll.DBRW(Server&amp;Cube1,$F$17,$F$18,$F$19,$F$16,$C$14,$F$15,$F$14,$F$20,J$2,J$1,$C56)</f>
        <v/>
      </c>
      <c r="K56" s="221" t="e">
        <f ca="1">_xll.DBRW(Server&amp;Cube1,$F$17,$F$18,$F$19,$F$16,$C$14,$F$15,$F$14,$F$20,I$2,I$1,$C56) -_xll.DBRW(Server&amp;Cube1,$F$17,$F$18,$F$19,$F$16,$C$14,$F$15,$F$14,$F$20,K$2,I$1,$C56)</f>
        <v>#VALUE!</v>
      </c>
      <c r="L56" s="221" t="e">
        <f t="shared" ca="1" si="2"/>
        <v>#VALUE!</v>
      </c>
      <c r="M56" s="221" t="e">
        <f t="shared" ca="1" si="1"/>
        <v>#VALUE!</v>
      </c>
      <c r="N56" s="226"/>
      <c r="O56" s="221" t="str">
        <f ca="1">_xll.DBRW(Server&amp;Cube1,$F$17,$F$18,$F$19,$F$16,$C$14,$F$15,$F$14,$F$20,O$2,O$1,$C56)</f>
        <v/>
      </c>
      <c r="P56" s="226"/>
      <c r="Q56" s="240" t="str">
        <f ca="1">IF(_xll.ELCOMPN(Server&amp;$C$24,C56)=0,"YES","NO")</f>
        <v>YES</v>
      </c>
      <c r="R56" s="241">
        <v>0</v>
      </c>
      <c r="S56" s="226"/>
      <c r="T56" s="227" t="str">
        <f ca="1">_xll.DBRW(Server&amp;Cube1,$F$17,$F$18,$F$19,$F$16,$C$14,$F$15,$F$14,$F$20,T$2,$T$1,$C56)</f>
        <v/>
      </c>
      <c r="U56" s="227" t="str">
        <f ca="1">_xll.DBRW(Server&amp;Cube1,$F$17,$F$18,$F$19,$F$16,$C$14,$F$15,$F$14,$F$20,U$2,$U$1,$C56)</f>
        <v/>
      </c>
      <c r="V56" s="227" t="str">
        <f ca="1">_xll.DBRW(Server&amp;Cube1,$F$17,$F$18,$F$19,$F$16,$C$14,$F$15,$F$14,$F$20,V$2,V$1,$C56)</f>
        <v/>
      </c>
      <c r="W56" s="227" t="str">
        <f ca="1">_xll.DBRW(Server&amp;Cube1,$F$17,$F$18,$F$19,$F$16,$C$14,$F$15,$F$14,$F$20,W$2,W$1,$C56)</f>
        <v/>
      </c>
      <c r="X56" s="227" t="str">
        <f ca="1">_xll.DBRW(Server&amp;Cube1,$F$17,$F$18,$F$19,$F$16,$C$14,$F$15,$F$14,$F$20,X$2,X$1,$C56)</f>
        <v/>
      </c>
      <c r="Y56" s="227" t="str">
        <f ca="1">_xll.DBRW(Server&amp;Cube1,$F$17,$F$18,$F$19,$F$16,$C$14,$F$15,$F$14,$F$20,Y$2,Y$1,$C56)</f>
        <v/>
      </c>
      <c r="Z56" s="241"/>
      <c r="AA56" s="241"/>
      <c r="AB56" s="241"/>
      <c r="AC56" s="241"/>
      <c r="AD56" s="241"/>
      <c r="AE56" s="241"/>
      <c r="AF56" s="221" t="str">
        <f ca="1">_xll.DBRW(Server&amp;Cube1,$F$17,$F$18,$F$19,$F$16,$C$14,$F$15,$F$14,$F$20,AF$2,$AF$1,$C56)</f>
        <v/>
      </c>
      <c r="AG56" s="53"/>
      <c r="AH56" s="53"/>
      <c r="AI56" s="53"/>
      <c r="AJ56" s="53"/>
      <c r="AK56" s="53"/>
      <c r="AL56" s="53"/>
      <c r="AM56" s="53"/>
      <c r="AN56" s="53"/>
      <c r="AO56" s="53"/>
      <c r="AP56" s="62"/>
      <c r="AQ56" s="53"/>
      <c r="AR56" s="266"/>
      <c r="AS56" s="166">
        <v>4520</v>
      </c>
      <c r="AT56" s="174" t="s">
        <v>493</v>
      </c>
      <c r="AU56" s="53"/>
      <c r="AV56" s="53"/>
      <c r="AW56" s="53"/>
      <c r="AX56" s="53"/>
      <c r="AY56" s="53"/>
      <c r="AZ56" s="53"/>
      <c r="BA56" s="53"/>
    </row>
    <row r="57" spans="1:53" s="9" customFormat="1" ht="24.75" customHeight="1" thickBot="1" x14ac:dyDescent="0.4">
      <c r="A57" s="181" t="e">
        <f ca="1">IF($AT$35="YES",1,IF(_xll.ELCOMPN(Server&amp;$C$24,C57)&lt;&gt;0,1,IF(OR(B57=$AZ$35,B57="ALL"),1,0)))</f>
        <v>#VALUE!</v>
      </c>
      <c r="B57" s="163" t="str">
        <f t="shared" si="3"/>
        <v>LE</v>
      </c>
      <c r="C57" s="158" t="s">
        <v>166</v>
      </c>
      <c r="E57" s="268" t="str">
        <f ca="1">_xll.DBRA(Server&amp;$C$24,$C57,$F$21)</f>
        <v>Fournitures de bureau et autres consommables (JU)</v>
      </c>
      <c r="F57" s="268"/>
      <c r="G57" s="268"/>
      <c r="H57" s="40"/>
      <c r="I57" s="221" t="str">
        <f ca="1">_xll.DBRW(Server&amp;Cube1,$F$17,$F$18,$F$19,$F$16,$C$14,$F$15,$F$14,$F$20,I$2,I$1,$C57)</f>
        <v/>
      </c>
      <c r="J57" s="221" t="str">
        <f ca="1">_xll.DBRW(Server&amp;Cube1,$F$17,$F$18,$F$19,$F$16,$C$14,$F$15,$F$14,$F$20,J$2,J$1,$C57)</f>
        <v/>
      </c>
      <c r="K57" s="221" t="e">
        <f ca="1">_xll.DBRW(Server&amp;Cube1,$F$17,$F$18,$F$19,$F$16,$C$14,$F$15,$F$14,$F$20,I$2,I$1,$C57) -_xll.DBRW(Server&amp;Cube1,$F$17,$F$18,$F$19,$F$16,$C$14,$F$15,$F$14,$F$20,K$2,I$1,$C57)</f>
        <v>#VALUE!</v>
      </c>
      <c r="L57" s="221" t="e">
        <f t="shared" ca="1" si="2"/>
        <v>#VALUE!</v>
      </c>
      <c r="M57" s="221" t="e">
        <f t="shared" ca="1" si="1"/>
        <v>#VALUE!</v>
      </c>
      <c r="N57" s="226"/>
      <c r="O57" s="221" t="str">
        <f ca="1">_xll.DBRW(Server&amp;Cube1,$F$17,$F$18,$F$19,$F$16,$C$14,$F$15,$F$14,$F$20,O$2,O$1,$C57)</f>
        <v/>
      </c>
      <c r="P57" s="226"/>
      <c r="Q57" s="240" t="str">
        <f ca="1">IF(_xll.ELCOMPN(Server&amp;$C$24,C57)=0,"YES","NO")</f>
        <v>YES</v>
      </c>
      <c r="R57" s="241">
        <v>0</v>
      </c>
      <c r="S57" s="226"/>
      <c r="T57" s="227" t="str">
        <f ca="1">_xll.DBRW(Server&amp;Cube1,$F$17,$F$18,$F$19,$F$16,$C$14,$F$15,$F$14,$F$20,T$2,$T$1,$C57)</f>
        <v/>
      </c>
      <c r="U57" s="227" t="str">
        <f ca="1">_xll.DBRW(Server&amp;Cube1,$F$17,$F$18,$F$19,$F$16,$C$14,$F$15,$F$14,$F$20,U$2,$U$1,$C57)</f>
        <v/>
      </c>
      <c r="V57" s="227" t="str">
        <f ca="1">_xll.DBRW(Server&amp;Cube1,$F$17,$F$18,$F$19,$F$16,$C$14,$F$15,$F$14,$F$20,V$2,V$1,$C57)</f>
        <v/>
      </c>
      <c r="W57" s="227" t="str">
        <f ca="1">_xll.DBRW(Server&amp;Cube1,$F$17,$F$18,$F$19,$F$16,$C$14,$F$15,$F$14,$F$20,W$2,W$1,$C57)</f>
        <v/>
      </c>
      <c r="X57" s="227" t="str">
        <f ca="1">_xll.DBRW(Server&amp;Cube1,$F$17,$F$18,$F$19,$F$16,$C$14,$F$15,$F$14,$F$20,X$2,X$1,$C57)</f>
        <v/>
      </c>
      <c r="Y57" s="227" t="str">
        <f ca="1">_xll.DBRW(Server&amp;Cube1,$F$17,$F$18,$F$19,$F$16,$C$14,$F$15,$F$14,$F$20,Y$2,Y$1,$C57)</f>
        <v/>
      </c>
      <c r="Z57" s="241"/>
      <c r="AA57" s="241"/>
      <c r="AB57" s="241"/>
      <c r="AC57" s="241"/>
      <c r="AD57" s="241"/>
      <c r="AE57" s="241"/>
      <c r="AF57" s="221" t="str">
        <f ca="1">_xll.DBRW(Server&amp;Cube1,$F$17,$F$18,$F$19,$F$16,$C$14,$F$15,$F$14,$F$20,AF$2,$AF$1,$C57)</f>
        <v/>
      </c>
      <c r="AG57" s="53"/>
      <c r="AH57" s="53"/>
      <c r="AI57" s="53"/>
      <c r="AJ57" s="53"/>
      <c r="AK57" s="53"/>
      <c r="AL57" s="53"/>
      <c r="AM57" s="53"/>
      <c r="AN57" s="53"/>
      <c r="AO57" s="53"/>
      <c r="AP57" s="62"/>
      <c r="AQ57" s="53"/>
      <c r="AR57" s="266"/>
      <c r="AS57" s="177">
        <v>4530</v>
      </c>
      <c r="AT57" s="174" t="s">
        <v>493</v>
      </c>
      <c r="AU57" s="53"/>
      <c r="AV57" s="53"/>
      <c r="AW57" s="53"/>
      <c r="AX57" s="53"/>
      <c r="AY57" s="53"/>
      <c r="AZ57" s="53"/>
      <c r="BA57" s="53"/>
    </row>
    <row r="58" spans="1:53" s="9" customFormat="1" ht="24.75" customHeight="1" thickBot="1" x14ac:dyDescent="0.4">
      <c r="A58" s="181" t="e">
        <f ca="1">IF($AT$35="YES",1,IF(_xll.ELCOMPN(Server&amp;$C$24,C58)&lt;&gt;0,1,IF(OR(B58=$AZ$35,B58="ALL"),1,0)))</f>
        <v>#VALUE!</v>
      </c>
      <c r="B58" s="163" t="str">
        <f t="shared" si="3"/>
        <v>RM</v>
      </c>
      <c r="C58" s="158" t="s">
        <v>167</v>
      </c>
      <c r="E58" s="268" t="str">
        <f ca="1">_xll.DBRA(Server&amp;$C$24,$C58,$F$21)</f>
        <v>Fournitures de bureau et autres consommables (GR)</v>
      </c>
      <c r="F58" s="268"/>
      <c r="G58" s="268"/>
      <c r="H58" s="40"/>
      <c r="I58" s="221" t="str">
        <f ca="1">_xll.DBRW(Server&amp;Cube1,$F$17,$F$18,$F$19,$F$16,$C$14,$F$15,$F$14,$F$20,I$2,I$1,$C58)</f>
        <v/>
      </c>
      <c r="J58" s="221" t="str">
        <f ca="1">_xll.DBRW(Server&amp;Cube1,$F$17,$F$18,$F$19,$F$16,$C$14,$F$15,$F$14,$F$20,J$2,J$1,$C58)</f>
        <v/>
      </c>
      <c r="K58" s="221" t="e">
        <f ca="1">_xll.DBRW(Server&amp;Cube1,$F$17,$F$18,$F$19,$F$16,$C$14,$F$15,$F$14,$F$20,I$2,I$1,$C58) -_xll.DBRW(Server&amp;Cube1,$F$17,$F$18,$F$19,$F$16,$C$14,$F$15,$F$14,$F$20,K$2,I$1,$C58)</f>
        <v>#VALUE!</v>
      </c>
      <c r="L58" s="221" t="e">
        <f t="shared" ca="1" si="2"/>
        <v>#VALUE!</v>
      </c>
      <c r="M58" s="221" t="e">
        <f t="shared" ca="1" si="1"/>
        <v>#VALUE!</v>
      </c>
      <c r="N58" s="226"/>
      <c r="O58" s="221" t="str">
        <f ca="1">_xll.DBRW(Server&amp;Cube1,$F$17,$F$18,$F$19,$F$16,$C$14,$F$15,$F$14,$F$20,O$2,O$1,$C58)</f>
        <v/>
      </c>
      <c r="P58" s="226"/>
      <c r="Q58" s="240" t="str">
        <f ca="1">IF(_xll.ELCOMPN(Server&amp;$C$24,C58)=0,"YES","NO")</f>
        <v>YES</v>
      </c>
      <c r="R58" s="241">
        <v>0</v>
      </c>
      <c r="S58" s="226"/>
      <c r="T58" s="227" t="str">
        <f ca="1">_xll.DBRW(Server&amp;Cube1,$F$17,$F$18,$F$19,$F$16,$C$14,$F$15,$F$14,$F$20,T$2,$T$1,$C58)</f>
        <v/>
      </c>
      <c r="U58" s="227" t="str">
        <f ca="1">_xll.DBRW(Server&amp;Cube1,$F$17,$F$18,$F$19,$F$16,$C$14,$F$15,$F$14,$F$20,U$2,$U$1,$C58)</f>
        <v/>
      </c>
      <c r="V58" s="227" t="str">
        <f ca="1">_xll.DBRW(Server&amp;Cube1,$F$17,$F$18,$F$19,$F$16,$C$14,$F$15,$F$14,$F$20,V$2,V$1,$C58)</f>
        <v/>
      </c>
      <c r="W58" s="227" t="str">
        <f ca="1">_xll.DBRW(Server&amp;Cube1,$F$17,$F$18,$F$19,$F$16,$C$14,$F$15,$F$14,$F$20,W$2,W$1,$C58)</f>
        <v/>
      </c>
      <c r="X58" s="227" t="str">
        <f ca="1">_xll.DBRW(Server&amp;Cube1,$F$17,$F$18,$F$19,$F$16,$C$14,$F$15,$F$14,$F$20,X$2,X$1,$C58)</f>
        <v/>
      </c>
      <c r="Y58" s="227" t="str">
        <f ca="1">_xll.DBRW(Server&amp;Cube1,$F$17,$F$18,$F$19,$F$16,$C$14,$F$15,$F$14,$F$20,Y$2,Y$1,$C58)</f>
        <v/>
      </c>
      <c r="Z58" s="241"/>
      <c r="AA58" s="241"/>
      <c r="AB58" s="241"/>
      <c r="AC58" s="241"/>
      <c r="AD58" s="241"/>
      <c r="AE58" s="241"/>
      <c r="AF58" s="221" t="str">
        <f ca="1">_xll.DBRW(Server&amp;Cube1,$F$17,$F$18,$F$19,$F$16,$C$14,$F$15,$F$14,$F$20,AF$2,$AF$1,$C58)</f>
        <v/>
      </c>
      <c r="AG58" s="53"/>
      <c r="AH58" s="53"/>
      <c r="AI58" s="53"/>
      <c r="AJ58" s="53"/>
      <c r="AK58" s="53"/>
      <c r="AL58" s="53"/>
      <c r="AM58" s="53"/>
      <c r="AN58" s="53"/>
      <c r="AO58" s="53"/>
      <c r="AP58" s="62"/>
      <c r="AQ58" s="53"/>
      <c r="AR58" s="180" t="s">
        <v>471</v>
      </c>
      <c r="AS58" s="179">
        <v>4330</v>
      </c>
      <c r="AT58" s="178" t="s">
        <v>495</v>
      </c>
      <c r="AU58" s="53"/>
      <c r="AV58" s="53"/>
      <c r="AW58" s="53"/>
      <c r="AX58" s="53"/>
      <c r="AY58" s="53"/>
      <c r="AZ58" s="53"/>
      <c r="BA58" s="53"/>
    </row>
    <row r="59" spans="1:53" s="9" customFormat="1" ht="24.75" customHeight="1" thickBot="1" x14ac:dyDescent="0.4">
      <c r="A59" s="181" t="e">
        <f ca="1">IF($AT$35="YES",1,IF(_xll.ELCOMPN(Server&amp;$C$24,C59)&lt;&gt;0,1,IF(OR(B59=$AZ$35,B59="ALL"),1,0)))</f>
        <v>#VALUE!</v>
      </c>
      <c r="B59" s="163" t="str">
        <f t="shared" si="3"/>
        <v>PU</v>
      </c>
      <c r="C59" s="158" t="s">
        <v>168</v>
      </c>
      <c r="E59" s="268" t="str">
        <f ca="1">_xll.DBRA(Server&amp;$C$24,$C59,$F$21)</f>
        <v>Fournitures de bureau et autres consommables (AC)</v>
      </c>
      <c r="F59" s="268"/>
      <c r="G59" s="268"/>
      <c r="H59" s="40"/>
      <c r="I59" s="221" t="str">
        <f ca="1">_xll.DBRW(Server&amp;Cube1,$F$17,$F$18,$F$19,$F$16,$C$14,$F$15,$F$14,$F$20,I$2,I$1,$C59)</f>
        <v/>
      </c>
      <c r="J59" s="221" t="str">
        <f ca="1">_xll.DBRW(Server&amp;Cube1,$F$17,$F$18,$F$19,$F$16,$C$14,$F$15,$F$14,$F$20,J$2,J$1,$C59)</f>
        <v/>
      </c>
      <c r="K59" s="221" t="e">
        <f ca="1">_xll.DBRW(Server&amp;Cube1,$F$17,$F$18,$F$19,$F$16,$C$14,$F$15,$F$14,$F$20,I$2,I$1,$C59) -_xll.DBRW(Server&amp;Cube1,$F$17,$F$18,$F$19,$F$16,$C$14,$F$15,$F$14,$F$20,K$2,I$1,$C59)</f>
        <v>#VALUE!</v>
      </c>
      <c r="L59" s="221" t="e">
        <f t="shared" ca="1" si="2"/>
        <v>#VALUE!</v>
      </c>
      <c r="M59" s="221" t="e">
        <f t="shared" ca="1" si="1"/>
        <v>#VALUE!</v>
      </c>
      <c r="N59" s="226"/>
      <c r="O59" s="221" t="str">
        <f ca="1">_xll.DBRW(Server&amp;Cube1,$F$17,$F$18,$F$19,$F$16,$C$14,$F$15,$F$14,$F$20,O$2,O$1,$C59)</f>
        <v/>
      </c>
      <c r="P59" s="226"/>
      <c r="Q59" s="240" t="str">
        <f ca="1">IF(_xll.ELCOMPN(Server&amp;$C$24,C59)=0,"YES","NO")</f>
        <v>YES</v>
      </c>
      <c r="R59" s="241">
        <v>0</v>
      </c>
      <c r="S59" s="226"/>
      <c r="T59" s="227" t="str">
        <f ca="1">_xll.DBRW(Server&amp;Cube1,$F$17,$F$18,$F$19,$F$16,$C$14,$F$15,$F$14,$F$20,T$2,$T$1,$C59)</f>
        <v/>
      </c>
      <c r="U59" s="227" t="str">
        <f ca="1">_xll.DBRW(Server&amp;Cube1,$F$17,$F$18,$F$19,$F$16,$C$14,$F$15,$F$14,$F$20,U$2,$U$1,$C59)</f>
        <v/>
      </c>
      <c r="V59" s="227" t="str">
        <f ca="1">_xll.DBRW(Server&amp;Cube1,$F$17,$F$18,$F$19,$F$16,$C$14,$F$15,$F$14,$F$20,V$2,V$1,$C59)</f>
        <v/>
      </c>
      <c r="W59" s="227" t="str">
        <f ca="1">_xll.DBRW(Server&amp;Cube1,$F$17,$F$18,$F$19,$F$16,$C$14,$F$15,$F$14,$F$20,W$2,W$1,$C59)</f>
        <v/>
      </c>
      <c r="X59" s="227" t="str">
        <f ca="1">_xll.DBRW(Server&amp;Cube1,$F$17,$F$18,$F$19,$F$16,$C$14,$F$15,$F$14,$F$20,X$2,X$1,$C59)</f>
        <v/>
      </c>
      <c r="Y59" s="227" t="str">
        <f ca="1">_xll.DBRW(Server&amp;Cube1,$F$17,$F$18,$F$19,$F$16,$C$14,$F$15,$F$14,$F$20,Y$2,Y$1,$C59)</f>
        <v/>
      </c>
      <c r="Z59" s="241"/>
      <c r="AA59" s="241"/>
      <c r="AB59" s="241"/>
      <c r="AC59" s="241"/>
      <c r="AD59" s="241"/>
      <c r="AE59" s="241"/>
      <c r="AF59" s="221" t="str">
        <f ca="1">_xll.DBRW(Server&amp;Cube1,$F$17,$F$18,$F$19,$F$16,$C$14,$F$15,$F$14,$F$20,AF$2,$AF$1,$C59)</f>
        <v/>
      </c>
      <c r="AG59" s="53"/>
      <c r="AH59" s="53"/>
      <c r="AI59" s="53"/>
      <c r="AJ59" s="53"/>
      <c r="AK59" s="53"/>
      <c r="AL59" s="53"/>
      <c r="AM59" s="53"/>
      <c r="AN59" s="53"/>
      <c r="AO59" s="53"/>
      <c r="AP59" s="62"/>
      <c r="AQ59" s="53"/>
      <c r="AR59" s="180" t="s">
        <v>472</v>
      </c>
      <c r="AS59" s="179">
        <v>4310</v>
      </c>
      <c r="AT59" s="178" t="s">
        <v>472</v>
      </c>
      <c r="AU59" s="53"/>
      <c r="AV59" s="53"/>
      <c r="AW59" s="53"/>
      <c r="AX59" s="53"/>
      <c r="AY59" s="53"/>
      <c r="AZ59" s="53"/>
      <c r="BA59" s="53"/>
    </row>
    <row r="60" spans="1:53" s="9" customFormat="1" ht="24.75" customHeight="1" x14ac:dyDescent="0.35">
      <c r="A60" s="181" t="e">
        <f ca="1">IF($AT$35="YES",1,IF(_xll.ELCOMPN(Server&amp;$C$24,C60)&lt;&gt;0,1,IF(OR(B60=$AZ$35,B60="ALL"),1,0)))</f>
        <v>#VALUE!</v>
      </c>
      <c r="B60" s="163" t="str">
        <f t="shared" si="3"/>
        <v>CO</v>
      </c>
      <c r="C60" s="158" t="s">
        <v>169</v>
      </c>
      <c r="E60" s="268" t="str">
        <f ca="1">_xll.DBRA(Server&amp;$C$24,$C60,$F$21)</f>
        <v>Fournitures de bureau et autres consommables (CO)</v>
      </c>
      <c r="F60" s="268"/>
      <c r="G60" s="268"/>
      <c r="H60" s="40"/>
      <c r="I60" s="221" t="str">
        <f ca="1">_xll.DBRW(Server&amp;Cube1,$F$17,$F$18,$F$19,$F$16,$C$14,$F$15,$F$14,$F$20,I$2,I$1,$C60)</f>
        <v/>
      </c>
      <c r="J60" s="221" t="str">
        <f ca="1">_xll.DBRW(Server&amp;Cube1,$F$17,$F$18,$F$19,$F$16,$C$14,$F$15,$F$14,$F$20,J$2,J$1,$C60)</f>
        <v/>
      </c>
      <c r="K60" s="221" t="e">
        <f ca="1">_xll.DBRW(Server&amp;Cube1,$F$17,$F$18,$F$19,$F$16,$C$14,$F$15,$F$14,$F$20,I$2,I$1,$C60) -_xll.DBRW(Server&amp;Cube1,$F$17,$F$18,$F$19,$F$16,$C$14,$F$15,$F$14,$F$20,K$2,I$1,$C60)</f>
        <v>#VALUE!</v>
      </c>
      <c r="L60" s="221" t="e">
        <f t="shared" ca="1" si="2"/>
        <v>#VALUE!</v>
      </c>
      <c r="M60" s="221" t="e">
        <f t="shared" ca="1" si="1"/>
        <v>#VALUE!</v>
      </c>
      <c r="N60" s="226"/>
      <c r="O60" s="221" t="str">
        <f ca="1">_xll.DBRW(Server&amp;Cube1,$F$17,$F$18,$F$19,$F$16,$C$14,$F$15,$F$14,$F$20,O$2,O$1,$C60)</f>
        <v/>
      </c>
      <c r="P60" s="226"/>
      <c r="Q60" s="240" t="str">
        <f ca="1">IF(_xll.ELCOMPN(Server&amp;$C$24,C60)=0,"YES","NO")</f>
        <v>YES</v>
      </c>
      <c r="R60" s="241">
        <v>0</v>
      </c>
      <c r="S60" s="226"/>
      <c r="T60" s="227" t="str">
        <f ca="1">_xll.DBRW(Server&amp;Cube1,$F$17,$F$18,$F$19,$F$16,$C$14,$F$15,$F$14,$F$20,T$2,$T$1,$C60)</f>
        <v/>
      </c>
      <c r="U60" s="227" t="str">
        <f ca="1">_xll.DBRW(Server&amp;Cube1,$F$17,$F$18,$F$19,$F$16,$C$14,$F$15,$F$14,$F$20,U$2,$U$1,$C60)</f>
        <v/>
      </c>
      <c r="V60" s="227" t="str">
        <f ca="1">_xll.DBRW(Server&amp;Cube1,$F$17,$F$18,$F$19,$F$16,$C$14,$F$15,$F$14,$F$20,V$2,V$1,$C60)</f>
        <v/>
      </c>
      <c r="W60" s="227" t="str">
        <f ca="1">_xll.DBRW(Server&amp;Cube1,$F$17,$F$18,$F$19,$F$16,$C$14,$F$15,$F$14,$F$20,W$2,W$1,$C60)</f>
        <v/>
      </c>
      <c r="X60" s="227" t="str">
        <f ca="1">_xll.DBRW(Server&amp;Cube1,$F$17,$F$18,$F$19,$F$16,$C$14,$F$15,$F$14,$F$20,X$2,X$1,$C60)</f>
        <v/>
      </c>
      <c r="Y60" s="227" t="str">
        <f ca="1">_xll.DBRW(Server&amp;Cube1,$F$17,$F$18,$F$19,$F$16,$C$14,$F$15,$F$14,$F$20,Y$2,Y$1,$C60)</f>
        <v/>
      </c>
      <c r="Z60" s="241"/>
      <c r="AA60" s="241"/>
      <c r="AB60" s="241"/>
      <c r="AC60" s="241"/>
      <c r="AD60" s="241"/>
      <c r="AE60" s="241"/>
      <c r="AF60" s="221" t="str">
        <f ca="1">_xll.DBRW(Server&amp;Cube1,$F$17,$F$18,$F$19,$F$16,$C$14,$F$15,$F$14,$F$20,AF$2,$AF$1,$C60)</f>
        <v/>
      </c>
      <c r="AG60" s="53"/>
      <c r="AH60" s="53"/>
      <c r="AI60" s="53"/>
      <c r="AJ60" s="53"/>
      <c r="AK60" s="53"/>
      <c r="AL60" s="53"/>
      <c r="AM60" s="53"/>
      <c r="AN60" s="53"/>
      <c r="AO60" s="53"/>
      <c r="AP60" s="62"/>
      <c r="AQ60" s="53"/>
      <c r="AR60" s="255" t="s">
        <v>473</v>
      </c>
      <c r="AS60" s="168">
        <v>4340</v>
      </c>
      <c r="AT60" s="175" t="s">
        <v>494</v>
      </c>
      <c r="AU60" s="53"/>
      <c r="AV60" s="53"/>
      <c r="AW60" s="53"/>
      <c r="AX60" s="53"/>
      <c r="AY60" s="53"/>
      <c r="AZ60" s="53"/>
      <c r="BA60" s="53"/>
    </row>
    <row r="61" spans="1:53" s="9" customFormat="1" ht="24.75" customHeight="1" thickBot="1" x14ac:dyDescent="0.4">
      <c r="A61" s="181" t="e">
        <f ca="1">IF($AT$35="YES",1,IF(_xll.ELCOMPN(Server&amp;$C$24,C61)&lt;&gt;0,1,IF(OR(B61=$AZ$35,B61="ALL"),1,0)))</f>
        <v>#VALUE!</v>
      </c>
      <c r="B61" s="163" t="str">
        <f t="shared" si="3"/>
        <v>GS</v>
      </c>
      <c r="C61" s="158" t="s">
        <v>170</v>
      </c>
      <c r="E61" s="268" t="str">
        <f ca="1">_xll.DBRA(Server&amp;$C$24,$C61,$F$21)</f>
        <v>Fournitures de bureau et autres consommables (SG)</v>
      </c>
      <c r="F61" s="268"/>
      <c r="G61" s="268"/>
      <c r="H61" s="40"/>
      <c r="I61" s="221" t="str">
        <f ca="1">_xll.DBRW(Server&amp;Cube1,$F$17,$F$18,$F$19,$F$16,$C$14,$F$15,$F$14,$F$20,I$2,I$1,$C61)</f>
        <v/>
      </c>
      <c r="J61" s="221" t="str">
        <f ca="1">_xll.DBRW(Server&amp;Cube1,$F$17,$F$18,$F$19,$F$16,$C$14,$F$15,$F$14,$F$20,J$2,J$1,$C61)</f>
        <v/>
      </c>
      <c r="K61" s="221" t="e">
        <f ca="1">_xll.DBRW(Server&amp;Cube1,$F$17,$F$18,$F$19,$F$16,$C$14,$F$15,$F$14,$F$20,I$2,I$1,$C61) -_xll.DBRW(Server&amp;Cube1,$F$17,$F$18,$F$19,$F$16,$C$14,$F$15,$F$14,$F$20,K$2,I$1,$C61)</f>
        <v>#VALUE!</v>
      </c>
      <c r="L61" s="221" t="e">
        <f t="shared" ca="1" si="2"/>
        <v>#VALUE!</v>
      </c>
      <c r="M61" s="221" t="e">
        <f t="shared" ca="1" si="1"/>
        <v>#VALUE!</v>
      </c>
      <c r="N61" s="226"/>
      <c r="O61" s="221" t="str">
        <f ca="1">_xll.DBRW(Server&amp;Cube1,$F$17,$F$18,$F$19,$F$16,$C$14,$F$15,$F$14,$F$20,O$2,O$1,$C61)</f>
        <v/>
      </c>
      <c r="P61" s="226"/>
      <c r="Q61" s="240" t="str">
        <f ca="1">IF(_xll.ELCOMPN(Server&amp;$C$24,C61)=0,"YES","NO")</f>
        <v>YES</v>
      </c>
      <c r="R61" s="241">
        <v>0</v>
      </c>
      <c r="S61" s="226"/>
      <c r="T61" s="227" t="str">
        <f ca="1">_xll.DBRW(Server&amp;Cube1,$F$17,$F$18,$F$19,$F$16,$C$14,$F$15,$F$14,$F$20,T$2,$T$1,$C61)</f>
        <v/>
      </c>
      <c r="U61" s="227" t="str">
        <f ca="1">_xll.DBRW(Server&amp;Cube1,$F$17,$F$18,$F$19,$F$16,$C$14,$F$15,$F$14,$F$20,U$2,$U$1,$C61)</f>
        <v/>
      </c>
      <c r="V61" s="227" t="str">
        <f ca="1">_xll.DBRW(Server&amp;Cube1,$F$17,$F$18,$F$19,$F$16,$C$14,$F$15,$F$14,$F$20,V$2,V$1,$C61)</f>
        <v/>
      </c>
      <c r="W61" s="227" t="str">
        <f ca="1">_xll.DBRW(Server&amp;Cube1,$F$17,$F$18,$F$19,$F$16,$C$14,$F$15,$F$14,$F$20,W$2,W$1,$C61)</f>
        <v/>
      </c>
      <c r="X61" s="227" t="str">
        <f ca="1">_xll.DBRW(Server&amp;Cube1,$F$17,$F$18,$F$19,$F$16,$C$14,$F$15,$F$14,$F$20,X$2,X$1,$C61)</f>
        <v/>
      </c>
      <c r="Y61" s="227" t="str">
        <f ca="1">_xll.DBRW(Server&amp;Cube1,$F$17,$F$18,$F$19,$F$16,$C$14,$F$15,$F$14,$F$20,Y$2,Y$1,$C61)</f>
        <v/>
      </c>
      <c r="Z61" s="241"/>
      <c r="AA61" s="241"/>
      <c r="AB61" s="241"/>
      <c r="AC61" s="241"/>
      <c r="AD61" s="241"/>
      <c r="AE61" s="241"/>
      <c r="AF61" s="221" t="str">
        <f ca="1">_xll.DBRW(Server&amp;Cube1,$F$17,$F$18,$F$19,$F$16,$C$14,$F$15,$F$14,$F$20,AF$2,$AF$1,$C61)</f>
        <v/>
      </c>
      <c r="AG61" s="53"/>
      <c r="AH61" s="53"/>
      <c r="AI61" s="53"/>
      <c r="AJ61" s="53"/>
      <c r="AK61" s="53"/>
      <c r="AL61" s="53"/>
      <c r="AM61" s="53"/>
      <c r="AN61" s="53"/>
      <c r="AO61" s="53"/>
      <c r="AP61" s="62"/>
      <c r="AQ61" s="53"/>
      <c r="AR61" s="256"/>
      <c r="AS61" s="170">
        <v>4320</v>
      </c>
      <c r="AT61" s="176" t="s">
        <v>494</v>
      </c>
      <c r="AU61" s="53"/>
      <c r="AV61" s="53"/>
      <c r="AW61" s="53"/>
      <c r="AX61" s="53"/>
      <c r="AY61" s="53"/>
      <c r="AZ61" s="53"/>
      <c r="BA61" s="53"/>
    </row>
    <row r="62" spans="1:53" s="9" customFormat="1" ht="24.75" customHeight="1" x14ac:dyDescent="0.35">
      <c r="A62" s="181" t="e">
        <f ca="1">IF($AT$35="YES",1,IF(_xll.ELCOMPN(Server&amp;$C$24,C62)&lt;&gt;0,1,IF(OR(B62=$AZ$35,B62="ALL"),1,0)))</f>
        <v>#VALUE!</v>
      </c>
      <c r="B62" s="163" t="str">
        <f t="shared" si="3"/>
        <v>RD</v>
      </c>
      <c r="C62" s="158" t="s">
        <v>171</v>
      </c>
      <c r="E62" s="268" t="str">
        <f ca="1">_xll.DBRA(Server&amp;$C$24,$C62,$F$21)</f>
        <v>Fournitures de bureau et autres consommables (RD)</v>
      </c>
      <c r="F62" s="268"/>
      <c r="G62" s="268"/>
      <c r="H62" s="40"/>
      <c r="I62" s="221" t="str">
        <f ca="1">_xll.DBRW(Server&amp;Cube1,$F$17,$F$18,$F$19,$F$16,$C$14,$F$15,$F$14,$F$20,I$2,I$1,$C62)</f>
        <v/>
      </c>
      <c r="J62" s="221" t="str">
        <f ca="1">_xll.DBRW(Server&amp;Cube1,$F$17,$F$18,$F$19,$F$16,$C$14,$F$15,$F$14,$F$20,J$2,J$1,$C62)</f>
        <v/>
      </c>
      <c r="K62" s="221" t="e">
        <f ca="1">_xll.DBRW(Server&amp;Cube1,$F$17,$F$18,$F$19,$F$16,$C$14,$F$15,$F$14,$F$20,I$2,I$1,$C62) -_xll.DBRW(Server&amp;Cube1,$F$17,$F$18,$F$19,$F$16,$C$14,$F$15,$F$14,$F$20,K$2,I$1,$C62)</f>
        <v>#VALUE!</v>
      </c>
      <c r="L62" s="221" t="e">
        <f t="shared" ca="1" si="2"/>
        <v>#VALUE!</v>
      </c>
      <c r="M62" s="221" t="e">
        <f t="shared" ca="1" si="1"/>
        <v>#VALUE!</v>
      </c>
      <c r="N62" s="226"/>
      <c r="O62" s="221" t="str">
        <f ca="1">_xll.DBRW(Server&amp;Cube1,$F$17,$F$18,$F$19,$F$16,$C$14,$F$15,$F$14,$F$20,O$2,O$1,$C62)</f>
        <v/>
      </c>
      <c r="P62" s="226"/>
      <c r="Q62" s="240" t="str">
        <f ca="1">IF(_xll.ELCOMPN(Server&amp;$C$24,C62)=0,"YES","NO")</f>
        <v>YES</v>
      </c>
      <c r="R62" s="241">
        <v>0</v>
      </c>
      <c r="S62" s="226"/>
      <c r="T62" s="227" t="str">
        <f ca="1">_xll.DBRW(Server&amp;Cube1,$F$17,$F$18,$F$19,$F$16,$C$14,$F$15,$F$14,$F$20,T$2,$T$1,$C62)</f>
        <v/>
      </c>
      <c r="U62" s="227" t="str">
        <f ca="1">_xll.DBRW(Server&amp;Cube1,$F$17,$F$18,$F$19,$F$16,$C$14,$F$15,$F$14,$F$20,U$2,$U$1,$C62)</f>
        <v/>
      </c>
      <c r="V62" s="227" t="str">
        <f ca="1">_xll.DBRW(Server&amp;Cube1,$F$17,$F$18,$F$19,$F$16,$C$14,$F$15,$F$14,$F$20,V$2,V$1,$C62)</f>
        <v/>
      </c>
      <c r="W62" s="227" t="str">
        <f ca="1">_xll.DBRW(Server&amp;Cube1,$F$17,$F$18,$F$19,$F$16,$C$14,$F$15,$F$14,$F$20,W$2,W$1,$C62)</f>
        <v/>
      </c>
      <c r="X62" s="227" t="str">
        <f ca="1">_xll.DBRW(Server&amp;Cube1,$F$17,$F$18,$F$19,$F$16,$C$14,$F$15,$F$14,$F$20,X$2,X$1,$C62)</f>
        <v/>
      </c>
      <c r="Y62" s="227" t="str">
        <f ca="1">_xll.DBRW(Server&amp;Cube1,$F$17,$F$18,$F$19,$F$16,$C$14,$F$15,$F$14,$F$20,Y$2,Y$1,$C62)</f>
        <v/>
      </c>
      <c r="Z62" s="241"/>
      <c r="AA62" s="241"/>
      <c r="AB62" s="241"/>
      <c r="AC62" s="241"/>
      <c r="AD62" s="241"/>
      <c r="AE62" s="241"/>
      <c r="AF62" s="221" t="str">
        <f ca="1">_xll.DBRW(Server&amp;Cube1,$F$17,$F$18,$F$19,$F$16,$C$14,$F$15,$F$14,$F$20,AF$2,$AF$1,$C62)</f>
        <v/>
      </c>
      <c r="AG62" s="53"/>
      <c r="AH62" s="53"/>
      <c r="AI62" s="53"/>
      <c r="AJ62" s="53"/>
      <c r="AK62" s="53"/>
      <c r="AL62" s="53"/>
      <c r="AM62" s="53"/>
      <c r="AN62" s="53"/>
      <c r="AO62" s="53"/>
      <c r="AP62" s="62"/>
      <c r="AQ62" s="53"/>
      <c r="AR62" s="255" t="s">
        <v>474</v>
      </c>
      <c r="AS62" s="168">
        <v>4350</v>
      </c>
      <c r="AT62" s="175" t="s">
        <v>496</v>
      </c>
      <c r="AU62" s="53"/>
      <c r="AV62" s="53"/>
      <c r="AW62" s="53"/>
      <c r="AX62" s="53"/>
      <c r="AY62" s="53"/>
      <c r="AZ62" s="53"/>
      <c r="BA62" s="53"/>
    </row>
    <row r="63" spans="1:53" s="9" customFormat="1" ht="24.95" customHeight="1" collapsed="1" x14ac:dyDescent="0.35">
      <c r="A63" s="181">
        <f ca="1">IF($AT$35="YES",1,IF(_xll.ELCOMPN(Server&amp;$C$24,C63)&lt;&gt;0,1,IF(OR(B63=$AZ$35,B63="ALL"),1,0)))</f>
        <v>1</v>
      </c>
      <c r="B63" s="163" t="str">
        <f t="shared" si="3"/>
        <v>en</v>
      </c>
      <c r="C63" s="117" t="s">
        <v>89</v>
      </c>
      <c r="E63" s="270" t="str">
        <f ca="1">_xll.DBRA(Server&amp;$C$24,$C63,$F$21)</f>
        <v>Location et entretien de matériel de bureau et informatique</v>
      </c>
      <c r="F63" s="270"/>
      <c r="G63" s="270"/>
      <c r="H63" s="40"/>
      <c r="I63" s="221" t="str">
        <f ca="1">_xll.DBRW(Server&amp;Cube1,$F$17,$F$18,$F$19,$F$16,$C$14,$F$15,$F$14,$F$20,I$2,I$1,$C63)</f>
        <v/>
      </c>
      <c r="J63" s="221" t="str">
        <f ca="1">_xll.DBRW(Server&amp;Cube1,$F$17,$F$18,$F$19,$F$16,$C$14,$F$15,$F$14,$F$20,J$2,J$1,$C63)</f>
        <v/>
      </c>
      <c r="K63" s="221" t="e">
        <f ca="1">_xll.DBRW(Server&amp;Cube1,$F$17,$F$18,$F$19,$F$16,$C$14,$F$15,$F$14,$F$20,I$2,I$1,$C63) -_xll.DBRW(Server&amp;Cube1,$F$17,$F$18,$F$19,$F$16,$C$14,$F$15,$F$14,$F$20,K$2,I$1,$C63)</f>
        <v>#VALUE!</v>
      </c>
      <c r="L63" s="221" t="e">
        <f t="shared" ca="1" si="2"/>
        <v>#VALUE!</v>
      </c>
      <c r="M63" s="221" t="e">
        <f t="shared" ca="1" si="1"/>
        <v>#VALUE!</v>
      </c>
      <c r="N63" s="229"/>
      <c r="O63" s="229" t="str">
        <f ca="1">_xll.DBRW(Server&amp;Cube1,$F$17,$F$18,$F$19,$F$16,$C$14,$F$15,$F$14,$F$20,O$2,O$1,$C63)</f>
        <v/>
      </c>
      <c r="P63" s="229"/>
      <c r="Q63" s="240" t="str">
        <f ca="1">IF(_xll.ELCOMPN(Server&amp;$C$24,C63)=0,"YES","NO")</f>
        <v>NO</v>
      </c>
      <c r="R63" s="229"/>
      <c r="S63" s="229"/>
      <c r="T63" s="230" t="str">
        <f ca="1">_xll.DBRW(Server&amp;Cube1,$F$17,$F$18,$F$19,$F$16,$C$14,$F$15,$F$14,$F$20,T$2,$T$1,$C63)</f>
        <v/>
      </c>
      <c r="U63" s="230" t="str">
        <f ca="1">_xll.DBRW(Server&amp;Cube1,$F$17,$F$18,$F$19,$F$16,$C$14,$F$15,$F$14,$F$20,U$2,$U$1,$C63)</f>
        <v/>
      </c>
      <c r="V63" s="230" t="str">
        <f ca="1">_xll.DBRW(Server&amp;Cube1,$F$17,$F$18,$F$19,$F$16,$C$14,$F$15,$F$14,$F$20,V$2,V$1,$C63)</f>
        <v/>
      </c>
      <c r="W63" s="230" t="str">
        <f ca="1">_xll.DBRW(Server&amp;Cube1,$F$17,$F$18,$F$19,$F$16,$C$14,$F$15,$F$14,$F$20,W$2,W$1,$C63)</f>
        <v/>
      </c>
      <c r="X63" s="229" t="str">
        <f ca="1">_xll.DBRW(Server&amp;Cube1,$F$17,$F$18,$F$19,$F$16,$C$14,$F$15,$F$14,$F$20,X$2,X$1,$C63)</f>
        <v/>
      </c>
      <c r="Y63" s="229" t="str">
        <f ca="1">_xll.DBRW(Server&amp;Cube1,$F$17,$F$18,$F$19,$F$16,$C$14,$F$15,$F$14,$F$20,Y$2,Y$1,$C63)</f>
        <v/>
      </c>
      <c r="Z63" s="229" t="str">
        <f ca="1">_xll.DBRW(Server&amp;Cube1,$F$17,$F$18,$F$19,$F$16,$C$14,$F$15,$F$14,$F$20,Z$2,Z$1,$C63)</f>
        <v/>
      </c>
      <c r="AA63" s="229" t="str">
        <f ca="1">_xll.DBRW(Server&amp;Cube1,$F$17,$F$18,$F$19,$F$16,$C$14,$F$15,$F$14,$F$20,AA$2,AA$1,$C63)</f>
        <v/>
      </c>
      <c r="AB63" s="229" t="str">
        <f ca="1">_xll.DBRW(Server&amp;Cube1,$F$17,$F$18,$F$19,$F$16,$C$14,$F$15,$F$14,$F$20,AB$2,AB$1,$C63)</f>
        <v/>
      </c>
      <c r="AC63" s="229" t="str">
        <f ca="1">_xll.DBRW(Server&amp;Cube1,$F$17,$F$18,$F$19,$F$16,$C$14,$F$15,$F$14,$F$20,AC$2,AC$1,$C63)</f>
        <v/>
      </c>
      <c r="AD63" s="229" t="str">
        <f ca="1">_xll.DBRW(Server&amp;Cube1,$F$17,$F$18,$F$19,$F$16,$C$14,$F$15,$F$14,$F$20,AD$2,AD$1,$C63)</f>
        <v/>
      </c>
      <c r="AE63" s="229" t="str">
        <f ca="1">_xll.DBRW(Server&amp;Cube1,$F$17,$F$18,$F$19,$F$16,$C$14,$F$15,$F$14,$F$20,AE$2,AE$1,$C63)</f>
        <v/>
      </c>
      <c r="AF63" s="229" t="str">
        <f ca="1">_xll.DBRW(Server&amp;Cube1,$F$17,$F$18,$F$19,$F$16,$C$14,$F$15,$F$14,$F$20,AF$2,$AF$1,$C63)</f>
        <v/>
      </c>
      <c r="AG63" s="23"/>
      <c r="AH63" s="23"/>
      <c r="AI63" s="23"/>
      <c r="AJ63" s="23"/>
      <c r="AK63" s="23"/>
      <c r="AL63" s="23"/>
      <c r="AM63" s="23"/>
      <c r="AN63" s="23"/>
      <c r="AO63" s="23"/>
      <c r="AQ63" s="23"/>
      <c r="AR63" s="257"/>
      <c r="AS63" s="169">
        <v>5000</v>
      </c>
      <c r="AT63" s="174" t="s">
        <v>496</v>
      </c>
      <c r="AU63" s="53"/>
      <c r="AV63" s="53"/>
      <c r="AW63" s="53"/>
      <c r="AX63" s="53"/>
      <c r="AY63" s="53"/>
      <c r="AZ63" s="53"/>
      <c r="BA63" s="53"/>
    </row>
    <row r="64" spans="1:53" s="9" customFormat="1" ht="24.95" customHeight="1" x14ac:dyDescent="0.35">
      <c r="A64" s="181" t="e">
        <f ca="1">IF($AT$35="YES",1,IF(_xll.ELCOMPN(Server&amp;$C$24,C64)&lt;&gt;0,1,IF(OR(B64=$AZ$35,B64="ALL"),1,0)))</f>
        <v>#VALUE!</v>
      </c>
      <c r="B64" s="190" t="str">
        <f t="shared" si="3"/>
        <v>DS</v>
      </c>
      <c r="C64" s="158" t="s">
        <v>172</v>
      </c>
      <c r="E64" s="268" t="str">
        <f ca="1">_xll.DBRA(Server&amp;$C$24,$C64,$F$21)</f>
        <v>Location et entretien de matériel de bureau et informatique (SO)</v>
      </c>
      <c r="F64" s="268"/>
      <c r="G64" s="268"/>
      <c r="H64" s="40"/>
      <c r="I64" s="221" t="str">
        <f ca="1">_xll.DBRW(Server&amp;Cube1,$F$17,$F$18,$F$19,$F$16,$C$14,$F$15,$F$14,$F$20,I$2,I$1,$C64)</f>
        <v/>
      </c>
      <c r="J64" s="221" t="str">
        <f ca="1">_xll.DBRW(Server&amp;Cube1,$F$17,$F$18,$F$19,$F$16,$C$14,$F$15,$F$14,$F$20,J$2,J$1,$C64)</f>
        <v/>
      </c>
      <c r="K64" s="221" t="e">
        <f ca="1">_xll.DBRW(Server&amp;Cube1,$F$17,$F$18,$F$19,$F$16,$C$14,$F$15,$F$14,$F$20,I$2,I$1,$C64) -_xll.DBRW(Server&amp;Cube1,$F$17,$F$18,$F$19,$F$16,$C$14,$F$15,$F$14,$F$20,K$2,I$1,$C64)</f>
        <v>#VALUE!</v>
      </c>
      <c r="L64" s="221" t="e">
        <f t="shared" ca="1" si="2"/>
        <v>#VALUE!</v>
      </c>
      <c r="M64" s="221" t="e">
        <f t="shared" ca="1" si="1"/>
        <v>#VALUE!</v>
      </c>
      <c r="N64" s="226"/>
      <c r="O64" s="221" t="str">
        <f ca="1">_xll.DBRW(Server&amp;Cube1,$F$17,$F$18,$F$19,$F$16,$C$14,$F$15,$F$14,$F$20,O$2,O$1,$C64)</f>
        <v/>
      </c>
      <c r="P64" s="226"/>
      <c r="Q64" s="240" t="str">
        <f ca="1">IF(_xll.ELCOMPN(Server&amp;$C$24,C64)=0,"YES","NO")</f>
        <v>YES</v>
      </c>
      <c r="R64" s="241">
        <v>0</v>
      </c>
      <c r="S64" s="226"/>
      <c r="T64" s="227" t="str">
        <f ca="1">_xll.DBRW(Server&amp;Cube1,$F$17,$F$18,$F$19,$F$16,$C$14,$F$15,$F$14,$F$20,T$2,$T$1,$C64)</f>
        <v/>
      </c>
      <c r="U64" s="227" t="str">
        <f ca="1">_xll.DBRW(Server&amp;Cube1,$F$17,$F$18,$F$19,$F$16,$C$14,$F$15,$F$14,$F$20,U$2,$U$1,$C64)</f>
        <v/>
      </c>
      <c r="V64" s="227" t="str">
        <f ca="1">_xll.DBRW(Server&amp;Cube1,$F$17,$F$18,$F$19,$F$16,$C$14,$F$15,$F$14,$F$20,V$2,V$1,$C64)</f>
        <v/>
      </c>
      <c r="W64" s="227" t="str">
        <f ca="1">_xll.DBRW(Server&amp;Cube1,$F$17,$F$18,$F$19,$F$16,$C$14,$F$15,$F$14,$F$20,W$2,W$1,$C64)</f>
        <v/>
      </c>
      <c r="X64" s="227" t="str">
        <f ca="1">_xll.DBRW(Server&amp;Cube1,$F$17,$F$18,$F$19,$F$16,$C$14,$F$15,$F$14,$F$20,X$2,X$1,$C64)</f>
        <v/>
      </c>
      <c r="Y64" s="227" t="str">
        <f ca="1">_xll.DBRW(Server&amp;Cube1,$F$17,$F$18,$F$19,$F$16,$C$14,$F$15,$F$14,$F$20,Y$2,Y$1,$C64)</f>
        <v/>
      </c>
      <c r="Z64" s="241"/>
      <c r="AA64" s="241"/>
      <c r="AB64" s="241"/>
      <c r="AC64" s="241"/>
      <c r="AD64" s="241"/>
      <c r="AE64" s="241"/>
      <c r="AF64" s="221" t="str">
        <f ca="1">_xll.DBRW(Server&amp;Cube1,$F$17,$F$18,$F$19,$F$16,$C$14,$F$15,$F$14,$F$20,AF$2,$AF$1,$C64)</f>
        <v/>
      </c>
      <c r="AG64" s="53"/>
      <c r="AH64" s="53"/>
      <c r="AI64" s="53"/>
      <c r="AJ64" s="53"/>
      <c r="AK64" s="53"/>
      <c r="AL64" s="53"/>
      <c r="AM64" s="53"/>
      <c r="AN64" s="53"/>
      <c r="AO64" s="53"/>
      <c r="AP64" s="62"/>
      <c r="AQ64" s="53"/>
      <c r="AR64" s="257"/>
      <c r="AS64" s="169">
        <v>5010</v>
      </c>
      <c r="AT64" s="174" t="s">
        <v>496</v>
      </c>
      <c r="AU64" s="53"/>
      <c r="AV64" s="53"/>
      <c r="AW64" s="53"/>
      <c r="AX64" s="53"/>
      <c r="AY64" s="53"/>
      <c r="AZ64" s="53"/>
      <c r="BA64" s="53"/>
    </row>
    <row r="65" spans="1:57" s="9" customFormat="1" ht="24.95" customHeight="1" x14ac:dyDescent="0.35">
      <c r="A65" s="181" t="e">
        <f ca="1">IF($AT$35="YES",1,IF(_xll.ELCOMPN(Server&amp;$C$24,C65)&lt;&gt;0,1,IF(OR(B65=$AZ$35,B65="ALL"),1,0)))</f>
        <v>#VALUE!</v>
      </c>
      <c r="B65" s="190" t="str">
        <f t="shared" si="3"/>
        <v>BD</v>
      </c>
      <c r="C65" s="158" t="s">
        <v>173</v>
      </c>
      <c r="E65" s="268" t="str">
        <f ca="1">_xll.DBRA(Server&amp;$C$24,$C65,$F$21)</f>
        <v>Location et entretien de matériel de bureau et informatique (DC)</v>
      </c>
      <c r="F65" s="268"/>
      <c r="G65" s="268"/>
      <c r="H65" s="40"/>
      <c r="I65" s="221" t="str">
        <f ca="1">_xll.DBRW(Server&amp;Cube1,$F$17,$F$18,$F$19,$F$16,$C$14,$F$15,$F$14,$F$20,I$2,I$1,$C65)</f>
        <v/>
      </c>
      <c r="J65" s="221" t="str">
        <f ca="1">_xll.DBRW(Server&amp;Cube1,$F$17,$F$18,$F$19,$F$16,$C$14,$F$15,$F$14,$F$20,J$2,J$1,$C65)</f>
        <v/>
      </c>
      <c r="K65" s="221" t="e">
        <f ca="1">_xll.DBRW(Server&amp;Cube1,$F$17,$F$18,$F$19,$F$16,$C$14,$F$15,$F$14,$F$20,I$2,I$1,$C65) -_xll.DBRW(Server&amp;Cube1,$F$17,$F$18,$F$19,$F$16,$C$14,$F$15,$F$14,$F$20,K$2,I$1,$C65)</f>
        <v>#VALUE!</v>
      </c>
      <c r="L65" s="221" t="e">
        <f t="shared" ca="1" si="2"/>
        <v>#VALUE!</v>
      </c>
      <c r="M65" s="221" t="e">
        <f t="shared" ca="1" si="1"/>
        <v>#VALUE!</v>
      </c>
      <c r="N65" s="226"/>
      <c r="O65" s="221" t="str">
        <f ca="1">_xll.DBRW(Server&amp;Cube1,$F$17,$F$18,$F$19,$F$16,$C$14,$F$15,$F$14,$F$20,O$2,O$1,$C65)</f>
        <v/>
      </c>
      <c r="P65" s="226"/>
      <c r="Q65" s="240" t="str">
        <f ca="1">IF(_xll.ELCOMPN(Server&amp;$C$24,C65)=0,"YES","NO")</f>
        <v>YES</v>
      </c>
      <c r="R65" s="241">
        <v>0</v>
      </c>
      <c r="S65" s="226"/>
      <c r="T65" s="227" t="str">
        <f ca="1">_xll.DBRW(Server&amp;Cube1,$F$17,$F$18,$F$19,$F$16,$C$14,$F$15,$F$14,$F$20,T$2,$T$1,$C65)</f>
        <v/>
      </c>
      <c r="U65" s="227" t="str">
        <f ca="1">_xll.DBRW(Server&amp;Cube1,$F$17,$F$18,$F$19,$F$16,$C$14,$F$15,$F$14,$F$20,U$2,$U$1,$C65)</f>
        <v/>
      </c>
      <c r="V65" s="227" t="str">
        <f ca="1">_xll.DBRW(Server&amp;Cube1,$F$17,$F$18,$F$19,$F$16,$C$14,$F$15,$F$14,$F$20,V$2,V$1,$C65)</f>
        <v/>
      </c>
      <c r="W65" s="227" t="str">
        <f ca="1">_xll.DBRW(Server&amp;Cube1,$F$17,$F$18,$F$19,$F$16,$C$14,$F$15,$F$14,$F$20,W$2,W$1,$C65)</f>
        <v/>
      </c>
      <c r="X65" s="227" t="str">
        <f ca="1">_xll.DBRW(Server&amp;Cube1,$F$17,$F$18,$F$19,$F$16,$C$14,$F$15,$F$14,$F$20,X$2,X$1,$C65)</f>
        <v/>
      </c>
      <c r="Y65" s="227" t="str">
        <f ca="1">_xll.DBRW(Server&amp;Cube1,$F$17,$F$18,$F$19,$F$16,$C$14,$F$15,$F$14,$F$20,Y$2,Y$1,$C65)</f>
        <v/>
      </c>
      <c r="Z65" s="241"/>
      <c r="AA65" s="241"/>
      <c r="AB65" s="241"/>
      <c r="AC65" s="241"/>
      <c r="AD65" s="241"/>
      <c r="AE65" s="241"/>
      <c r="AF65" s="221" t="str">
        <f ca="1">_xll.DBRW(Server&amp;Cube1,$F$17,$F$18,$F$19,$F$16,$C$14,$F$15,$F$14,$F$20,AF$2,$AF$1,$C65)</f>
        <v/>
      </c>
      <c r="AG65" s="53"/>
      <c r="AH65" s="53"/>
      <c r="AI65" s="53"/>
      <c r="AJ65" s="53"/>
      <c r="AK65" s="53"/>
      <c r="AL65" s="53"/>
      <c r="AM65" s="53"/>
      <c r="AN65" s="53"/>
      <c r="AO65" s="53"/>
      <c r="AP65" s="62"/>
      <c r="AQ65" s="53"/>
      <c r="AR65" s="257"/>
      <c r="AS65" s="169">
        <v>5020</v>
      </c>
      <c r="AT65" s="174" t="s">
        <v>496</v>
      </c>
      <c r="AU65" s="53"/>
      <c r="AV65" s="53"/>
      <c r="AW65" s="53"/>
      <c r="AX65" s="53"/>
      <c r="AY65" s="53"/>
      <c r="AZ65" s="53"/>
      <c r="BA65" s="53"/>
    </row>
    <row r="66" spans="1:57" s="9" customFormat="1" ht="24.95" customHeight="1" thickBot="1" x14ac:dyDescent="0.4">
      <c r="A66" s="181" t="e">
        <f ca="1">IF($AT$35="YES",1,IF(_xll.ELCOMPN(Server&amp;$C$24,C66)&lt;&gt;0,1,IF(OR(B66=$AZ$35,B66="ALL"),1,0)))</f>
        <v>#VALUE!</v>
      </c>
      <c r="B66" s="190" t="str">
        <f t="shared" si="3"/>
        <v>FI</v>
      </c>
      <c r="C66" s="158" t="s">
        <v>174</v>
      </c>
      <c r="E66" s="268" t="str">
        <f ca="1">_xll.DBRA(Server&amp;$C$24,$C66,$F$21)</f>
        <v>Location et entretien de matériel de bureau et informatique (DF)</v>
      </c>
      <c r="F66" s="268"/>
      <c r="G66" s="268"/>
      <c r="H66" s="40"/>
      <c r="I66" s="221" t="str">
        <f ca="1">_xll.DBRW(Server&amp;Cube1,$F$17,$F$18,$F$19,$F$16,$C$14,$F$15,$F$14,$F$20,I$2,I$1,$C66)</f>
        <v/>
      </c>
      <c r="J66" s="221" t="str">
        <f ca="1">_xll.DBRW(Server&amp;Cube1,$F$17,$F$18,$F$19,$F$16,$C$14,$F$15,$F$14,$F$20,J$2,J$1,$C66)</f>
        <v/>
      </c>
      <c r="K66" s="221" t="e">
        <f ca="1">_xll.DBRW(Server&amp;Cube1,$F$17,$F$18,$F$19,$F$16,$C$14,$F$15,$F$14,$F$20,I$2,I$1,$C66) -_xll.DBRW(Server&amp;Cube1,$F$17,$F$18,$F$19,$F$16,$C$14,$F$15,$F$14,$F$20,K$2,I$1,$C66)</f>
        <v>#VALUE!</v>
      </c>
      <c r="L66" s="221" t="e">
        <f t="shared" ca="1" si="2"/>
        <v>#VALUE!</v>
      </c>
      <c r="M66" s="221" t="e">
        <f t="shared" ca="1" si="1"/>
        <v>#VALUE!</v>
      </c>
      <c r="N66" s="226"/>
      <c r="O66" s="221" t="str">
        <f ca="1">_xll.DBRW(Server&amp;Cube1,$F$17,$F$18,$F$19,$F$16,$C$14,$F$15,$F$14,$F$20,O$2,O$1,$C66)</f>
        <v/>
      </c>
      <c r="P66" s="226"/>
      <c r="Q66" s="240" t="str">
        <f ca="1">IF(_xll.ELCOMPN(Server&amp;$C$24,C66)=0,"YES","NO")</f>
        <v>YES</v>
      </c>
      <c r="R66" s="241">
        <v>0</v>
      </c>
      <c r="S66" s="226"/>
      <c r="T66" s="227" t="str">
        <f ca="1">_xll.DBRW(Server&amp;Cube1,$F$17,$F$18,$F$19,$F$16,$C$14,$F$15,$F$14,$F$20,T$2,$T$1,$C66)</f>
        <v/>
      </c>
      <c r="U66" s="227" t="str">
        <f ca="1">_xll.DBRW(Server&amp;Cube1,$F$17,$F$18,$F$19,$F$16,$C$14,$F$15,$F$14,$F$20,U$2,$U$1,$C66)</f>
        <v/>
      </c>
      <c r="V66" s="227" t="str">
        <f ca="1">_xll.DBRW(Server&amp;Cube1,$F$17,$F$18,$F$19,$F$16,$C$14,$F$15,$F$14,$F$20,V$2,V$1,$C66)</f>
        <v/>
      </c>
      <c r="W66" s="227" t="str">
        <f ca="1">_xll.DBRW(Server&amp;Cube1,$F$17,$F$18,$F$19,$F$16,$C$14,$F$15,$F$14,$F$20,W$2,W$1,$C66)</f>
        <v/>
      </c>
      <c r="X66" s="227" t="str">
        <f ca="1">_xll.DBRW(Server&amp;Cube1,$F$17,$F$18,$F$19,$F$16,$C$14,$F$15,$F$14,$F$20,X$2,X$1,$C66)</f>
        <v/>
      </c>
      <c r="Y66" s="227" t="str">
        <f ca="1">_xll.DBRW(Server&amp;Cube1,$F$17,$F$18,$F$19,$F$16,$C$14,$F$15,$F$14,$F$20,Y$2,Y$1,$C66)</f>
        <v/>
      </c>
      <c r="Z66" s="241"/>
      <c r="AA66" s="241"/>
      <c r="AB66" s="241"/>
      <c r="AC66" s="241"/>
      <c r="AD66" s="241"/>
      <c r="AE66" s="241"/>
      <c r="AF66" s="221" t="str">
        <f ca="1">_xll.DBRW(Server&amp;Cube1,$F$17,$F$18,$F$19,$F$16,$C$14,$F$15,$F$14,$F$20,AF$2,$AF$1,$C66)</f>
        <v/>
      </c>
      <c r="AG66" s="53"/>
      <c r="AH66" s="53"/>
      <c r="AI66" s="53"/>
      <c r="AJ66" s="53"/>
      <c r="AK66" s="53"/>
      <c r="AL66" s="53"/>
      <c r="AM66" s="53"/>
      <c r="AN66" s="53"/>
      <c r="AO66" s="53"/>
      <c r="AP66" s="62"/>
      <c r="AQ66" s="53"/>
      <c r="AR66" s="256"/>
      <c r="AS66" s="170">
        <v>5100</v>
      </c>
      <c r="AT66" s="176" t="s">
        <v>496</v>
      </c>
      <c r="AU66" s="53"/>
      <c r="AV66" s="53"/>
      <c r="AW66" s="53"/>
      <c r="AX66" s="53"/>
      <c r="AY66" s="53"/>
      <c r="AZ66" s="53"/>
      <c r="BA66" s="53"/>
    </row>
    <row r="67" spans="1:57" s="9" customFormat="1" ht="24.95" customHeight="1" thickBot="1" x14ac:dyDescent="0.4">
      <c r="A67" s="181" t="e">
        <f ca="1">IF($AT$35="YES",1,IF(_xll.ELCOMPN(Server&amp;$C$24,C67)&lt;&gt;0,1,IF(OR(B67=$AZ$35,B67="ALL"),1,0)))</f>
        <v>#VALUE!</v>
      </c>
      <c r="B67" s="190" t="str">
        <f t="shared" si="3"/>
        <v>IT</v>
      </c>
      <c r="C67" s="158" t="s">
        <v>175</v>
      </c>
      <c r="E67" s="268" t="str">
        <f ca="1">_xll.DBRA(Server&amp;$C$24,$C67,$F$21)</f>
        <v>Location et entretien de matériel de bureau et informatique (IT)</v>
      </c>
      <c r="F67" s="268"/>
      <c r="G67" s="268"/>
      <c r="H67" s="40"/>
      <c r="I67" s="221" t="str">
        <f ca="1">_xll.DBRW(Server&amp;Cube1,$F$17,$F$18,$F$19,$F$16,$C$14,$F$15,$F$14,$F$20,I$2,I$1,$C67)</f>
        <v/>
      </c>
      <c r="J67" s="221" t="str">
        <f ca="1">_xll.DBRW(Server&amp;Cube1,$F$17,$F$18,$F$19,$F$16,$C$14,$F$15,$F$14,$F$20,J$2,J$1,$C67)</f>
        <v/>
      </c>
      <c r="K67" s="221" t="e">
        <f ca="1">_xll.DBRW(Server&amp;Cube1,$F$17,$F$18,$F$19,$F$16,$C$14,$F$15,$F$14,$F$20,I$2,I$1,$C67) -_xll.DBRW(Server&amp;Cube1,$F$17,$F$18,$F$19,$F$16,$C$14,$F$15,$F$14,$F$20,K$2,I$1,$C67)</f>
        <v>#VALUE!</v>
      </c>
      <c r="L67" s="221" t="e">
        <f t="shared" ca="1" si="2"/>
        <v>#VALUE!</v>
      </c>
      <c r="M67" s="221" t="e">
        <f t="shared" ca="1" si="1"/>
        <v>#VALUE!</v>
      </c>
      <c r="N67" s="226"/>
      <c r="O67" s="221" t="str">
        <f ca="1">_xll.DBRW(Server&amp;Cube1,$F$17,$F$18,$F$19,$F$16,$C$14,$F$15,$F$14,$F$20,O$2,O$1,$C67)</f>
        <v/>
      </c>
      <c r="P67" s="226"/>
      <c r="Q67" s="240" t="str">
        <f ca="1">IF(_xll.ELCOMPN(Server&amp;$C$24,C67)=0,"YES","NO")</f>
        <v>YES</v>
      </c>
      <c r="R67" s="241">
        <v>0</v>
      </c>
      <c r="S67" s="226"/>
      <c r="T67" s="227" t="str">
        <f ca="1">_xll.DBRW(Server&amp;Cube1,$F$17,$F$18,$F$19,$F$16,$C$14,$F$15,$F$14,$F$20,T$2,$T$1,$C67)</f>
        <v/>
      </c>
      <c r="U67" s="227" t="str">
        <f ca="1">_xll.DBRW(Server&amp;Cube1,$F$17,$F$18,$F$19,$F$16,$C$14,$F$15,$F$14,$F$20,U$2,$U$1,$C67)</f>
        <v/>
      </c>
      <c r="V67" s="227" t="str">
        <f ca="1">_xll.DBRW(Server&amp;Cube1,$F$17,$F$18,$F$19,$F$16,$C$14,$F$15,$F$14,$F$20,V$2,V$1,$C67)</f>
        <v/>
      </c>
      <c r="W67" s="227" t="str">
        <f ca="1">_xll.DBRW(Server&amp;Cube1,$F$17,$F$18,$F$19,$F$16,$C$14,$F$15,$F$14,$F$20,W$2,W$1,$C67)</f>
        <v/>
      </c>
      <c r="X67" s="227" t="str">
        <f ca="1">_xll.DBRW(Server&amp;Cube1,$F$17,$F$18,$F$19,$F$16,$C$14,$F$15,$F$14,$F$20,X$2,X$1,$C67)</f>
        <v/>
      </c>
      <c r="Y67" s="227" t="str">
        <f ca="1">_xll.DBRW(Server&amp;Cube1,$F$17,$F$18,$F$19,$F$16,$C$14,$F$15,$F$14,$F$20,Y$2,Y$1,$C67)</f>
        <v/>
      </c>
      <c r="Z67" s="241"/>
      <c r="AA67" s="241"/>
      <c r="AB67" s="241"/>
      <c r="AC67" s="241"/>
      <c r="AD67" s="241"/>
      <c r="AE67" s="241"/>
      <c r="AF67" s="221" t="str">
        <f ca="1">_xll.DBRW(Server&amp;Cube1,$F$17,$F$18,$F$19,$F$16,$C$14,$F$15,$F$14,$F$20,AF$2,$AF$1,$C67)</f>
        <v/>
      </c>
      <c r="AG67" s="53"/>
      <c r="AH67" s="53"/>
      <c r="AI67" s="53"/>
      <c r="AJ67" s="53"/>
      <c r="AK67" s="53"/>
      <c r="AL67" s="53"/>
      <c r="AM67" s="53"/>
      <c r="AN67" s="53"/>
      <c r="AO67" s="53"/>
      <c r="AP67" s="62"/>
      <c r="AQ67" s="53"/>
      <c r="AR67" s="184" t="s">
        <v>475</v>
      </c>
      <c r="AS67" s="185">
        <v>4020</v>
      </c>
      <c r="AT67" s="178" t="s">
        <v>492</v>
      </c>
      <c r="AU67" s="53"/>
      <c r="AV67" s="53"/>
      <c r="AW67" s="53"/>
      <c r="AX67" s="53"/>
      <c r="AY67" s="53"/>
      <c r="AZ67" s="53"/>
      <c r="BA67" s="53"/>
    </row>
    <row r="68" spans="1:57" s="9" customFormat="1" ht="24.95" customHeight="1" x14ac:dyDescent="0.35">
      <c r="A68" s="181" t="e">
        <f ca="1">IF($AT$35="YES",1,IF(_xll.ELCOMPN(Server&amp;$C$24,C68)&lt;&gt;0,1,IF(OR(B68=$AZ$35,B68="ALL"),1,0)))</f>
        <v>#VALUE!</v>
      </c>
      <c r="B68" s="190" t="str">
        <f t="shared" si="3"/>
        <v>HR</v>
      </c>
      <c r="C68" s="158" t="s">
        <v>176</v>
      </c>
      <c r="E68" s="268" t="str">
        <f ca="1">_xll.DBRA(Server&amp;$C$24,$C68,$F$21)</f>
        <v>Location et entretien de matériel de bureau et informatique (RH)</v>
      </c>
      <c r="F68" s="268"/>
      <c r="G68" s="268"/>
      <c r="H68" s="40"/>
      <c r="I68" s="221" t="str">
        <f ca="1">_xll.DBRW(Server&amp;Cube1,$F$17,$F$18,$F$19,$F$16,$C$14,$F$15,$F$14,$F$20,I$2,I$1,$C68)</f>
        <v/>
      </c>
      <c r="J68" s="221" t="str">
        <f ca="1">_xll.DBRW(Server&amp;Cube1,$F$17,$F$18,$F$19,$F$16,$C$14,$F$15,$F$14,$F$20,J$2,J$1,$C68)</f>
        <v/>
      </c>
      <c r="K68" s="221" t="e">
        <f ca="1">_xll.DBRW(Server&amp;Cube1,$F$17,$F$18,$F$19,$F$16,$C$14,$F$15,$F$14,$F$20,I$2,I$1,$C68) -_xll.DBRW(Server&amp;Cube1,$F$17,$F$18,$F$19,$F$16,$C$14,$F$15,$F$14,$F$20,K$2,I$1,$C68)</f>
        <v>#VALUE!</v>
      </c>
      <c r="L68" s="221" t="e">
        <f t="shared" ca="1" si="2"/>
        <v>#VALUE!</v>
      </c>
      <c r="M68" s="221" t="e">
        <f t="shared" ca="1" si="1"/>
        <v>#VALUE!</v>
      </c>
      <c r="N68" s="226"/>
      <c r="O68" s="221" t="str">
        <f ca="1">_xll.DBRW(Server&amp;Cube1,$F$17,$F$18,$F$19,$F$16,$C$14,$F$15,$F$14,$F$20,O$2,O$1,$C68)</f>
        <v/>
      </c>
      <c r="P68" s="226"/>
      <c r="Q68" s="240" t="str">
        <f ca="1">IF(_xll.ELCOMPN(Server&amp;$C$24,C68)=0,"YES","NO")</f>
        <v>YES</v>
      </c>
      <c r="R68" s="241">
        <v>0</v>
      </c>
      <c r="S68" s="226"/>
      <c r="T68" s="227" t="str">
        <f ca="1">_xll.DBRW(Server&amp;Cube1,$F$17,$F$18,$F$19,$F$16,$C$14,$F$15,$F$14,$F$20,T$2,$T$1,$C68)</f>
        <v/>
      </c>
      <c r="U68" s="227" t="str">
        <f ca="1">_xll.DBRW(Server&amp;Cube1,$F$17,$F$18,$F$19,$F$16,$C$14,$F$15,$F$14,$F$20,U$2,$U$1,$C68)</f>
        <v/>
      </c>
      <c r="V68" s="227" t="str">
        <f ca="1">_xll.DBRW(Server&amp;Cube1,$F$17,$F$18,$F$19,$F$16,$C$14,$F$15,$F$14,$F$20,V$2,V$1,$C68)</f>
        <v/>
      </c>
      <c r="W68" s="227" t="str">
        <f ca="1">_xll.DBRW(Server&amp;Cube1,$F$17,$F$18,$F$19,$F$16,$C$14,$F$15,$F$14,$F$20,W$2,W$1,$C68)</f>
        <v/>
      </c>
      <c r="X68" s="227" t="str">
        <f ca="1">_xll.DBRW(Server&amp;Cube1,$F$17,$F$18,$F$19,$F$16,$C$14,$F$15,$F$14,$F$20,X$2,X$1,$C68)</f>
        <v/>
      </c>
      <c r="Y68" s="227" t="str">
        <f ca="1">_xll.DBRW(Server&amp;Cube1,$F$17,$F$18,$F$19,$F$16,$C$14,$F$15,$F$14,$F$20,Y$2,Y$1,$C68)</f>
        <v/>
      </c>
      <c r="Z68" s="241"/>
      <c r="AA68" s="241"/>
      <c r="AB68" s="241"/>
      <c r="AC68" s="241"/>
      <c r="AD68" s="241"/>
      <c r="AE68" s="241"/>
      <c r="AF68" s="221" t="str">
        <f ca="1">_xll.DBRW(Server&amp;Cube1,$F$17,$F$18,$F$19,$F$16,$C$14,$F$15,$F$14,$F$20,AF$2,$AF$1,$C68)</f>
        <v/>
      </c>
      <c r="AG68" s="53"/>
      <c r="AH68" s="53"/>
      <c r="AI68" s="53"/>
      <c r="AJ68" s="53"/>
      <c r="AK68" s="53"/>
      <c r="AL68" s="53"/>
      <c r="AM68" s="53"/>
      <c r="AN68" s="53"/>
      <c r="AO68" s="53"/>
      <c r="AP68" s="62"/>
      <c r="AQ68" s="53"/>
      <c r="AR68" s="258" t="s">
        <v>476</v>
      </c>
      <c r="AS68" s="182">
        <v>2000</v>
      </c>
      <c r="AT68" s="175" t="s">
        <v>488</v>
      </c>
      <c r="AU68" s="53"/>
      <c r="AV68" s="53"/>
      <c r="AW68" s="53"/>
      <c r="AX68" s="53"/>
      <c r="AY68" s="53"/>
      <c r="AZ68" s="53"/>
      <c r="BA68" s="53"/>
    </row>
    <row r="69" spans="1:57" s="9" customFormat="1" ht="24.95" customHeight="1" x14ac:dyDescent="0.35">
      <c r="A69" s="181" t="e">
        <f ca="1">IF($AT$35="YES",1,IF(_xll.ELCOMPN(Server&amp;$C$24,C69)&lt;&gt;0,1,IF(OR(B69=$AZ$35,B69="ALL"),1,0)))</f>
        <v>#VALUE!</v>
      </c>
      <c r="B69" s="190" t="str">
        <f t="shared" si="3"/>
        <v>GM</v>
      </c>
      <c r="C69" s="158" t="s">
        <v>177</v>
      </c>
      <c r="E69" s="268" t="str">
        <f ca="1">_xll.DBRA(Server&amp;$C$24,$C69,$F$21)</f>
        <v>Location et entretien de matériel de bureau et informatique (DG)</v>
      </c>
      <c r="F69" s="268"/>
      <c r="G69" s="268"/>
      <c r="H69" s="40"/>
      <c r="I69" s="221" t="str">
        <f ca="1">_xll.DBRW(Server&amp;Cube1,$F$17,$F$18,$F$19,$F$16,$C$14,$F$15,$F$14,$F$20,I$2,I$1,$C69)</f>
        <v/>
      </c>
      <c r="J69" s="221" t="str">
        <f ca="1">_xll.DBRW(Server&amp;Cube1,$F$17,$F$18,$F$19,$F$16,$C$14,$F$15,$F$14,$F$20,J$2,J$1,$C69)</f>
        <v/>
      </c>
      <c r="K69" s="221" t="e">
        <f ca="1">_xll.DBRW(Server&amp;Cube1,$F$17,$F$18,$F$19,$F$16,$C$14,$F$15,$F$14,$F$20,I$2,I$1,$C69) -_xll.DBRW(Server&amp;Cube1,$F$17,$F$18,$F$19,$F$16,$C$14,$F$15,$F$14,$F$20,K$2,I$1,$C69)</f>
        <v>#VALUE!</v>
      </c>
      <c r="L69" s="221" t="e">
        <f t="shared" ca="1" si="2"/>
        <v>#VALUE!</v>
      </c>
      <c r="M69" s="221" t="e">
        <f t="shared" ca="1" si="1"/>
        <v>#VALUE!</v>
      </c>
      <c r="N69" s="226"/>
      <c r="O69" s="221" t="str">
        <f ca="1">_xll.DBRW(Server&amp;Cube1,$F$17,$F$18,$F$19,$F$16,$C$14,$F$15,$F$14,$F$20,O$2,O$1,$C69)</f>
        <v/>
      </c>
      <c r="P69" s="226"/>
      <c r="Q69" s="240" t="str">
        <f ca="1">IF(_xll.ELCOMPN(Server&amp;$C$24,C69)=0,"YES","NO")</f>
        <v>YES</v>
      </c>
      <c r="R69" s="241">
        <v>0</v>
      </c>
      <c r="S69" s="226"/>
      <c r="T69" s="227" t="str">
        <f ca="1">_xll.DBRW(Server&amp;Cube1,$F$17,$F$18,$F$19,$F$16,$C$14,$F$15,$F$14,$F$20,T$2,$T$1,$C69)</f>
        <v/>
      </c>
      <c r="U69" s="227" t="str">
        <f ca="1">_xll.DBRW(Server&amp;Cube1,$F$17,$F$18,$F$19,$F$16,$C$14,$F$15,$F$14,$F$20,U$2,$U$1,$C69)</f>
        <v/>
      </c>
      <c r="V69" s="227" t="str">
        <f ca="1">_xll.DBRW(Server&amp;Cube1,$F$17,$F$18,$F$19,$F$16,$C$14,$F$15,$F$14,$F$20,V$2,V$1,$C69)</f>
        <v/>
      </c>
      <c r="W69" s="227" t="str">
        <f ca="1">_xll.DBRW(Server&amp;Cube1,$F$17,$F$18,$F$19,$F$16,$C$14,$F$15,$F$14,$F$20,W$2,W$1,$C69)</f>
        <v/>
      </c>
      <c r="X69" s="227" t="str">
        <f ca="1">_xll.DBRW(Server&amp;Cube1,$F$17,$F$18,$F$19,$F$16,$C$14,$F$15,$F$14,$F$20,X$2,X$1,$C69)</f>
        <v/>
      </c>
      <c r="Y69" s="227" t="str">
        <f ca="1">_xll.DBRW(Server&amp;Cube1,$F$17,$F$18,$F$19,$F$16,$C$14,$F$15,$F$14,$F$20,Y$2,Y$1,$C69)</f>
        <v/>
      </c>
      <c r="Z69" s="241"/>
      <c r="AA69" s="241"/>
      <c r="AB69" s="241"/>
      <c r="AC69" s="241"/>
      <c r="AD69" s="241"/>
      <c r="AE69" s="241"/>
      <c r="AF69" s="221" t="str">
        <f ca="1">_xll.DBRW(Server&amp;Cube1,$F$17,$F$18,$F$19,$F$16,$C$14,$F$15,$F$14,$F$20,AF$2,$AF$1,$C69)</f>
        <v/>
      </c>
      <c r="AG69" s="53"/>
      <c r="AH69" s="53"/>
      <c r="AI69" s="53"/>
      <c r="AJ69" s="53"/>
      <c r="AK69" s="53"/>
      <c r="AL69" s="53"/>
      <c r="AM69" s="53"/>
      <c r="AN69" s="53"/>
      <c r="AO69" s="53"/>
      <c r="AP69" s="62"/>
      <c r="AQ69" s="53"/>
      <c r="AR69" s="259"/>
      <c r="AS69" s="183">
        <v>2040</v>
      </c>
      <c r="AT69" s="174" t="s">
        <v>488</v>
      </c>
      <c r="AU69" s="53"/>
      <c r="AV69" s="53"/>
      <c r="AW69" s="53"/>
      <c r="AX69" s="53"/>
      <c r="AY69" s="53"/>
      <c r="AZ69" s="53"/>
      <c r="BA69" s="53"/>
    </row>
    <row r="70" spans="1:57" s="9" customFormat="1" ht="24.95" customHeight="1" x14ac:dyDescent="0.35">
      <c r="A70" s="181" t="e">
        <f ca="1">IF($AT$35="YES",1,IF(_xll.ELCOMPN(Server&amp;$C$24,C70)&lt;&gt;0,1,IF(OR(B70=$AZ$35,B70="ALL"),1,0)))</f>
        <v>#VALUE!</v>
      </c>
      <c r="B70" s="190" t="str">
        <f t="shared" si="3"/>
        <v>IA</v>
      </c>
      <c r="C70" s="158" t="s">
        <v>178</v>
      </c>
      <c r="E70" s="268" t="str">
        <f ca="1">_xll.DBRA(Server&amp;$C$24,$C70,$F$21)</f>
        <v>Location et entretien de matériel de bureau et informatique (AI)</v>
      </c>
      <c r="F70" s="268"/>
      <c r="G70" s="268"/>
      <c r="H70" s="40"/>
      <c r="I70" s="221" t="str">
        <f ca="1">_xll.DBRW(Server&amp;Cube1,$F$17,$F$18,$F$19,$F$16,$C$14,$F$15,$F$14,$F$20,I$2,I$1,$C70)</f>
        <v/>
      </c>
      <c r="J70" s="221" t="str">
        <f ca="1">_xll.DBRW(Server&amp;Cube1,$F$17,$F$18,$F$19,$F$16,$C$14,$F$15,$F$14,$F$20,J$2,J$1,$C70)</f>
        <v/>
      </c>
      <c r="K70" s="221" t="e">
        <f ca="1">_xll.DBRW(Server&amp;Cube1,$F$17,$F$18,$F$19,$F$16,$C$14,$F$15,$F$14,$F$20,I$2,I$1,$C70) -_xll.DBRW(Server&amp;Cube1,$F$17,$F$18,$F$19,$F$16,$C$14,$F$15,$F$14,$F$20,K$2,I$1,$C70)</f>
        <v>#VALUE!</v>
      </c>
      <c r="L70" s="221" t="e">
        <f t="shared" ca="1" si="2"/>
        <v>#VALUE!</v>
      </c>
      <c r="M70" s="221" t="e">
        <f t="shared" ca="1" si="1"/>
        <v>#VALUE!</v>
      </c>
      <c r="N70" s="226"/>
      <c r="O70" s="221" t="str">
        <f ca="1">_xll.DBRW(Server&amp;Cube1,$F$17,$F$18,$F$19,$F$16,$C$14,$F$15,$F$14,$F$20,O$2,O$1,$C70)</f>
        <v/>
      </c>
      <c r="P70" s="226"/>
      <c r="Q70" s="240" t="str">
        <f ca="1">IF(_xll.ELCOMPN(Server&amp;$C$24,C70)=0,"YES","NO")</f>
        <v>YES</v>
      </c>
      <c r="R70" s="241">
        <v>0</v>
      </c>
      <c r="S70" s="226"/>
      <c r="T70" s="227" t="str">
        <f ca="1">_xll.DBRW(Server&amp;Cube1,$F$17,$F$18,$F$19,$F$16,$C$14,$F$15,$F$14,$F$20,T$2,$T$1,$C70)</f>
        <v/>
      </c>
      <c r="U70" s="227" t="str">
        <f ca="1">_xll.DBRW(Server&amp;Cube1,$F$17,$F$18,$F$19,$F$16,$C$14,$F$15,$F$14,$F$20,U$2,$U$1,$C70)</f>
        <v/>
      </c>
      <c r="V70" s="227" t="str">
        <f ca="1">_xll.DBRW(Server&amp;Cube1,$F$17,$F$18,$F$19,$F$16,$C$14,$F$15,$F$14,$F$20,V$2,V$1,$C70)</f>
        <v/>
      </c>
      <c r="W70" s="227" t="str">
        <f ca="1">_xll.DBRW(Server&amp;Cube1,$F$17,$F$18,$F$19,$F$16,$C$14,$F$15,$F$14,$F$20,W$2,W$1,$C70)</f>
        <v/>
      </c>
      <c r="X70" s="227" t="str">
        <f ca="1">_xll.DBRW(Server&amp;Cube1,$F$17,$F$18,$F$19,$F$16,$C$14,$F$15,$F$14,$F$20,X$2,X$1,$C70)</f>
        <v/>
      </c>
      <c r="Y70" s="227" t="str">
        <f ca="1">_xll.DBRW(Server&amp;Cube1,$F$17,$F$18,$F$19,$F$16,$C$14,$F$15,$F$14,$F$20,Y$2,Y$1,$C70)</f>
        <v/>
      </c>
      <c r="Z70" s="241"/>
      <c r="AA70" s="241"/>
      <c r="AB70" s="241"/>
      <c r="AC70" s="241"/>
      <c r="AD70" s="241"/>
      <c r="AE70" s="241"/>
      <c r="AF70" s="221" t="str">
        <f ca="1">_xll.DBRW(Server&amp;Cube1,$F$17,$F$18,$F$19,$F$16,$C$14,$F$15,$F$14,$F$20,AF$2,$AF$1,$C70)</f>
        <v/>
      </c>
      <c r="AG70" s="53"/>
      <c r="AH70" s="53"/>
      <c r="AI70" s="53"/>
      <c r="AJ70" s="53"/>
      <c r="AK70" s="53"/>
      <c r="AL70" s="53"/>
      <c r="AM70" s="53"/>
      <c r="AN70" s="53"/>
      <c r="AO70" s="53"/>
      <c r="AP70" s="62"/>
      <c r="AQ70" s="53"/>
      <c r="AR70" s="259"/>
      <c r="AS70" s="183">
        <v>2010</v>
      </c>
      <c r="AT70" s="174" t="s">
        <v>488</v>
      </c>
      <c r="AU70" s="53"/>
      <c r="AV70" s="53"/>
      <c r="AW70" s="53"/>
      <c r="AX70" s="53"/>
      <c r="AY70" s="53"/>
      <c r="AZ70" s="53"/>
      <c r="BA70" s="53"/>
    </row>
    <row r="71" spans="1:57" s="9" customFormat="1" ht="24.95" customHeight="1" x14ac:dyDescent="0.35">
      <c r="A71" s="181" t="e">
        <f ca="1">IF($AT$35="YES",1,IF(_xll.ELCOMPN(Server&amp;$C$24,C71)&lt;&gt;0,1,IF(OR(B71=$AZ$35,B71="ALL"),1,0)))</f>
        <v>#VALUE!</v>
      </c>
      <c r="B71" s="190" t="str">
        <f t="shared" si="3"/>
        <v>LE</v>
      </c>
      <c r="C71" s="158" t="s">
        <v>179</v>
      </c>
      <c r="E71" s="268" t="str">
        <f ca="1">_xll.DBRA(Server&amp;$C$24,$C71,$F$21)</f>
        <v>Location et entretien de matériel de bureau et informatique (JU)</v>
      </c>
      <c r="F71" s="268"/>
      <c r="G71" s="268"/>
      <c r="H71" s="40"/>
      <c r="I71" s="221" t="str">
        <f ca="1">_xll.DBRW(Server&amp;Cube1,$F$17,$F$18,$F$19,$F$16,$C$14,$F$15,$F$14,$F$20,I$2,I$1,$C71)</f>
        <v/>
      </c>
      <c r="J71" s="221" t="str">
        <f ca="1">_xll.DBRW(Server&amp;Cube1,$F$17,$F$18,$F$19,$F$16,$C$14,$F$15,$F$14,$F$20,J$2,J$1,$C71)</f>
        <v/>
      </c>
      <c r="K71" s="221" t="e">
        <f ca="1">_xll.DBRW(Server&amp;Cube1,$F$17,$F$18,$F$19,$F$16,$C$14,$F$15,$F$14,$F$20,I$2,I$1,$C71) -_xll.DBRW(Server&amp;Cube1,$F$17,$F$18,$F$19,$F$16,$C$14,$F$15,$F$14,$F$20,K$2,I$1,$C71)</f>
        <v>#VALUE!</v>
      </c>
      <c r="L71" s="221" t="e">
        <f t="shared" ca="1" si="2"/>
        <v>#VALUE!</v>
      </c>
      <c r="M71" s="221" t="e">
        <f t="shared" ca="1" si="1"/>
        <v>#VALUE!</v>
      </c>
      <c r="N71" s="226"/>
      <c r="O71" s="221" t="str">
        <f ca="1">_xll.DBRW(Server&amp;Cube1,$F$17,$F$18,$F$19,$F$16,$C$14,$F$15,$F$14,$F$20,O$2,O$1,$C71)</f>
        <v/>
      </c>
      <c r="P71" s="226"/>
      <c r="Q71" s="240" t="str">
        <f ca="1">IF(_xll.ELCOMPN(Server&amp;$C$24,C71)=0,"YES","NO")</f>
        <v>YES</v>
      </c>
      <c r="R71" s="241">
        <v>0</v>
      </c>
      <c r="S71" s="226"/>
      <c r="T71" s="227" t="str">
        <f ca="1">_xll.DBRW(Server&amp;Cube1,$F$17,$F$18,$F$19,$F$16,$C$14,$F$15,$F$14,$F$20,T$2,$T$1,$C71)</f>
        <v/>
      </c>
      <c r="U71" s="227" t="str">
        <f ca="1">_xll.DBRW(Server&amp;Cube1,$F$17,$F$18,$F$19,$F$16,$C$14,$F$15,$F$14,$F$20,U$2,$U$1,$C71)</f>
        <v/>
      </c>
      <c r="V71" s="227" t="str">
        <f ca="1">_xll.DBRW(Server&amp;Cube1,$F$17,$F$18,$F$19,$F$16,$C$14,$F$15,$F$14,$F$20,V$2,V$1,$C71)</f>
        <v/>
      </c>
      <c r="W71" s="227" t="str">
        <f ca="1">_xll.DBRW(Server&amp;Cube1,$F$17,$F$18,$F$19,$F$16,$C$14,$F$15,$F$14,$F$20,W$2,W$1,$C71)</f>
        <v/>
      </c>
      <c r="X71" s="227" t="str">
        <f ca="1">_xll.DBRW(Server&amp;Cube1,$F$17,$F$18,$F$19,$F$16,$C$14,$F$15,$F$14,$F$20,X$2,X$1,$C71)</f>
        <v/>
      </c>
      <c r="Y71" s="227" t="str">
        <f ca="1">_xll.DBRW(Server&amp;Cube1,$F$17,$F$18,$F$19,$F$16,$C$14,$F$15,$F$14,$F$20,Y$2,Y$1,$C71)</f>
        <v/>
      </c>
      <c r="Z71" s="241"/>
      <c r="AA71" s="241"/>
      <c r="AB71" s="241"/>
      <c r="AC71" s="241"/>
      <c r="AD71" s="241"/>
      <c r="AE71" s="241"/>
      <c r="AF71" s="221" t="str">
        <f ca="1">_xll.DBRW(Server&amp;Cube1,$F$17,$F$18,$F$19,$F$16,$C$14,$F$15,$F$14,$F$20,AF$2,$AF$1,$C71)</f>
        <v/>
      </c>
      <c r="AG71" s="53"/>
      <c r="AH71" s="53"/>
      <c r="AI71" s="53"/>
      <c r="AJ71" s="53"/>
      <c r="AK71" s="53"/>
      <c r="AL71" s="53"/>
      <c r="AM71" s="53"/>
      <c r="AN71" s="53"/>
      <c r="AO71" s="53"/>
      <c r="AP71" s="62"/>
      <c r="AQ71" s="53"/>
      <c r="AR71" s="259"/>
      <c r="AS71" s="183">
        <v>2020</v>
      </c>
      <c r="AT71" s="174" t="s">
        <v>488</v>
      </c>
      <c r="AU71" s="53"/>
      <c r="AV71" s="53"/>
      <c r="AW71" s="53"/>
      <c r="AX71" s="53"/>
      <c r="AY71" s="53"/>
      <c r="AZ71" s="53"/>
      <c r="BA71" s="53"/>
    </row>
    <row r="72" spans="1:57" s="9" customFormat="1" ht="24.95" customHeight="1" x14ac:dyDescent="0.35">
      <c r="A72" s="181" t="e">
        <f ca="1">IF($AT$35="YES",1,IF(_xll.ELCOMPN(Server&amp;$C$24,C72)&lt;&gt;0,1,IF(OR(B72=$AZ$35,B72="ALL"),1,0)))</f>
        <v>#VALUE!</v>
      </c>
      <c r="B72" s="190" t="str">
        <f t="shared" si="3"/>
        <v>RM</v>
      </c>
      <c r="C72" s="158" t="s">
        <v>180</v>
      </c>
      <c r="E72" s="268" t="str">
        <f ca="1">_xll.DBRA(Server&amp;$C$24,$C72,$F$21)</f>
        <v>Location et entretien de matériel de bureau et informatique (GR)</v>
      </c>
      <c r="F72" s="268"/>
      <c r="G72" s="268"/>
      <c r="H72" s="40"/>
      <c r="I72" s="221" t="str">
        <f ca="1">_xll.DBRW(Server&amp;Cube1,$F$17,$F$18,$F$19,$F$16,$C$14,$F$15,$F$14,$F$20,I$2,I$1,$C72)</f>
        <v/>
      </c>
      <c r="J72" s="221" t="str">
        <f ca="1">_xll.DBRW(Server&amp;Cube1,$F$17,$F$18,$F$19,$F$16,$C$14,$F$15,$F$14,$F$20,J$2,J$1,$C72)</f>
        <v/>
      </c>
      <c r="K72" s="221" t="e">
        <f ca="1">_xll.DBRW(Server&amp;Cube1,$F$17,$F$18,$F$19,$F$16,$C$14,$F$15,$F$14,$F$20,I$2,I$1,$C72) -_xll.DBRW(Server&amp;Cube1,$F$17,$F$18,$F$19,$F$16,$C$14,$F$15,$F$14,$F$20,K$2,I$1,$C72)</f>
        <v>#VALUE!</v>
      </c>
      <c r="L72" s="221" t="e">
        <f t="shared" ca="1" si="2"/>
        <v>#VALUE!</v>
      </c>
      <c r="M72" s="221" t="e">
        <f t="shared" ca="1" si="1"/>
        <v>#VALUE!</v>
      </c>
      <c r="N72" s="226"/>
      <c r="O72" s="221" t="str">
        <f ca="1">_xll.DBRW(Server&amp;Cube1,$F$17,$F$18,$F$19,$F$16,$C$14,$F$15,$F$14,$F$20,O$2,O$1,$C72)</f>
        <v/>
      </c>
      <c r="P72" s="226"/>
      <c r="Q72" s="240" t="str">
        <f ca="1">IF(_xll.ELCOMPN(Server&amp;$C$24,C72)=0,"YES","NO")</f>
        <v>YES</v>
      </c>
      <c r="R72" s="241">
        <v>0</v>
      </c>
      <c r="S72" s="226"/>
      <c r="T72" s="227" t="str">
        <f ca="1">_xll.DBRW(Server&amp;Cube1,$F$17,$F$18,$F$19,$F$16,$C$14,$F$15,$F$14,$F$20,T$2,$T$1,$C72)</f>
        <v/>
      </c>
      <c r="U72" s="227" t="str">
        <f ca="1">_xll.DBRW(Server&amp;Cube1,$F$17,$F$18,$F$19,$F$16,$C$14,$F$15,$F$14,$F$20,U$2,$U$1,$C72)</f>
        <v/>
      </c>
      <c r="V72" s="227" t="str">
        <f ca="1">_xll.DBRW(Server&amp;Cube1,$F$17,$F$18,$F$19,$F$16,$C$14,$F$15,$F$14,$F$20,V$2,V$1,$C72)</f>
        <v/>
      </c>
      <c r="W72" s="227" t="str">
        <f ca="1">_xll.DBRW(Server&amp;Cube1,$F$17,$F$18,$F$19,$F$16,$C$14,$F$15,$F$14,$F$20,W$2,W$1,$C72)</f>
        <v/>
      </c>
      <c r="X72" s="227" t="str">
        <f ca="1">_xll.DBRW(Server&amp;Cube1,$F$17,$F$18,$F$19,$F$16,$C$14,$F$15,$F$14,$F$20,X$2,X$1,$C72)</f>
        <v/>
      </c>
      <c r="Y72" s="227" t="str">
        <f ca="1">_xll.DBRW(Server&amp;Cube1,$F$17,$F$18,$F$19,$F$16,$C$14,$F$15,$F$14,$F$20,Y$2,Y$1,$C72)</f>
        <v/>
      </c>
      <c r="Z72" s="241"/>
      <c r="AA72" s="241"/>
      <c r="AB72" s="241"/>
      <c r="AC72" s="241"/>
      <c r="AD72" s="241"/>
      <c r="AE72" s="241"/>
      <c r="AF72" s="221" t="str">
        <f ca="1">_xll.DBRW(Server&amp;Cube1,$F$17,$F$18,$F$19,$F$16,$C$14,$F$15,$F$14,$F$20,AF$2,$AF$1,$C72)</f>
        <v/>
      </c>
      <c r="AG72" s="53"/>
      <c r="AH72" s="53"/>
      <c r="AI72" s="53"/>
      <c r="AJ72" s="53"/>
      <c r="AK72" s="53"/>
      <c r="AL72" s="53"/>
      <c r="AM72" s="53"/>
      <c r="AN72" s="53"/>
      <c r="AO72" s="53"/>
      <c r="AP72" s="62"/>
      <c r="AQ72" s="53"/>
      <c r="AR72" s="259"/>
      <c r="AS72" s="183">
        <v>2030</v>
      </c>
      <c r="AT72" s="174" t="s">
        <v>488</v>
      </c>
      <c r="AU72" s="53"/>
      <c r="AV72" s="53"/>
      <c r="AW72" s="53"/>
      <c r="AX72" s="53"/>
      <c r="AY72" s="53"/>
      <c r="AZ72" s="53"/>
      <c r="BA72" s="53"/>
    </row>
    <row r="73" spans="1:57" s="9" customFormat="1" ht="24.95" customHeight="1" x14ac:dyDescent="0.35">
      <c r="A73" s="181" t="e">
        <f ca="1">IF($AT$35="YES",1,IF(_xll.ELCOMPN(Server&amp;$C$24,C73)&lt;&gt;0,1,IF(OR(B73=$AZ$35,B73="ALL"),1,0)))</f>
        <v>#VALUE!</v>
      </c>
      <c r="B73" s="190" t="str">
        <f t="shared" si="3"/>
        <v>PU</v>
      </c>
      <c r="C73" s="158" t="s">
        <v>181</v>
      </c>
      <c r="E73" s="268" t="str">
        <f ca="1">_xll.DBRA(Server&amp;$C$24,$C73,$F$21)</f>
        <v>Location et entretien de matériel de bureau et informatique (AC)</v>
      </c>
      <c r="F73" s="268"/>
      <c r="G73" s="268"/>
      <c r="H73" s="40"/>
      <c r="I73" s="221" t="str">
        <f ca="1">_xll.DBRW(Server&amp;Cube1,$F$17,$F$18,$F$19,$F$16,$C$14,$F$15,$F$14,$F$20,I$2,I$1,$C73)</f>
        <v/>
      </c>
      <c r="J73" s="221" t="str">
        <f ca="1">_xll.DBRW(Server&amp;Cube1,$F$17,$F$18,$F$19,$F$16,$C$14,$F$15,$F$14,$F$20,J$2,J$1,$C73)</f>
        <v/>
      </c>
      <c r="K73" s="221" t="e">
        <f ca="1">_xll.DBRW(Server&amp;Cube1,$F$17,$F$18,$F$19,$F$16,$C$14,$F$15,$F$14,$F$20,I$2,I$1,$C73) -_xll.DBRW(Server&amp;Cube1,$F$17,$F$18,$F$19,$F$16,$C$14,$F$15,$F$14,$F$20,K$2,I$1,$C73)</f>
        <v>#VALUE!</v>
      </c>
      <c r="L73" s="221" t="e">
        <f t="shared" ca="1" si="2"/>
        <v>#VALUE!</v>
      </c>
      <c r="M73" s="221" t="e">
        <f t="shared" ca="1" si="1"/>
        <v>#VALUE!</v>
      </c>
      <c r="N73" s="226"/>
      <c r="O73" s="221" t="str">
        <f ca="1">_xll.DBRW(Server&amp;Cube1,$F$17,$F$18,$F$19,$F$16,$C$14,$F$15,$F$14,$F$20,O$2,O$1,$C73)</f>
        <v/>
      </c>
      <c r="P73" s="226"/>
      <c r="Q73" s="240" t="str">
        <f ca="1">IF(_xll.ELCOMPN(Server&amp;$C$24,C73)=0,"YES","NO")</f>
        <v>YES</v>
      </c>
      <c r="R73" s="241">
        <v>0</v>
      </c>
      <c r="S73" s="226"/>
      <c r="T73" s="227" t="str">
        <f ca="1">_xll.DBRW(Server&amp;Cube1,$F$17,$F$18,$F$19,$F$16,$C$14,$F$15,$F$14,$F$20,T$2,$T$1,$C73)</f>
        <v/>
      </c>
      <c r="U73" s="227" t="str">
        <f ca="1">_xll.DBRW(Server&amp;Cube1,$F$17,$F$18,$F$19,$F$16,$C$14,$F$15,$F$14,$F$20,U$2,$U$1,$C73)</f>
        <v/>
      </c>
      <c r="V73" s="227" t="str">
        <f ca="1">_xll.DBRW(Server&amp;Cube1,$F$17,$F$18,$F$19,$F$16,$C$14,$F$15,$F$14,$F$20,V$2,V$1,$C73)</f>
        <v/>
      </c>
      <c r="W73" s="227" t="str">
        <f ca="1">_xll.DBRW(Server&amp;Cube1,$F$17,$F$18,$F$19,$F$16,$C$14,$F$15,$F$14,$F$20,W$2,W$1,$C73)</f>
        <v/>
      </c>
      <c r="X73" s="227" t="str">
        <f ca="1">_xll.DBRW(Server&amp;Cube1,$F$17,$F$18,$F$19,$F$16,$C$14,$F$15,$F$14,$F$20,X$2,X$1,$C73)</f>
        <v/>
      </c>
      <c r="Y73" s="227" t="str">
        <f ca="1">_xll.DBRW(Server&amp;Cube1,$F$17,$F$18,$F$19,$F$16,$C$14,$F$15,$F$14,$F$20,Y$2,Y$1,$C73)</f>
        <v/>
      </c>
      <c r="Z73" s="241"/>
      <c r="AA73" s="241"/>
      <c r="AB73" s="241"/>
      <c r="AC73" s="241"/>
      <c r="AD73" s="241"/>
      <c r="AE73" s="241"/>
      <c r="AF73" s="221" t="str">
        <f ca="1">_xll.DBRW(Server&amp;Cube1,$F$17,$F$18,$F$19,$F$16,$C$14,$F$15,$F$14,$F$20,AF$2,$AF$1,$C73)</f>
        <v/>
      </c>
      <c r="AG73" s="53"/>
      <c r="AH73" s="53"/>
      <c r="AI73" s="53"/>
      <c r="AJ73" s="53"/>
      <c r="AK73" s="53"/>
      <c r="AL73" s="53"/>
      <c r="AM73" s="53"/>
      <c r="AN73" s="53"/>
      <c r="AO73" s="53"/>
      <c r="AP73" s="62"/>
      <c r="AQ73" s="53"/>
      <c r="AR73" s="259"/>
      <c r="AS73" s="183">
        <v>4620</v>
      </c>
      <c r="AT73" s="174" t="s">
        <v>488</v>
      </c>
      <c r="AU73" s="53"/>
      <c r="AV73" s="53"/>
      <c r="AW73" s="53"/>
      <c r="AX73" s="53"/>
      <c r="AY73" s="53"/>
      <c r="AZ73" s="53"/>
      <c r="BA73" s="53"/>
    </row>
    <row r="74" spans="1:57" s="9" customFormat="1" ht="24.95" customHeight="1" x14ac:dyDescent="0.35">
      <c r="A74" s="181" t="e">
        <f ca="1">IF($AT$35="YES",1,IF(_xll.ELCOMPN(Server&amp;$C$24,C74)&lt;&gt;0,1,IF(OR(B74=$AZ$35,B74="ALL"),1,0)))</f>
        <v>#VALUE!</v>
      </c>
      <c r="B74" s="190" t="str">
        <f t="shared" si="3"/>
        <v>CO</v>
      </c>
      <c r="C74" s="158" t="s">
        <v>182</v>
      </c>
      <c r="E74" s="268" t="str">
        <f ca="1">_xll.DBRA(Server&amp;$C$24,$C74,$F$21)</f>
        <v>Location et entretien de matériel de bureau et informatique (CO)</v>
      </c>
      <c r="F74" s="268"/>
      <c r="G74" s="268"/>
      <c r="H74" s="40"/>
      <c r="I74" s="221" t="str">
        <f ca="1">_xll.DBRW(Server&amp;Cube1,$F$17,$F$18,$F$19,$F$16,$C$14,$F$15,$F$14,$F$20,I$2,I$1,$C74)</f>
        <v/>
      </c>
      <c r="J74" s="221" t="str">
        <f ca="1">_xll.DBRW(Server&amp;Cube1,$F$17,$F$18,$F$19,$F$16,$C$14,$F$15,$F$14,$F$20,J$2,J$1,$C74)</f>
        <v/>
      </c>
      <c r="K74" s="221" t="e">
        <f ca="1">_xll.DBRW(Server&amp;Cube1,$F$17,$F$18,$F$19,$F$16,$C$14,$F$15,$F$14,$F$20,I$2,I$1,$C74) -_xll.DBRW(Server&amp;Cube1,$F$17,$F$18,$F$19,$F$16,$C$14,$F$15,$F$14,$F$20,K$2,I$1,$C74)</f>
        <v>#VALUE!</v>
      </c>
      <c r="L74" s="221" t="e">
        <f t="shared" ca="1" si="2"/>
        <v>#VALUE!</v>
      </c>
      <c r="M74" s="221" t="e">
        <f t="shared" ca="1" si="1"/>
        <v>#VALUE!</v>
      </c>
      <c r="N74" s="226"/>
      <c r="O74" s="221" t="str">
        <f ca="1">_xll.DBRW(Server&amp;Cube1,$F$17,$F$18,$F$19,$F$16,$C$14,$F$15,$F$14,$F$20,O$2,O$1,$C74)</f>
        <v/>
      </c>
      <c r="P74" s="226"/>
      <c r="Q74" s="240" t="str">
        <f ca="1">IF(_xll.ELCOMPN(Server&amp;$C$24,C74)=0,"YES","NO")</f>
        <v>YES</v>
      </c>
      <c r="R74" s="241">
        <v>0</v>
      </c>
      <c r="S74" s="226"/>
      <c r="T74" s="227" t="str">
        <f ca="1">_xll.DBRW(Server&amp;Cube1,$F$17,$F$18,$F$19,$F$16,$C$14,$F$15,$F$14,$F$20,T$2,$T$1,$C74)</f>
        <v/>
      </c>
      <c r="U74" s="227" t="str">
        <f ca="1">_xll.DBRW(Server&amp;Cube1,$F$17,$F$18,$F$19,$F$16,$C$14,$F$15,$F$14,$F$20,U$2,$U$1,$C74)</f>
        <v/>
      </c>
      <c r="V74" s="227" t="str">
        <f ca="1">_xll.DBRW(Server&amp;Cube1,$F$17,$F$18,$F$19,$F$16,$C$14,$F$15,$F$14,$F$20,V$2,V$1,$C74)</f>
        <v/>
      </c>
      <c r="W74" s="227" t="str">
        <f ca="1">_xll.DBRW(Server&amp;Cube1,$F$17,$F$18,$F$19,$F$16,$C$14,$F$15,$F$14,$F$20,W$2,W$1,$C74)</f>
        <v/>
      </c>
      <c r="X74" s="227" t="str">
        <f ca="1">_xll.DBRW(Server&amp;Cube1,$F$17,$F$18,$F$19,$F$16,$C$14,$F$15,$F$14,$F$20,X$2,X$1,$C74)</f>
        <v/>
      </c>
      <c r="Y74" s="227" t="str">
        <f ca="1">_xll.DBRW(Server&amp;Cube1,$F$17,$F$18,$F$19,$F$16,$C$14,$F$15,$F$14,$F$20,Y$2,Y$1,$C74)</f>
        <v/>
      </c>
      <c r="Z74" s="241"/>
      <c r="AA74" s="241"/>
      <c r="AB74" s="241"/>
      <c r="AC74" s="241"/>
      <c r="AD74" s="241"/>
      <c r="AE74" s="241"/>
      <c r="AF74" s="221" t="str">
        <f ca="1">_xll.DBRW(Server&amp;Cube1,$F$17,$F$18,$F$19,$F$16,$C$14,$F$15,$F$14,$F$20,AF$2,$AF$1,$C74)</f>
        <v/>
      </c>
      <c r="AG74" s="53"/>
      <c r="AH74" s="53"/>
      <c r="AI74" s="53"/>
      <c r="AJ74" s="53"/>
      <c r="AK74" s="53"/>
      <c r="AL74" s="53"/>
      <c r="AM74" s="53"/>
      <c r="AN74" s="53"/>
      <c r="AO74" s="53"/>
      <c r="AP74" s="62"/>
      <c r="AQ74" s="53"/>
      <c r="AR74" s="259"/>
      <c r="AS74" s="183">
        <v>4630</v>
      </c>
      <c r="AT74" s="174" t="s">
        <v>488</v>
      </c>
      <c r="AU74" s="53"/>
      <c r="AV74" s="53"/>
      <c r="AW74" s="53"/>
      <c r="AX74" s="53"/>
      <c r="AY74" s="53"/>
      <c r="AZ74" s="53"/>
      <c r="BA74" s="53"/>
    </row>
    <row r="75" spans="1:57" s="9" customFormat="1" ht="24.95" customHeight="1" x14ac:dyDescent="0.35">
      <c r="A75" s="181" t="e">
        <f ca="1">IF($AT$35="YES",1,IF(_xll.ELCOMPN(Server&amp;$C$24,C75)&lt;&gt;0,1,IF(OR(B75=$AZ$35,B75="ALL"),1,0)))</f>
        <v>#VALUE!</v>
      </c>
      <c r="B75" s="190" t="str">
        <f t="shared" si="3"/>
        <v>GS</v>
      </c>
      <c r="C75" s="158" t="s">
        <v>183</v>
      </c>
      <c r="E75" s="268" t="str">
        <f ca="1">_xll.DBRA(Server&amp;$C$24,$C75,$F$21)</f>
        <v>Location et entretien de matériel de bureau et informatique (SG)</v>
      </c>
      <c r="F75" s="268"/>
      <c r="G75" s="268"/>
      <c r="H75" s="40"/>
      <c r="I75" s="221" t="str">
        <f ca="1">_xll.DBRW(Server&amp;Cube1,$F$17,$F$18,$F$19,$F$16,$C$14,$F$15,$F$14,$F$20,I$2,I$1,$C75)</f>
        <v/>
      </c>
      <c r="J75" s="221" t="str">
        <f ca="1">_xll.DBRW(Server&amp;Cube1,$F$17,$F$18,$F$19,$F$16,$C$14,$F$15,$F$14,$F$20,J$2,J$1,$C75)</f>
        <v/>
      </c>
      <c r="K75" s="221" t="e">
        <f ca="1">_xll.DBRW(Server&amp;Cube1,$F$17,$F$18,$F$19,$F$16,$C$14,$F$15,$F$14,$F$20,I$2,I$1,$C75) -_xll.DBRW(Server&amp;Cube1,$F$17,$F$18,$F$19,$F$16,$C$14,$F$15,$F$14,$F$20,K$2,I$1,$C75)</f>
        <v>#VALUE!</v>
      </c>
      <c r="L75" s="221" t="e">
        <f t="shared" ca="1" si="2"/>
        <v>#VALUE!</v>
      </c>
      <c r="M75" s="221" t="e">
        <f t="shared" ca="1" si="1"/>
        <v>#VALUE!</v>
      </c>
      <c r="N75" s="226"/>
      <c r="O75" s="221" t="str">
        <f ca="1">_xll.DBRW(Server&amp;Cube1,$F$17,$F$18,$F$19,$F$16,$C$14,$F$15,$F$14,$F$20,O$2,O$1,$C75)</f>
        <v/>
      </c>
      <c r="P75" s="226"/>
      <c r="Q75" s="240" t="str">
        <f ca="1">IF(_xll.ELCOMPN(Server&amp;$C$24,C75)=0,"YES","NO")</f>
        <v>YES</v>
      </c>
      <c r="R75" s="241">
        <v>0</v>
      </c>
      <c r="S75" s="226"/>
      <c r="T75" s="227" t="str">
        <f ca="1">_xll.DBRW(Server&amp;Cube1,$F$17,$F$18,$F$19,$F$16,$C$14,$F$15,$F$14,$F$20,T$2,$T$1,$C75)</f>
        <v/>
      </c>
      <c r="U75" s="227" t="str">
        <f ca="1">_xll.DBRW(Server&amp;Cube1,$F$17,$F$18,$F$19,$F$16,$C$14,$F$15,$F$14,$F$20,U$2,$U$1,$C75)</f>
        <v/>
      </c>
      <c r="V75" s="227" t="str">
        <f ca="1">_xll.DBRW(Server&amp;Cube1,$F$17,$F$18,$F$19,$F$16,$C$14,$F$15,$F$14,$F$20,V$2,V$1,$C75)</f>
        <v/>
      </c>
      <c r="W75" s="227" t="str">
        <f ca="1">_xll.DBRW(Server&amp;Cube1,$F$17,$F$18,$F$19,$F$16,$C$14,$F$15,$F$14,$F$20,W$2,W$1,$C75)</f>
        <v/>
      </c>
      <c r="X75" s="227" t="str">
        <f ca="1">_xll.DBRW(Server&amp;Cube1,$F$17,$F$18,$F$19,$F$16,$C$14,$F$15,$F$14,$F$20,X$2,X$1,$C75)</f>
        <v/>
      </c>
      <c r="Y75" s="227" t="str">
        <f ca="1">_xll.DBRW(Server&amp;Cube1,$F$17,$F$18,$F$19,$F$16,$C$14,$F$15,$F$14,$F$20,Y$2,Y$1,$C75)</f>
        <v/>
      </c>
      <c r="Z75" s="241"/>
      <c r="AA75" s="241"/>
      <c r="AB75" s="241"/>
      <c r="AC75" s="241"/>
      <c r="AD75" s="241"/>
      <c r="AE75" s="241"/>
      <c r="AF75" s="221" t="str">
        <f ca="1">_xll.DBRW(Server&amp;Cube1,$F$17,$F$18,$F$19,$F$16,$C$14,$F$15,$F$14,$F$20,AF$2,$AF$1,$C75)</f>
        <v/>
      </c>
      <c r="AG75" s="53"/>
      <c r="AH75" s="53"/>
      <c r="AI75" s="53"/>
      <c r="AJ75" s="53"/>
      <c r="AK75" s="53"/>
      <c r="AL75" s="53"/>
      <c r="AM75" s="53"/>
      <c r="AN75" s="53"/>
      <c r="AO75" s="53"/>
      <c r="AP75" s="62"/>
      <c r="AQ75" s="53"/>
      <c r="AR75" s="259"/>
      <c r="AS75" s="183">
        <v>4640</v>
      </c>
      <c r="AT75" s="174" t="s">
        <v>488</v>
      </c>
      <c r="AU75" s="53"/>
      <c r="AV75" s="53"/>
      <c r="AW75" s="53"/>
      <c r="AX75" s="53"/>
      <c r="AY75" s="53"/>
      <c r="AZ75" s="53"/>
      <c r="BA75" s="53"/>
    </row>
    <row r="76" spans="1:57" s="9" customFormat="1" ht="24.95" customHeight="1" x14ac:dyDescent="0.35">
      <c r="A76" s="181" t="e">
        <f ca="1">IF($AT$35="YES",1,IF(_xll.ELCOMPN(Server&amp;$C$24,C76)&lt;&gt;0,1,IF(OR(B76=$AZ$35,B76="ALL"),1,0)))</f>
        <v>#VALUE!</v>
      </c>
      <c r="B76" s="190" t="str">
        <f t="shared" si="3"/>
        <v>RD</v>
      </c>
      <c r="C76" s="158" t="s">
        <v>184</v>
      </c>
      <c r="E76" s="268" t="str">
        <f ca="1">_xll.DBRA(Server&amp;$C$24,$C76,$F$21)</f>
        <v>Location et entretien de matériel de bureau et informatique (RD)</v>
      </c>
      <c r="F76" s="268"/>
      <c r="G76" s="268"/>
      <c r="H76" s="40"/>
      <c r="I76" s="221" t="str">
        <f ca="1">_xll.DBRW(Server&amp;Cube1,$F$17,$F$18,$F$19,$F$16,$C$14,$F$15,$F$14,$F$20,I$2,I$1,$C76)</f>
        <v/>
      </c>
      <c r="J76" s="221" t="str">
        <f ca="1">_xll.DBRW(Server&amp;Cube1,$F$17,$F$18,$F$19,$F$16,$C$14,$F$15,$F$14,$F$20,J$2,J$1,$C76)</f>
        <v/>
      </c>
      <c r="K76" s="221" t="e">
        <f ca="1">_xll.DBRW(Server&amp;Cube1,$F$17,$F$18,$F$19,$F$16,$C$14,$F$15,$F$14,$F$20,I$2,I$1,$C76) -_xll.DBRW(Server&amp;Cube1,$F$17,$F$18,$F$19,$F$16,$C$14,$F$15,$F$14,$F$20,K$2,I$1,$C76)</f>
        <v>#VALUE!</v>
      </c>
      <c r="L76" s="221" t="e">
        <f t="shared" ca="1" si="2"/>
        <v>#VALUE!</v>
      </c>
      <c r="M76" s="221" t="e">
        <f t="shared" ca="1" si="1"/>
        <v>#VALUE!</v>
      </c>
      <c r="N76" s="226"/>
      <c r="O76" s="221" t="str">
        <f ca="1">_xll.DBRW(Server&amp;Cube1,$F$17,$F$18,$F$19,$F$16,$C$14,$F$15,$F$14,$F$20,O$2,O$1,$C76)</f>
        <v/>
      </c>
      <c r="P76" s="226"/>
      <c r="Q76" s="240" t="str">
        <f ca="1">IF(_xll.ELCOMPN(Server&amp;$C$24,C76)=0,"YES","NO")</f>
        <v>YES</v>
      </c>
      <c r="R76" s="241">
        <v>0</v>
      </c>
      <c r="S76" s="226"/>
      <c r="T76" s="227" t="str">
        <f ca="1">_xll.DBRW(Server&amp;Cube1,$F$17,$F$18,$F$19,$F$16,$C$14,$F$15,$F$14,$F$20,T$2,$T$1,$C76)</f>
        <v/>
      </c>
      <c r="U76" s="227" t="str">
        <f ca="1">_xll.DBRW(Server&amp;Cube1,$F$17,$F$18,$F$19,$F$16,$C$14,$F$15,$F$14,$F$20,U$2,$U$1,$C76)</f>
        <v/>
      </c>
      <c r="V76" s="227" t="str">
        <f ca="1">_xll.DBRW(Server&amp;Cube1,$F$17,$F$18,$F$19,$F$16,$C$14,$F$15,$F$14,$F$20,V$2,V$1,$C76)</f>
        <v/>
      </c>
      <c r="W76" s="227" t="str">
        <f ca="1">_xll.DBRW(Server&amp;Cube1,$F$17,$F$18,$F$19,$F$16,$C$14,$F$15,$F$14,$F$20,W$2,W$1,$C76)</f>
        <v/>
      </c>
      <c r="X76" s="227" t="str">
        <f ca="1">_xll.DBRW(Server&amp;Cube1,$F$17,$F$18,$F$19,$F$16,$C$14,$F$15,$F$14,$F$20,X$2,X$1,$C76)</f>
        <v/>
      </c>
      <c r="Y76" s="227" t="str">
        <f ca="1">_xll.DBRW(Server&amp;Cube1,$F$17,$F$18,$F$19,$F$16,$C$14,$F$15,$F$14,$F$20,Y$2,Y$1,$C76)</f>
        <v/>
      </c>
      <c r="Z76" s="241"/>
      <c r="AA76" s="241"/>
      <c r="AB76" s="241"/>
      <c r="AC76" s="241"/>
      <c r="AD76" s="241"/>
      <c r="AE76" s="241"/>
      <c r="AF76" s="221" t="str">
        <f ca="1">_xll.DBRW(Server&amp;Cube1,$F$17,$F$18,$F$19,$F$16,$C$14,$F$15,$F$14,$F$20,AF$2,$AF$1,$C76)</f>
        <v/>
      </c>
      <c r="AG76" s="53"/>
      <c r="AH76" s="53"/>
      <c r="AI76" s="53"/>
      <c r="AJ76" s="53"/>
      <c r="AK76" s="53"/>
      <c r="AL76" s="53"/>
      <c r="AM76" s="53"/>
      <c r="AN76" s="53"/>
      <c r="AO76" s="53"/>
      <c r="AP76" s="62"/>
      <c r="AQ76" s="53"/>
      <c r="AR76" s="259"/>
      <c r="AS76" s="183">
        <v>2100</v>
      </c>
      <c r="AT76" s="174" t="s">
        <v>488</v>
      </c>
      <c r="AU76" s="53"/>
      <c r="AV76" s="53"/>
      <c r="AW76" s="53"/>
      <c r="AX76" s="53"/>
      <c r="AY76" s="53"/>
      <c r="AZ76" s="53"/>
      <c r="BA76" s="53"/>
    </row>
    <row r="77" spans="1:57" ht="21" customHeight="1" collapsed="1" x14ac:dyDescent="0.3">
      <c r="A77" s="181">
        <f ca="1">IF($AT$35="YES",1,IF(_xll.ELCOMPN(Server&amp;$C$24,C77)&lt;&gt;0,1,IF(OR(B77=$AZ$35,B77="ALL"),1,0)))</f>
        <v>1</v>
      </c>
      <c r="B77" s="163" t="str">
        <f t="shared" si="3"/>
        <v>re</v>
      </c>
      <c r="C77" s="117" t="s">
        <v>90</v>
      </c>
      <c r="D77" s="24"/>
      <c r="E77" s="270" t="str">
        <f ca="1">_xll.DBRA(Server&amp;$C$24,$C77,$F$21)</f>
        <v>Entretien et Réparation Immobilier</v>
      </c>
      <c r="F77" s="270"/>
      <c r="G77" s="270"/>
      <c r="H77" s="56"/>
      <c r="I77" s="221" t="str">
        <f ca="1">_xll.DBRW(Server&amp;Cube1,$F$17,$F$18,$F$19,$F$16,$C$14,$F$15,$F$14,$F$20,I$2,I$1,$C77)</f>
        <v/>
      </c>
      <c r="J77" s="221" t="str">
        <f ca="1">_xll.DBRW(Server&amp;Cube1,$F$17,$F$18,$F$19,$F$16,$C$14,$F$15,$F$14,$F$20,J$2,J$1,$C77)</f>
        <v/>
      </c>
      <c r="K77" s="221" t="e">
        <f ca="1">_xll.DBRW(Server&amp;Cube1,$F$17,$F$18,$F$19,$F$16,$C$14,$F$15,$F$14,$F$20,I$2,I$1,$C77) -_xll.DBRW(Server&amp;Cube1,$F$17,$F$18,$F$19,$F$16,$C$14,$F$15,$F$14,$F$20,K$2,I$1,$C77)</f>
        <v>#VALUE!</v>
      </c>
      <c r="L77" s="221" t="e">
        <f t="shared" ca="1" si="2"/>
        <v>#VALUE!</v>
      </c>
      <c r="M77" s="221" t="e">
        <f t="shared" ca="1" si="1"/>
        <v>#VALUE!</v>
      </c>
      <c r="N77" s="229"/>
      <c r="O77" s="229" t="str">
        <f ca="1">_xll.DBRW(Server&amp;Cube1,$F$17,$F$18,$F$19,$F$16,$C$14,$F$15,$F$14,$F$20,O$2,O$1,$C77)</f>
        <v/>
      </c>
      <c r="P77" s="229"/>
      <c r="Q77" s="240" t="str">
        <f ca="1">IF(_xll.ELCOMPN(Server&amp;$C$24,C77)=0,"YES","NO")</f>
        <v>NO</v>
      </c>
      <c r="R77" s="229"/>
      <c r="S77" s="229"/>
      <c r="T77" s="230" t="str">
        <f ca="1">_xll.DBRW(Server&amp;Cube1,$F$17,$F$18,$F$19,$F$16,$C$14,$F$15,$F$14,$F$20,T$2,$T$1,$C77)</f>
        <v/>
      </c>
      <c r="U77" s="230" t="str">
        <f ca="1">_xll.DBRW(Server&amp;Cube1,$F$17,$F$18,$F$19,$F$16,$C$14,$F$15,$F$14,$F$20,U$2,$U$1,$C77)</f>
        <v/>
      </c>
      <c r="V77" s="230" t="str">
        <f ca="1">_xll.DBRW(Server&amp;Cube1,$F$17,$F$18,$F$19,$F$16,$C$14,$F$15,$F$14,$F$20,V$2,V$1,$C77)</f>
        <v/>
      </c>
      <c r="W77" s="230" t="str">
        <f ca="1">_xll.DBRW(Server&amp;Cube1,$F$17,$F$18,$F$19,$F$16,$C$14,$F$15,$F$14,$F$20,W$2,W$1,$C77)</f>
        <v/>
      </c>
      <c r="X77" s="229" t="str">
        <f ca="1">_xll.DBRW(Server&amp;Cube1,$F$17,$F$18,$F$19,$F$16,$C$14,$F$15,$F$14,$F$20,X$2,X$1,$C77)</f>
        <v/>
      </c>
      <c r="Y77" s="229" t="str">
        <f ca="1">_xll.DBRW(Server&amp;Cube1,$F$17,$F$18,$F$19,$F$16,$C$14,$F$15,$F$14,$F$20,Y$2,Y$1,$C77)</f>
        <v/>
      </c>
      <c r="Z77" s="229" t="str">
        <f ca="1">_xll.DBRW(Server&amp;Cube1,$F$17,$F$18,$F$19,$F$16,$C$14,$F$15,$F$14,$F$20,Z$2,Z$1,$C77)</f>
        <v/>
      </c>
      <c r="AA77" s="229" t="str">
        <f ca="1">_xll.DBRW(Server&amp;Cube1,$F$17,$F$18,$F$19,$F$16,$C$14,$F$15,$F$14,$F$20,AA$2,AA$1,$C77)</f>
        <v/>
      </c>
      <c r="AB77" s="229" t="str">
        <f ca="1">_xll.DBRW(Server&amp;Cube1,$F$17,$F$18,$F$19,$F$16,$C$14,$F$15,$F$14,$F$20,AB$2,AB$1,$C77)</f>
        <v/>
      </c>
      <c r="AC77" s="229" t="str">
        <f ca="1">_xll.DBRW(Server&amp;Cube1,$F$17,$F$18,$F$19,$F$16,$C$14,$F$15,$F$14,$F$20,AC$2,AC$1,$C77)</f>
        <v/>
      </c>
      <c r="AD77" s="229" t="str">
        <f ca="1">_xll.DBRW(Server&amp;Cube1,$F$17,$F$18,$F$19,$F$16,$C$14,$F$15,$F$14,$F$20,AD$2,AD$1,$C77)</f>
        <v/>
      </c>
      <c r="AE77" s="229" t="str">
        <f ca="1">_xll.DBRW(Server&amp;Cube1,$F$17,$F$18,$F$19,$F$16,$C$14,$F$15,$F$14,$F$20,AE$2,AE$1,$C77)</f>
        <v/>
      </c>
      <c r="AF77" s="229" t="str">
        <f ca="1">_xll.DBRW(Server&amp;Cube1,$F$17,$F$18,$F$19,$F$16,$C$14,$F$15,$F$14,$F$20,AF$2,$AF$1,$C77)</f>
        <v/>
      </c>
      <c r="AP77" s="1"/>
      <c r="AR77" s="259"/>
      <c r="AS77" s="183">
        <v>2200</v>
      </c>
      <c r="AT77" s="174" t="s">
        <v>488</v>
      </c>
      <c r="AU77" s="53"/>
      <c r="AV77" s="53"/>
      <c r="AW77" s="53"/>
      <c r="AX77" s="53"/>
      <c r="AY77" s="53"/>
      <c r="AZ77" s="53"/>
      <c r="BA77" s="53"/>
      <c r="BB77" s="9"/>
      <c r="BC77" s="9"/>
      <c r="BD77" s="9"/>
      <c r="BE77" s="9"/>
    </row>
    <row r="78" spans="1:57" ht="21" customHeight="1" x14ac:dyDescent="0.3">
      <c r="A78" s="181" t="e">
        <f ca="1">IF($AT$35="YES",1,IF(_xll.ELCOMPN(Server&amp;$C$24,C78)&lt;&gt;0,1,IF(OR(B78=$AZ$35,B78="ALL"),1,0)))</f>
        <v>#VALUE!</v>
      </c>
      <c r="B78" s="163" t="str">
        <f t="shared" si="3"/>
        <v>DS</v>
      </c>
      <c r="C78" s="158" t="s">
        <v>185</v>
      </c>
      <c r="D78" s="24"/>
      <c r="E78" s="268" t="str">
        <f ca="1">_xll.DBRA(Server&amp;$C$24,$C78,$F$21)</f>
        <v>Entretien et Réparation Immobilier (SO)</v>
      </c>
      <c r="F78" s="268"/>
      <c r="G78" s="268"/>
      <c r="H78" s="43"/>
      <c r="I78" s="221" t="str">
        <f ca="1">_xll.DBRW(Server&amp;Cube1,$F$17,$F$18,$F$19,$F$16,$C$14,$F$15,$F$14,$F$20,I$2,I$1,$C78)</f>
        <v/>
      </c>
      <c r="J78" s="221" t="str">
        <f ca="1">_xll.DBRW(Server&amp;Cube1,$F$17,$F$18,$F$19,$F$16,$C$14,$F$15,$F$14,$F$20,J$2,J$1,$C78)</f>
        <v/>
      </c>
      <c r="K78" s="221" t="e">
        <f ca="1">_xll.DBRW(Server&amp;Cube1,$F$17,$F$18,$F$19,$F$16,$C$14,$F$15,$F$14,$F$20,I$2,I$1,$C78) -_xll.DBRW(Server&amp;Cube1,$F$17,$F$18,$F$19,$F$16,$C$14,$F$15,$F$14,$F$20,K$2,I$1,$C78)</f>
        <v>#VALUE!</v>
      </c>
      <c r="L78" s="221" t="e">
        <f t="shared" ca="1" si="2"/>
        <v>#VALUE!</v>
      </c>
      <c r="M78" s="221" t="e">
        <f t="shared" ca="1" si="1"/>
        <v>#VALUE!</v>
      </c>
      <c r="N78" s="226"/>
      <c r="O78" s="221" t="str">
        <f ca="1">_xll.DBRW(Server&amp;Cube1,$F$17,$F$18,$F$19,$F$16,$C$14,$F$15,$F$14,$F$20,O$2,O$1,$C78)</f>
        <v/>
      </c>
      <c r="P78" s="226"/>
      <c r="Q78" s="240" t="str">
        <f ca="1">IF(_xll.ELCOMPN(Server&amp;$C$24,C78)=0,"YES","NO")</f>
        <v>YES</v>
      </c>
      <c r="R78" s="241">
        <v>0</v>
      </c>
      <c r="S78" s="226"/>
      <c r="T78" s="227" t="str">
        <f ca="1">_xll.DBRW(Server&amp;Cube1,$F$17,$F$18,$F$19,$F$16,$C$14,$F$15,$F$14,$F$20,T$2,$T$1,$C78)</f>
        <v/>
      </c>
      <c r="U78" s="227" t="str">
        <f ca="1">_xll.DBRW(Server&amp;Cube1,$F$17,$F$18,$F$19,$F$16,$C$14,$F$15,$F$14,$F$20,U$2,$U$1,$C78)</f>
        <v/>
      </c>
      <c r="V78" s="227" t="str">
        <f ca="1">_xll.DBRW(Server&amp;Cube1,$F$17,$F$18,$F$19,$F$16,$C$14,$F$15,$F$14,$F$20,V$2,V$1,$C78)</f>
        <v/>
      </c>
      <c r="W78" s="227" t="str">
        <f ca="1">_xll.DBRW(Server&amp;Cube1,$F$17,$F$18,$F$19,$F$16,$C$14,$F$15,$F$14,$F$20,W$2,W$1,$C78)</f>
        <v/>
      </c>
      <c r="X78" s="227" t="str">
        <f ca="1">_xll.DBRW(Server&amp;Cube1,$F$17,$F$18,$F$19,$F$16,$C$14,$F$15,$F$14,$F$20,X$2,X$1,$C78)</f>
        <v/>
      </c>
      <c r="Y78" s="227" t="str">
        <f ca="1">_xll.DBRW(Server&amp;Cube1,$F$17,$F$18,$F$19,$F$16,$C$14,$F$15,$F$14,$F$20,Y$2,Y$1,$C78)</f>
        <v/>
      </c>
      <c r="Z78" s="241"/>
      <c r="AA78" s="241"/>
      <c r="AB78" s="241"/>
      <c r="AC78" s="241"/>
      <c r="AD78" s="241"/>
      <c r="AE78" s="241"/>
      <c r="AF78" s="221" t="str">
        <f ca="1">_xll.DBRW(Server&amp;Cube1,$F$17,$F$18,$F$19,$F$16,$C$14,$F$15,$F$14,$F$20,AF$2,$AF$1,$C78)</f>
        <v/>
      </c>
      <c r="AG78" s="53"/>
      <c r="AH78" s="53"/>
      <c r="AI78" s="53"/>
      <c r="AJ78" s="53"/>
      <c r="AK78" s="53"/>
      <c r="AL78" s="53"/>
      <c r="AM78" s="53"/>
      <c r="AN78" s="53"/>
      <c r="AO78" s="53"/>
      <c r="AP78" s="1"/>
      <c r="AQ78" s="53"/>
      <c r="AR78" s="259"/>
      <c r="AS78" s="183">
        <v>2300</v>
      </c>
      <c r="AT78" s="174" t="s">
        <v>488</v>
      </c>
      <c r="AU78" s="53"/>
      <c r="AV78" s="53"/>
      <c r="AW78" s="53"/>
      <c r="AX78" s="53"/>
      <c r="AY78" s="53"/>
      <c r="AZ78" s="53"/>
      <c r="BA78" s="53"/>
      <c r="BB78" s="9"/>
      <c r="BC78" s="9"/>
      <c r="BD78" s="9"/>
      <c r="BE78" s="9"/>
    </row>
    <row r="79" spans="1:57" ht="21" customHeight="1" x14ac:dyDescent="0.3">
      <c r="A79" s="181" t="e">
        <f ca="1">IF($AT$35="YES",1,IF(_xll.ELCOMPN(Server&amp;$C$24,C79)&lt;&gt;0,1,IF(OR(B79=$AZ$35,B79="ALL"),1,0)))</f>
        <v>#VALUE!</v>
      </c>
      <c r="B79" s="163" t="str">
        <f t="shared" si="3"/>
        <v>BD</v>
      </c>
      <c r="C79" s="158" t="s">
        <v>186</v>
      </c>
      <c r="D79" s="24"/>
      <c r="E79" s="268" t="str">
        <f ca="1">_xll.DBRA(Server&amp;$C$24,$C79,$F$21)</f>
        <v>Entretien et Réparation Immobilier (DC)</v>
      </c>
      <c r="F79" s="268"/>
      <c r="G79" s="268"/>
      <c r="H79" s="43"/>
      <c r="I79" s="221" t="str">
        <f ca="1">_xll.DBRW(Server&amp;Cube1,$F$17,$F$18,$F$19,$F$16,$C$14,$F$15,$F$14,$F$20,I$2,I$1,$C79)</f>
        <v/>
      </c>
      <c r="J79" s="221" t="str">
        <f ca="1">_xll.DBRW(Server&amp;Cube1,$F$17,$F$18,$F$19,$F$16,$C$14,$F$15,$F$14,$F$20,J$2,J$1,$C79)</f>
        <v/>
      </c>
      <c r="K79" s="221" t="e">
        <f ca="1">_xll.DBRW(Server&amp;Cube1,$F$17,$F$18,$F$19,$F$16,$C$14,$F$15,$F$14,$F$20,I$2,I$1,$C79) -_xll.DBRW(Server&amp;Cube1,$F$17,$F$18,$F$19,$F$16,$C$14,$F$15,$F$14,$F$20,K$2,I$1,$C79)</f>
        <v>#VALUE!</v>
      </c>
      <c r="L79" s="221" t="e">
        <f t="shared" ca="1" si="2"/>
        <v>#VALUE!</v>
      </c>
      <c r="M79" s="221" t="e">
        <f t="shared" ca="1" si="1"/>
        <v>#VALUE!</v>
      </c>
      <c r="N79" s="226"/>
      <c r="O79" s="221" t="str">
        <f ca="1">_xll.DBRW(Server&amp;Cube1,$F$17,$F$18,$F$19,$F$16,$C$14,$F$15,$F$14,$F$20,O$2,O$1,$C79)</f>
        <v/>
      </c>
      <c r="P79" s="226"/>
      <c r="Q79" s="240" t="str">
        <f ca="1">IF(_xll.ELCOMPN(Server&amp;$C$24,C79)=0,"YES","NO")</f>
        <v>YES</v>
      </c>
      <c r="R79" s="241">
        <v>0</v>
      </c>
      <c r="S79" s="226"/>
      <c r="T79" s="227" t="str">
        <f ca="1">_xll.DBRW(Server&amp;Cube1,$F$17,$F$18,$F$19,$F$16,$C$14,$F$15,$F$14,$F$20,T$2,$T$1,$C79)</f>
        <v/>
      </c>
      <c r="U79" s="227" t="str">
        <f ca="1">_xll.DBRW(Server&amp;Cube1,$F$17,$F$18,$F$19,$F$16,$C$14,$F$15,$F$14,$F$20,U$2,$U$1,$C79)</f>
        <v/>
      </c>
      <c r="V79" s="227" t="str">
        <f ca="1">_xll.DBRW(Server&amp;Cube1,$F$17,$F$18,$F$19,$F$16,$C$14,$F$15,$F$14,$F$20,V$2,V$1,$C79)</f>
        <v/>
      </c>
      <c r="W79" s="227" t="str">
        <f ca="1">_xll.DBRW(Server&amp;Cube1,$F$17,$F$18,$F$19,$F$16,$C$14,$F$15,$F$14,$F$20,W$2,W$1,$C79)</f>
        <v/>
      </c>
      <c r="X79" s="227" t="str">
        <f ca="1">_xll.DBRW(Server&amp;Cube1,$F$17,$F$18,$F$19,$F$16,$C$14,$F$15,$F$14,$F$20,X$2,X$1,$C79)</f>
        <v/>
      </c>
      <c r="Y79" s="227" t="str">
        <f ca="1">_xll.DBRW(Server&amp;Cube1,$F$17,$F$18,$F$19,$F$16,$C$14,$F$15,$F$14,$F$20,Y$2,Y$1,$C79)</f>
        <v/>
      </c>
      <c r="Z79" s="241"/>
      <c r="AA79" s="241"/>
      <c r="AB79" s="241"/>
      <c r="AC79" s="241"/>
      <c r="AD79" s="241"/>
      <c r="AE79" s="241"/>
      <c r="AF79" s="221" t="str">
        <f ca="1">_xll.DBRW(Server&amp;Cube1,$F$17,$F$18,$F$19,$F$16,$C$14,$F$15,$F$14,$F$20,AF$2,$AF$1,$C79)</f>
        <v/>
      </c>
      <c r="AG79" s="53"/>
      <c r="AH79" s="53"/>
      <c r="AI79" s="53"/>
      <c r="AJ79" s="53"/>
      <c r="AK79" s="53"/>
      <c r="AL79" s="53"/>
      <c r="AM79" s="53"/>
      <c r="AN79" s="53"/>
      <c r="AO79" s="53"/>
      <c r="AP79" s="1"/>
      <c r="AQ79" s="53"/>
      <c r="AR79" s="259"/>
      <c r="AS79" s="183">
        <v>2310</v>
      </c>
      <c r="AT79" s="174" t="s">
        <v>488</v>
      </c>
      <c r="AU79" s="53"/>
      <c r="AV79" s="53"/>
      <c r="AW79" s="53"/>
      <c r="AX79" s="53"/>
      <c r="AY79" s="53"/>
      <c r="AZ79" s="53"/>
      <c r="BA79" s="53"/>
      <c r="BB79" s="9"/>
      <c r="BC79" s="9"/>
      <c r="BD79" s="9"/>
      <c r="BE79" s="9"/>
    </row>
    <row r="80" spans="1:57" ht="21" customHeight="1" x14ac:dyDescent="0.3">
      <c r="A80" s="181" t="e">
        <f ca="1">IF($AT$35="YES",1,IF(_xll.ELCOMPN(Server&amp;$C$24,C80)&lt;&gt;0,1,IF(OR(B80=$AZ$35,B80="ALL"),1,0)))</f>
        <v>#VALUE!</v>
      </c>
      <c r="B80" s="163" t="str">
        <f t="shared" si="3"/>
        <v>FI</v>
      </c>
      <c r="C80" s="158" t="s">
        <v>187</v>
      </c>
      <c r="D80" s="24"/>
      <c r="E80" s="268" t="str">
        <f ca="1">_xll.DBRA(Server&amp;$C$24,$C80,$F$21)</f>
        <v>Entretien et Réparation Immobilier (DF)</v>
      </c>
      <c r="F80" s="268"/>
      <c r="G80" s="268"/>
      <c r="H80" s="43"/>
      <c r="I80" s="221" t="str">
        <f ca="1">_xll.DBRW(Server&amp;Cube1,$F$17,$F$18,$F$19,$F$16,$C$14,$F$15,$F$14,$F$20,I$2,I$1,$C80)</f>
        <v/>
      </c>
      <c r="J80" s="221" t="str">
        <f ca="1">_xll.DBRW(Server&amp;Cube1,$F$17,$F$18,$F$19,$F$16,$C$14,$F$15,$F$14,$F$20,J$2,J$1,$C80)</f>
        <v/>
      </c>
      <c r="K80" s="221" t="e">
        <f ca="1">_xll.DBRW(Server&amp;Cube1,$F$17,$F$18,$F$19,$F$16,$C$14,$F$15,$F$14,$F$20,I$2,I$1,$C80) -_xll.DBRW(Server&amp;Cube1,$F$17,$F$18,$F$19,$F$16,$C$14,$F$15,$F$14,$F$20,K$2,I$1,$C80)</f>
        <v>#VALUE!</v>
      </c>
      <c r="L80" s="221" t="e">
        <f t="shared" ca="1" si="2"/>
        <v>#VALUE!</v>
      </c>
      <c r="M80" s="221" t="e">
        <f t="shared" ca="1" si="1"/>
        <v>#VALUE!</v>
      </c>
      <c r="N80" s="226"/>
      <c r="O80" s="221" t="str">
        <f ca="1">_xll.DBRW(Server&amp;Cube1,$F$17,$F$18,$F$19,$F$16,$C$14,$F$15,$F$14,$F$20,O$2,O$1,$C80)</f>
        <v/>
      </c>
      <c r="P80" s="226"/>
      <c r="Q80" s="240" t="str">
        <f ca="1">IF(_xll.ELCOMPN(Server&amp;$C$24,C80)=0,"YES","NO")</f>
        <v>YES</v>
      </c>
      <c r="R80" s="241">
        <v>0</v>
      </c>
      <c r="S80" s="226"/>
      <c r="T80" s="227" t="str">
        <f ca="1">_xll.DBRW(Server&amp;Cube1,$F$17,$F$18,$F$19,$F$16,$C$14,$F$15,$F$14,$F$20,T$2,$T$1,$C80)</f>
        <v/>
      </c>
      <c r="U80" s="227" t="str">
        <f ca="1">_xll.DBRW(Server&amp;Cube1,$F$17,$F$18,$F$19,$F$16,$C$14,$F$15,$F$14,$F$20,U$2,$U$1,$C80)</f>
        <v/>
      </c>
      <c r="V80" s="227" t="str">
        <f ca="1">_xll.DBRW(Server&amp;Cube1,$F$17,$F$18,$F$19,$F$16,$C$14,$F$15,$F$14,$F$20,V$2,V$1,$C80)</f>
        <v/>
      </c>
      <c r="W80" s="227" t="str">
        <f ca="1">_xll.DBRW(Server&amp;Cube1,$F$17,$F$18,$F$19,$F$16,$C$14,$F$15,$F$14,$F$20,W$2,W$1,$C80)</f>
        <v/>
      </c>
      <c r="X80" s="227" t="str">
        <f ca="1">_xll.DBRW(Server&amp;Cube1,$F$17,$F$18,$F$19,$F$16,$C$14,$F$15,$F$14,$F$20,X$2,X$1,$C80)</f>
        <v/>
      </c>
      <c r="Y80" s="227" t="str">
        <f ca="1">_xll.DBRW(Server&amp;Cube1,$F$17,$F$18,$F$19,$F$16,$C$14,$F$15,$F$14,$F$20,Y$2,Y$1,$C80)</f>
        <v/>
      </c>
      <c r="Z80" s="241"/>
      <c r="AA80" s="241"/>
      <c r="AB80" s="241"/>
      <c r="AC80" s="241"/>
      <c r="AD80" s="241"/>
      <c r="AE80" s="241"/>
      <c r="AF80" s="221" t="str">
        <f ca="1">_xll.DBRW(Server&amp;Cube1,$F$17,$F$18,$F$19,$F$16,$C$14,$F$15,$F$14,$F$20,AF$2,$AF$1,$C80)</f>
        <v/>
      </c>
      <c r="AG80" s="53"/>
      <c r="AH80" s="53"/>
      <c r="AI80" s="53"/>
      <c r="AJ80" s="53"/>
      <c r="AK80" s="53"/>
      <c r="AL80" s="53"/>
      <c r="AM80" s="53"/>
      <c r="AN80" s="53"/>
      <c r="AO80" s="53"/>
      <c r="AP80" s="1"/>
      <c r="AQ80" s="53"/>
      <c r="AR80" s="259"/>
      <c r="AS80" s="183">
        <v>2330</v>
      </c>
      <c r="AT80" s="174" t="s">
        <v>488</v>
      </c>
      <c r="AU80" s="53"/>
      <c r="AV80" s="53"/>
      <c r="AW80" s="53"/>
      <c r="AX80" s="53"/>
      <c r="AY80" s="53"/>
      <c r="AZ80" s="53"/>
      <c r="BA80" s="53"/>
    </row>
    <row r="81" spans="1:53" ht="21" customHeight="1" x14ac:dyDescent="0.3">
      <c r="A81" s="181" t="e">
        <f ca="1">IF($AT$35="YES",1,IF(_xll.ELCOMPN(Server&amp;$C$24,C81)&lt;&gt;0,1,IF(OR(B81=$AZ$35,B81="ALL"),1,0)))</f>
        <v>#VALUE!</v>
      </c>
      <c r="B81" s="163" t="str">
        <f t="shared" si="3"/>
        <v>IT</v>
      </c>
      <c r="C81" s="158" t="s">
        <v>188</v>
      </c>
      <c r="D81" s="24"/>
      <c r="E81" s="268" t="str">
        <f ca="1">_xll.DBRA(Server&amp;$C$24,$C81,$F$21)</f>
        <v>Entretien et Réparation Immobilier (IT)</v>
      </c>
      <c r="F81" s="268"/>
      <c r="G81" s="268"/>
      <c r="H81" s="43"/>
      <c r="I81" s="221" t="str">
        <f ca="1">_xll.DBRW(Server&amp;Cube1,$F$17,$F$18,$F$19,$F$16,$C$14,$F$15,$F$14,$F$20,I$2,I$1,$C81)</f>
        <v/>
      </c>
      <c r="J81" s="221" t="str">
        <f ca="1">_xll.DBRW(Server&amp;Cube1,$F$17,$F$18,$F$19,$F$16,$C$14,$F$15,$F$14,$F$20,J$2,J$1,$C81)</f>
        <v/>
      </c>
      <c r="K81" s="221" t="e">
        <f ca="1">_xll.DBRW(Server&amp;Cube1,$F$17,$F$18,$F$19,$F$16,$C$14,$F$15,$F$14,$F$20,I$2,I$1,$C81) -_xll.DBRW(Server&amp;Cube1,$F$17,$F$18,$F$19,$F$16,$C$14,$F$15,$F$14,$F$20,K$2,I$1,$C81)</f>
        <v>#VALUE!</v>
      </c>
      <c r="L81" s="221" t="e">
        <f t="shared" ca="1" si="2"/>
        <v>#VALUE!</v>
      </c>
      <c r="M81" s="221" t="e">
        <f t="shared" ca="1" si="1"/>
        <v>#VALUE!</v>
      </c>
      <c r="N81" s="226"/>
      <c r="O81" s="221" t="str">
        <f ca="1">_xll.DBRW(Server&amp;Cube1,$F$17,$F$18,$F$19,$F$16,$C$14,$F$15,$F$14,$F$20,O$2,O$1,$C81)</f>
        <v/>
      </c>
      <c r="P81" s="226"/>
      <c r="Q81" s="240" t="str">
        <f ca="1">IF(_xll.ELCOMPN(Server&amp;$C$24,C81)=0,"YES","NO")</f>
        <v>YES</v>
      </c>
      <c r="R81" s="241">
        <v>0</v>
      </c>
      <c r="S81" s="226"/>
      <c r="T81" s="227" t="str">
        <f ca="1">_xll.DBRW(Server&amp;Cube1,$F$17,$F$18,$F$19,$F$16,$C$14,$F$15,$F$14,$F$20,T$2,$T$1,$C81)</f>
        <v/>
      </c>
      <c r="U81" s="227" t="str">
        <f ca="1">_xll.DBRW(Server&amp;Cube1,$F$17,$F$18,$F$19,$F$16,$C$14,$F$15,$F$14,$F$20,U$2,$U$1,$C81)</f>
        <v/>
      </c>
      <c r="V81" s="227" t="str">
        <f ca="1">_xll.DBRW(Server&amp;Cube1,$F$17,$F$18,$F$19,$F$16,$C$14,$F$15,$F$14,$F$20,V$2,V$1,$C81)</f>
        <v/>
      </c>
      <c r="W81" s="227" t="str">
        <f ca="1">_xll.DBRW(Server&amp;Cube1,$F$17,$F$18,$F$19,$F$16,$C$14,$F$15,$F$14,$F$20,W$2,W$1,$C81)</f>
        <v/>
      </c>
      <c r="X81" s="227" t="str">
        <f ca="1">_xll.DBRW(Server&amp;Cube1,$F$17,$F$18,$F$19,$F$16,$C$14,$F$15,$F$14,$F$20,X$2,X$1,$C81)</f>
        <v/>
      </c>
      <c r="Y81" s="227" t="str">
        <f ca="1">_xll.DBRW(Server&amp;Cube1,$F$17,$F$18,$F$19,$F$16,$C$14,$F$15,$F$14,$F$20,Y$2,Y$1,$C81)</f>
        <v/>
      </c>
      <c r="Z81" s="241"/>
      <c r="AA81" s="241"/>
      <c r="AB81" s="241"/>
      <c r="AC81" s="241"/>
      <c r="AD81" s="241"/>
      <c r="AE81" s="241"/>
      <c r="AF81" s="221" t="str">
        <f ca="1">_xll.DBRW(Server&amp;Cube1,$F$17,$F$18,$F$19,$F$16,$C$14,$F$15,$F$14,$F$20,AF$2,$AF$1,$C81)</f>
        <v/>
      </c>
      <c r="AG81" s="53"/>
      <c r="AH81" s="53"/>
      <c r="AI81" s="53"/>
      <c r="AJ81" s="53"/>
      <c r="AK81" s="53"/>
      <c r="AL81" s="53"/>
      <c r="AM81" s="53"/>
      <c r="AN81" s="53"/>
      <c r="AO81" s="53"/>
      <c r="AP81" s="1"/>
      <c r="AQ81" s="53"/>
      <c r="AR81" s="259"/>
      <c r="AS81" s="183">
        <v>2320</v>
      </c>
      <c r="AT81" s="174" t="s">
        <v>488</v>
      </c>
      <c r="AU81" s="53"/>
      <c r="AV81" s="53"/>
      <c r="AW81" s="53"/>
      <c r="AX81" s="53"/>
      <c r="AY81" s="53"/>
      <c r="AZ81" s="53"/>
      <c r="BA81" s="53"/>
    </row>
    <row r="82" spans="1:53" ht="21" customHeight="1" x14ac:dyDescent="0.3">
      <c r="A82" s="181" t="e">
        <f ca="1">IF($AT$35="YES",1,IF(_xll.ELCOMPN(Server&amp;$C$24,C82)&lt;&gt;0,1,IF(OR(B82=$AZ$35,B82="ALL"),1,0)))</f>
        <v>#VALUE!</v>
      </c>
      <c r="B82" s="163" t="str">
        <f t="shared" si="3"/>
        <v>HR</v>
      </c>
      <c r="C82" s="158" t="s">
        <v>189</v>
      </c>
      <c r="D82" s="24"/>
      <c r="E82" s="268" t="str">
        <f ca="1">_xll.DBRA(Server&amp;$C$24,$C82,$F$21)</f>
        <v>Entretien et Réparation Immobilier (RH)</v>
      </c>
      <c r="F82" s="268"/>
      <c r="G82" s="268"/>
      <c r="H82" s="43"/>
      <c r="I82" s="221" t="str">
        <f ca="1">_xll.DBRW(Server&amp;Cube1,$F$17,$F$18,$F$19,$F$16,$C$14,$F$15,$F$14,$F$20,I$2,I$1,$C82)</f>
        <v/>
      </c>
      <c r="J82" s="221" t="str">
        <f ca="1">_xll.DBRW(Server&amp;Cube1,$F$17,$F$18,$F$19,$F$16,$C$14,$F$15,$F$14,$F$20,J$2,J$1,$C82)</f>
        <v/>
      </c>
      <c r="K82" s="221" t="e">
        <f ca="1">_xll.DBRW(Server&amp;Cube1,$F$17,$F$18,$F$19,$F$16,$C$14,$F$15,$F$14,$F$20,I$2,I$1,$C82) -_xll.DBRW(Server&amp;Cube1,$F$17,$F$18,$F$19,$F$16,$C$14,$F$15,$F$14,$F$20,K$2,I$1,$C82)</f>
        <v>#VALUE!</v>
      </c>
      <c r="L82" s="221" t="e">
        <f t="shared" ca="1" si="2"/>
        <v>#VALUE!</v>
      </c>
      <c r="M82" s="221" t="e">
        <f t="shared" ca="1" si="1"/>
        <v>#VALUE!</v>
      </c>
      <c r="N82" s="226"/>
      <c r="O82" s="221" t="str">
        <f ca="1">_xll.DBRW(Server&amp;Cube1,$F$17,$F$18,$F$19,$F$16,$C$14,$F$15,$F$14,$F$20,O$2,O$1,$C82)</f>
        <v/>
      </c>
      <c r="P82" s="226"/>
      <c r="Q82" s="240" t="str">
        <f ca="1">IF(_xll.ELCOMPN(Server&amp;$C$24,C82)=0,"YES","NO")</f>
        <v>YES</v>
      </c>
      <c r="R82" s="241">
        <v>0</v>
      </c>
      <c r="S82" s="226"/>
      <c r="T82" s="227" t="str">
        <f ca="1">_xll.DBRW(Server&amp;Cube1,$F$17,$F$18,$F$19,$F$16,$C$14,$F$15,$F$14,$F$20,T$2,$T$1,$C82)</f>
        <v/>
      </c>
      <c r="U82" s="227" t="str">
        <f ca="1">_xll.DBRW(Server&amp;Cube1,$F$17,$F$18,$F$19,$F$16,$C$14,$F$15,$F$14,$F$20,U$2,$U$1,$C82)</f>
        <v/>
      </c>
      <c r="V82" s="227" t="str">
        <f ca="1">_xll.DBRW(Server&amp;Cube1,$F$17,$F$18,$F$19,$F$16,$C$14,$F$15,$F$14,$F$20,V$2,V$1,$C82)</f>
        <v/>
      </c>
      <c r="W82" s="227" t="str">
        <f ca="1">_xll.DBRW(Server&amp;Cube1,$F$17,$F$18,$F$19,$F$16,$C$14,$F$15,$F$14,$F$20,W$2,W$1,$C82)</f>
        <v/>
      </c>
      <c r="X82" s="227" t="str">
        <f ca="1">_xll.DBRW(Server&amp;Cube1,$F$17,$F$18,$F$19,$F$16,$C$14,$F$15,$F$14,$F$20,X$2,X$1,$C82)</f>
        <v/>
      </c>
      <c r="Y82" s="227" t="str">
        <f ca="1">_xll.DBRW(Server&amp;Cube1,$F$17,$F$18,$F$19,$F$16,$C$14,$F$15,$F$14,$F$20,Y$2,Y$1,$C82)</f>
        <v/>
      </c>
      <c r="Z82" s="241"/>
      <c r="AA82" s="241"/>
      <c r="AB82" s="241"/>
      <c r="AC82" s="241"/>
      <c r="AD82" s="241"/>
      <c r="AE82" s="241"/>
      <c r="AF82" s="221" t="str">
        <f ca="1">_xll.DBRW(Server&amp;Cube1,$F$17,$F$18,$F$19,$F$16,$C$14,$F$15,$F$14,$F$20,AF$2,$AF$1,$C82)</f>
        <v/>
      </c>
      <c r="AG82" s="53"/>
      <c r="AH82" s="53"/>
      <c r="AI82" s="53"/>
      <c r="AJ82" s="53"/>
      <c r="AK82" s="53"/>
      <c r="AL82" s="53"/>
      <c r="AM82" s="53"/>
      <c r="AN82" s="53"/>
      <c r="AO82" s="53"/>
      <c r="AP82" s="1"/>
      <c r="AQ82" s="53"/>
      <c r="AR82" s="259"/>
      <c r="AS82" s="183">
        <v>2400</v>
      </c>
      <c r="AT82" s="174" t="s">
        <v>488</v>
      </c>
      <c r="AU82" s="53"/>
      <c r="AV82" s="53"/>
      <c r="AW82" s="53"/>
      <c r="AX82" s="53"/>
      <c r="AY82" s="53"/>
      <c r="AZ82" s="53"/>
      <c r="BA82" s="53"/>
    </row>
    <row r="83" spans="1:53" ht="21" customHeight="1" thickBot="1" x14ac:dyDescent="0.35">
      <c r="A83" s="181" t="e">
        <f ca="1">IF($AT$35="YES",1,IF(_xll.ELCOMPN(Server&amp;$C$24,C83)&lt;&gt;0,1,IF(OR(B83=$AZ$35,B83="ALL"),1,0)))</f>
        <v>#VALUE!</v>
      </c>
      <c r="B83" s="163" t="str">
        <f t="shared" si="3"/>
        <v>GM</v>
      </c>
      <c r="C83" s="158" t="s">
        <v>190</v>
      </c>
      <c r="D83" s="24"/>
      <c r="E83" s="268" t="str">
        <f ca="1">_xll.DBRA(Server&amp;$C$24,$C83,$F$21)</f>
        <v>Entretien et Réparation Immobilier (DG)</v>
      </c>
      <c r="F83" s="268"/>
      <c r="G83" s="268"/>
      <c r="H83" s="43"/>
      <c r="I83" s="221" t="str">
        <f ca="1">_xll.DBRW(Server&amp;Cube1,$F$17,$F$18,$F$19,$F$16,$C$14,$F$15,$F$14,$F$20,I$2,I$1,$C83)</f>
        <v/>
      </c>
      <c r="J83" s="221" t="str">
        <f ca="1">_xll.DBRW(Server&amp;Cube1,$F$17,$F$18,$F$19,$F$16,$C$14,$F$15,$F$14,$F$20,J$2,J$1,$C83)</f>
        <v/>
      </c>
      <c r="K83" s="221" t="e">
        <f ca="1">_xll.DBRW(Server&amp;Cube1,$F$17,$F$18,$F$19,$F$16,$C$14,$F$15,$F$14,$F$20,I$2,I$1,$C83) -_xll.DBRW(Server&amp;Cube1,$F$17,$F$18,$F$19,$F$16,$C$14,$F$15,$F$14,$F$20,K$2,I$1,$C83)</f>
        <v>#VALUE!</v>
      </c>
      <c r="L83" s="221" t="e">
        <f t="shared" ca="1" si="2"/>
        <v>#VALUE!</v>
      </c>
      <c r="M83" s="221" t="e">
        <f t="shared" ca="1" si="1"/>
        <v>#VALUE!</v>
      </c>
      <c r="N83" s="226"/>
      <c r="O83" s="221" t="str">
        <f ca="1">_xll.DBRW(Server&amp;Cube1,$F$17,$F$18,$F$19,$F$16,$C$14,$F$15,$F$14,$F$20,O$2,O$1,$C83)</f>
        <v/>
      </c>
      <c r="P83" s="226"/>
      <c r="Q83" s="240" t="str">
        <f ca="1">IF(_xll.ELCOMPN(Server&amp;$C$24,C83)=0,"YES","NO")</f>
        <v>YES</v>
      </c>
      <c r="R83" s="241">
        <v>0</v>
      </c>
      <c r="S83" s="226"/>
      <c r="T83" s="227" t="str">
        <f ca="1">_xll.DBRW(Server&amp;Cube1,$F$17,$F$18,$F$19,$F$16,$C$14,$F$15,$F$14,$F$20,T$2,$T$1,$C83)</f>
        <v/>
      </c>
      <c r="U83" s="227" t="str">
        <f ca="1">_xll.DBRW(Server&amp;Cube1,$F$17,$F$18,$F$19,$F$16,$C$14,$F$15,$F$14,$F$20,U$2,$U$1,$C83)</f>
        <v/>
      </c>
      <c r="V83" s="227" t="str">
        <f ca="1">_xll.DBRW(Server&amp;Cube1,$F$17,$F$18,$F$19,$F$16,$C$14,$F$15,$F$14,$F$20,V$2,V$1,$C83)</f>
        <v/>
      </c>
      <c r="W83" s="227" t="str">
        <f ca="1">_xll.DBRW(Server&amp;Cube1,$F$17,$F$18,$F$19,$F$16,$C$14,$F$15,$F$14,$F$20,W$2,W$1,$C83)</f>
        <v/>
      </c>
      <c r="X83" s="227" t="str">
        <f ca="1">_xll.DBRW(Server&amp;Cube1,$F$17,$F$18,$F$19,$F$16,$C$14,$F$15,$F$14,$F$20,X$2,X$1,$C83)</f>
        <v/>
      </c>
      <c r="Y83" s="227" t="str">
        <f ca="1">_xll.DBRW(Server&amp;Cube1,$F$17,$F$18,$F$19,$F$16,$C$14,$F$15,$F$14,$F$20,Y$2,Y$1,$C83)</f>
        <v/>
      </c>
      <c r="Z83" s="241"/>
      <c r="AA83" s="241"/>
      <c r="AB83" s="241"/>
      <c r="AC83" s="241"/>
      <c r="AD83" s="241"/>
      <c r="AE83" s="241"/>
      <c r="AF83" s="221" t="str">
        <f ca="1">_xll.DBRW(Server&amp;Cube1,$F$17,$F$18,$F$19,$F$16,$C$14,$F$15,$F$14,$F$20,AF$2,$AF$1,$C83)</f>
        <v/>
      </c>
      <c r="AG83" s="53"/>
      <c r="AH83" s="53"/>
      <c r="AI83" s="53"/>
      <c r="AJ83" s="53"/>
      <c r="AK83" s="53"/>
      <c r="AL83" s="53"/>
      <c r="AM83" s="53"/>
      <c r="AN83" s="53"/>
      <c r="AO83" s="53"/>
      <c r="AP83" s="1"/>
      <c r="AQ83" s="53"/>
      <c r="AR83" s="260"/>
      <c r="AS83" s="186">
        <v>4360</v>
      </c>
      <c r="AT83" s="176" t="s">
        <v>488</v>
      </c>
      <c r="AU83" s="53"/>
      <c r="AV83" s="53"/>
      <c r="AW83" s="53"/>
      <c r="AX83" s="53"/>
      <c r="AY83" s="53"/>
      <c r="AZ83" s="53"/>
      <c r="BA83" s="53"/>
    </row>
    <row r="84" spans="1:53" ht="21" customHeight="1" x14ac:dyDescent="0.3">
      <c r="A84" s="181" t="e">
        <f ca="1">IF($AT$35="YES",1,IF(_xll.ELCOMPN(Server&amp;$C$24,C84)&lt;&gt;0,1,IF(OR(B84=$AZ$35,B84="ALL"),1,0)))</f>
        <v>#VALUE!</v>
      </c>
      <c r="B84" s="163" t="str">
        <f t="shared" si="3"/>
        <v>IA</v>
      </c>
      <c r="C84" s="158" t="s">
        <v>191</v>
      </c>
      <c r="D84" s="24"/>
      <c r="E84" s="268" t="str">
        <f ca="1">_xll.DBRA(Server&amp;$C$24,$C84,$F$21)</f>
        <v>Entretien et Réparation Immobilier (AI)</v>
      </c>
      <c r="F84" s="268"/>
      <c r="G84" s="268"/>
      <c r="H84" s="43"/>
      <c r="I84" s="221" t="str">
        <f ca="1">_xll.DBRW(Server&amp;Cube1,$F$17,$F$18,$F$19,$F$16,$C$14,$F$15,$F$14,$F$20,I$2,I$1,$C84)</f>
        <v/>
      </c>
      <c r="J84" s="221" t="str">
        <f ca="1">_xll.DBRW(Server&amp;Cube1,$F$17,$F$18,$F$19,$F$16,$C$14,$F$15,$F$14,$F$20,J$2,J$1,$C84)</f>
        <v/>
      </c>
      <c r="K84" s="221" t="e">
        <f ca="1">_xll.DBRW(Server&amp;Cube1,$F$17,$F$18,$F$19,$F$16,$C$14,$F$15,$F$14,$F$20,I$2,I$1,$C84) -_xll.DBRW(Server&amp;Cube1,$F$17,$F$18,$F$19,$F$16,$C$14,$F$15,$F$14,$F$20,K$2,I$1,$C84)</f>
        <v>#VALUE!</v>
      </c>
      <c r="L84" s="221" t="e">
        <f t="shared" ca="1" si="2"/>
        <v>#VALUE!</v>
      </c>
      <c r="M84" s="221" t="e">
        <f t="shared" ca="1" si="1"/>
        <v>#VALUE!</v>
      </c>
      <c r="N84" s="226"/>
      <c r="O84" s="221" t="str">
        <f ca="1">_xll.DBRW(Server&amp;Cube1,$F$17,$F$18,$F$19,$F$16,$C$14,$F$15,$F$14,$F$20,O$2,O$1,$C84)</f>
        <v/>
      </c>
      <c r="P84" s="226"/>
      <c r="Q84" s="240" t="str">
        <f ca="1">IF(_xll.ELCOMPN(Server&amp;$C$24,C84)=0,"YES","NO")</f>
        <v>YES</v>
      </c>
      <c r="R84" s="241">
        <v>0</v>
      </c>
      <c r="S84" s="226"/>
      <c r="T84" s="227" t="str">
        <f ca="1">_xll.DBRW(Server&amp;Cube1,$F$17,$F$18,$F$19,$F$16,$C$14,$F$15,$F$14,$F$20,T$2,$T$1,$C84)</f>
        <v/>
      </c>
      <c r="U84" s="227" t="str">
        <f ca="1">_xll.DBRW(Server&amp;Cube1,$F$17,$F$18,$F$19,$F$16,$C$14,$F$15,$F$14,$F$20,U$2,$U$1,$C84)</f>
        <v/>
      </c>
      <c r="V84" s="227" t="str">
        <f ca="1">_xll.DBRW(Server&amp;Cube1,$F$17,$F$18,$F$19,$F$16,$C$14,$F$15,$F$14,$F$20,V$2,V$1,$C84)</f>
        <v/>
      </c>
      <c r="W84" s="227" t="str">
        <f ca="1">_xll.DBRW(Server&amp;Cube1,$F$17,$F$18,$F$19,$F$16,$C$14,$F$15,$F$14,$F$20,W$2,W$1,$C84)</f>
        <v/>
      </c>
      <c r="X84" s="227" t="str">
        <f ca="1">_xll.DBRW(Server&amp;Cube1,$F$17,$F$18,$F$19,$F$16,$C$14,$F$15,$F$14,$F$20,X$2,X$1,$C84)</f>
        <v/>
      </c>
      <c r="Y84" s="227" t="str">
        <f ca="1">_xll.DBRW(Server&amp;Cube1,$F$17,$F$18,$F$19,$F$16,$C$14,$F$15,$F$14,$F$20,Y$2,Y$1,$C84)</f>
        <v/>
      </c>
      <c r="Z84" s="241"/>
      <c r="AA84" s="241"/>
      <c r="AB84" s="241"/>
      <c r="AC84" s="241"/>
      <c r="AD84" s="241"/>
      <c r="AE84" s="241"/>
      <c r="AF84" s="221" t="str">
        <f ca="1">_xll.DBRW(Server&amp;Cube1,$F$17,$F$18,$F$19,$F$16,$C$14,$F$15,$F$14,$F$20,AF$2,$AF$1,$C84)</f>
        <v/>
      </c>
      <c r="AG84" s="53"/>
      <c r="AH84" s="53"/>
      <c r="AI84" s="53"/>
      <c r="AJ84" s="53"/>
      <c r="AK84" s="53"/>
      <c r="AL84" s="53"/>
      <c r="AM84" s="53"/>
      <c r="AN84" s="53"/>
      <c r="AO84" s="53"/>
      <c r="AP84" s="1"/>
      <c r="AQ84" s="53"/>
      <c r="AR84" s="255" t="s">
        <v>477</v>
      </c>
      <c r="AS84" s="168">
        <v>4600</v>
      </c>
      <c r="AT84" s="175" t="s">
        <v>477</v>
      </c>
      <c r="AU84" s="53"/>
      <c r="AV84" s="53"/>
      <c r="AW84" s="53"/>
      <c r="AX84" s="53"/>
      <c r="AY84" s="53"/>
      <c r="AZ84" s="53"/>
      <c r="BA84" s="53"/>
    </row>
    <row r="85" spans="1:53" ht="21" customHeight="1" thickBot="1" x14ac:dyDescent="0.35">
      <c r="A85" s="181" t="e">
        <f ca="1">IF($AT$35="YES",1,IF(_xll.ELCOMPN(Server&amp;$C$24,C85)&lt;&gt;0,1,IF(OR(B85=$AZ$35,B85="ALL"),1,0)))</f>
        <v>#VALUE!</v>
      </c>
      <c r="B85" s="163" t="str">
        <f t="shared" si="3"/>
        <v>LE</v>
      </c>
      <c r="C85" s="158" t="s">
        <v>192</v>
      </c>
      <c r="D85" s="24"/>
      <c r="E85" s="268" t="str">
        <f ca="1">_xll.DBRA(Server&amp;$C$24,$C85,$F$21)</f>
        <v>Entretien et Réparation Immobilier (JU)</v>
      </c>
      <c r="F85" s="268"/>
      <c r="G85" s="268"/>
      <c r="H85" s="43"/>
      <c r="I85" s="221" t="str">
        <f ca="1">_xll.DBRW(Server&amp;Cube1,$F$17,$F$18,$F$19,$F$16,$C$14,$F$15,$F$14,$F$20,I$2,I$1,$C85)</f>
        <v/>
      </c>
      <c r="J85" s="221" t="str">
        <f ca="1">_xll.DBRW(Server&amp;Cube1,$F$17,$F$18,$F$19,$F$16,$C$14,$F$15,$F$14,$F$20,J$2,J$1,$C85)</f>
        <v/>
      </c>
      <c r="K85" s="221" t="e">
        <f ca="1">_xll.DBRW(Server&amp;Cube1,$F$17,$F$18,$F$19,$F$16,$C$14,$F$15,$F$14,$F$20,I$2,I$1,$C85) -_xll.DBRW(Server&amp;Cube1,$F$17,$F$18,$F$19,$F$16,$C$14,$F$15,$F$14,$F$20,K$2,I$1,$C85)</f>
        <v>#VALUE!</v>
      </c>
      <c r="L85" s="221" t="e">
        <f t="shared" ca="1" si="2"/>
        <v>#VALUE!</v>
      </c>
      <c r="M85" s="221" t="e">
        <f t="shared" ca="1" si="1"/>
        <v>#VALUE!</v>
      </c>
      <c r="N85" s="226"/>
      <c r="O85" s="221" t="str">
        <f ca="1">_xll.DBRW(Server&amp;Cube1,$F$17,$F$18,$F$19,$F$16,$C$14,$F$15,$F$14,$F$20,O$2,O$1,$C85)</f>
        <v/>
      </c>
      <c r="P85" s="226"/>
      <c r="Q85" s="240" t="str">
        <f ca="1">IF(_xll.ELCOMPN(Server&amp;$C$24,C85)=0,"YES","NO")</f>
        <v>YES</v>
      </c>
      <c r="R85" s="241">
        <v>0</v>
      </c>
      <c r="S85" s="226"/>
      <c r="T85" s="227" t="str">
        <f ca="1">_xll.DBRW(Server&amp;Cube1,$F$17,$F$18,$F$19,$F$16,$C$14,$F$15,$F$14,$F$20,T$2,$T$1,$C85)</f>
        <v/>
      </c>
      <c r="U85" s="227" t="str">
        <f ca="1">_xll.DBRW(Server&amp;Cube1,$F$17,$F$18,$F$19,$F$16,$C$14,$F$15,$F$14,$F$20,U$2,$U$1,$C85)</f>
        <v/>
      </c>
      <c r="V85" s="227" t="str">
        <f ca="1">_xll.DBRW(Server&amp;Cube1,$F$17,$F$18,$F$19,$F$16,$C$14,$F$15,$F$14,$F$20,V$2,V$1,$C85)</f>
        <v/>
      </c>
      <c r="W85" s="227" t="str">
        <f ca="1">_xll.DBRW(Server&amp;Cube1,$F$17,$F$18,$F$19,$F$16,$C$14,$F$15,$F$14,$F$20,W$2,W$1,$C85)</f>
        <v/>
      </c>
      <c r="X85" s="227" t="str">
        <f ca="1">_xll.DBRW(Server&amp;Cube1,$F$17,$F$18,$F$19,$F$16,$C$14,$F$15,$F$14,$F$20,X$2,X$1,$C85)</f>
        <v/>
      </c>
      <c r="Y85" s="227" t="str">
        <f ca="1">_xll.DBRW(Server&amp;Cube1,$F$17,$F$18,$F$19,$F$16,$C$14,$F$15,$F$14,$F$20,Y$2,Y$1,$C85)</f>
        <v/>
      </c>
      <c r="Z85" s="241"/>
      <c r="AA85" s="241"/>
      <c r="AB85" s="241"/>
      <c r="AC85" s="241"/>
      <c r="AD85" s="241"/>
      <c r="AE85" s="241"/>
      <c r="AF85" s="221" t="str">
        <f ca="1">_xll.DBRW(Server&amp;Cube1,$F$17,$F$18,$F$19,$F$16,$C$14,$F$15,$F$14,$F$20,AF$2,$AF$1,$C85)</f>
        <v/>
      </c>
      <c r="AG85" s="53"/>
      <c r="AH85" s="53"/>
      <c r="AI85" s="53"/>
      <c r="AJ85" s="53"/>
      <c r="AK85" s="53"/>
      <c r="AL85" s="53"/>
      <c r="AM85" s="53"/>
      <c r="AN85" s="53"/>
      <c r="AO85" s="53"/>
      <c r="AP85" s="1"/>
      <c r="AQ85" s="53"/>
      <c r="AR85" s="256"/>
      <c r="AS85" s="170">
        <v>4610</v>
      </c>
      <c r="AT85" s="176" t="s">
        <v>477</v>
      </c>
      <c r="AU85" s="53"/>
      <c r="AV85" s="53"/>
      <c r="AW85" s="53"/>
      <c r="AX85" s="53"/>
      <c r="AY85" s="53"/>
      <c r="AZ85" s="53"/>
      <c r="BA85" s="53"/>
    </row>
    <row r="86" spans="1:53" ht="21" customHeight="1" x14ac:dyDescent="0.3">
      <c r="A86" s="181" t="e">
        <f ca="1">IF($AT$35="YES",1,IF(_xll.ELCOMPN(Server&amp;$C$24,C86)&lt;&gt;0,1,IF(OR(B86=$AZ$35,B86="ALL"),1,0)))</f>
        <v>#VALUE!</v>
      </c>
      <c r="B86" s="163" t="str">
        <f t="shared" si="3"/>
        <v>RM</v>
      </c>
      <c r="C86" s="158" t="s">
        <v>193</v>
      </c>
      <c r="D86" s="24"/>
      <c r="E86" s="268" t="str">
        <f ca="1">_xll.DBRA(Server&amp;$C$24,$C86,$F$21)</f>
        <v>Entretien et Réparation Immobilier (GR)</v>
      </c>
      <c r="F86" s="268"/>
      <c r="G86" s="268"/>
      <c r="H86" s="43"/>
      <c r="I86" s="221" t="str">
        <f ca="1">_xll.DBRW(Server&amp;Cube1,$F$17,$F$18,$F$19,$F$16,$C$14,$F$15,$F$14,$F$20,I$2,I$1,$C86)</f>
        <v/>
      </c>
      <c r="J86" s="221" t="str">
        <f ca="1">_xll.DBRW(Server&amp;Cube1,$F$17,$F$18,$F$19,$F$16,$C$14,$F$15,$F$14,$F$20,J$2,J$1,$C86)</f>
        <v/>
      </c>
      <c r="K86" s="221" t="e">
        <f ca="1">_xll.DBRW(Server&amp;Cube1,$F$17,$F$18,$F$19,$F$16,$C$14,$F$15,$F$14,$F$20,I$2,I$1,$C86) -_xll.DBRW(Server&amp;Cube1,$F$17,$F$18,$F$19,$F$16,$C$14,$F$15,$F$14,$F$20,K$2,I$1,$C86)</f>
        <v>#VALUE!</v>
      </c>
      <c r="L86" s="221" t="e">
        <f t="shared" ca="1" si="2"/>
        <v>#VALUE!</v>
      </c>
      <c r="M86" s="221" t="e">
        <f t="shared" ca="1" si="1"/>
        <v>#VALUE!</v>
      </c>
      <c r="N86" s="226"/>
      <c r="O86" s="221" t="str">
        <f ca="1">_xll.DBRW(Server&amp;Cube1,$F$17,$F$18,$F$19,$F$16,$C$14,$F$15,$F$14,$F$20,O$2,O$1,$C86)</f>
        <v/>
      </c>
      <c r="P86" s="226"/>
      <c r="Q86" s="240" t="str">
        <f ca="1">IF(_xll.ELCOMPN(Server&amp;$C$24,C86)=0,"YES","NO")</f>
        <v>YES</v>
      </c>
      <c r="R86" s="241">
        <v>0</v>
      </c>
      <c r="S86" s="226"/>
      <c r="T86" s="227" t="str">
        <f ca="1">_xll.DBRW(Server&amp;Cube1,$F$17,$F$18,$F$19,$F$16,$C$14,$F$15,$F$14,$F$20,T$2,$T$1,$C86)</f>
        <v/>
      </c>
      <c r="U86" s="227" t="str">
        <f ca="1">_xll.DBRW(Server&amp;Cube1,$F$17,$F$18,$F$19,$F$16,$C$14,$F$15,$F$14,$F$20,U$2,$U$1,$C86)</f>
        <v/>
      </c>
      <c r="V86" s="227" t="str">
        <f ca="1">_xll.DBRW(Server&amp;Cube1,$F$17,$F$18,$F$19,$F$16,$C$14,$F$15,$F$14,$F$20,V$2,V$1,$C86)</f>
        <v/>
      </c>
      <c r="W86" s="227" t="str">
        <f ca="1">_xll.DBRW(Server&amp;Cube1,$F$17,$F$18,$F$19,$F$16,$C$14,$F$15,$F$14,$F$20,W$2,W$1,$C86)</f>
        <v/>
      </c>
      <c r="X86" s="227" t="str">
        <f ca="1">_xll.DBRW(Server&amp;Cube1,$F$17,$F$18,$F$19,$F$16,$C$14,$F$15,$F$14,$F$20,X$2,X$1,$C86)</f>
        <v/>
      </c>
      <c r="Y86" s="227" t="str">
        <f ca="1">_xll.DBRW(Server&amp;Cube1,$F$17,$F$18,$F$19,$F$16,$C$14,$F$15,$F$14,$F$20,Y$2,Y$1,$C86)</f>
        <v/>
      </c>
      <c r="Z86" s="241"/>
      <c r="AA86" s="241"/>
      <c r="AB86" s="241"/>
      <c r="AC86" s="241"/>
      <c r="AD86" s="241"/>
      <c r="AE86" s="241"/>
      <c r="AF86" s="221" t="str">
        <f ca="1">_xll.DBRW(Server&amp;Cube1,$F$17,$F$18,$F$19,$F$16,$C$14,$F$15,$F$14,$F$20,AF$2,$AF$1,$C86)</f>
        <v/>
      </c>
      <c r="AG86" s="53"/>
      <c r="AH86" s="53"/>
      <c r="AI86" s="53"/>
      <c r="AJ86" s="53"/>
      <c r="AK86" s="53"/>
      <c r="AL86" s="53"/>
      <c r="AM86" s="53"/>
      <c r="AN86" s="53"/>
      <c r="AO86" s="53"/>
      <c r="AP86" s="1"/>
      <c r="AQ86" s="53"/>
      <c r="AR86" s="255" t="s">
        <v>478</v>
      </c>
      <c r="AS86" s="182">
        <v>4000</v>
      </c>
      <c r="AT86" s="175" t="s">
        <v>491</v>
      </c>
      <c r="AU86" s="53"/>
      <c r="AV86" s="53"/>
      <c r="AW86" s="53"/>
      <c r="AX86" s="53"/>
      <c r="AY86" s="53"/>
      <c r="AZ86" s="53"/>
      <c r="BA86" s="53"/>
    </row>
    <row r="87" spans="1:53" ht="21" customHeight="1" x14ac:dyDescent="0.3">
      <c r="A87" s="181" t="e">
        <f ca="1">IF($AT$35="YES",1,IF(_xll.ELCOMPN(Server&amp;$C$24,C87)&lt;&gt;0,1,IF(OR(B87=$AZ$35,B87="ALL"),1,0)))</f>
        <v>#VALUE!</v>
      </c>
      <c r="B87" s="163" t="str">
        <f t="shared" si="3"/>
        <v>PU</v>
      </c>
      <c r="C87" s="158" t="s">
        <v>194</v>
      </c>
      <c r="D87" s="24"/>
      <c r="E87" s="268" t="str">
        <f ca="1">_xll.DBRA(Server&amp;$C$24,$C87,$F$21)</f>
        <v>Entretien et Réparation Immobilier (AC)</v>
      </c>
      <c r="F87" s="268"/>
      <c r="G87" s="268"/>
      <c r="H87" s="43"/>
      <c r="I87" s="221" t="str">
        <f ca="1">_xll.DBRW(Server&amp;Cube1,$F$17,$F$18,$F$19,$F$16,$C$14,$F$15,$F$14,$F$20,I$2,I$1,$C87)</f>
        <v/>
      </c>
      <c r="J87" s="221" t="str">
        <f ca="1">_xll.DBRW(Server&amp;Cube1,$F$17,$F$18,$F$19,$F$16,$C$14,$F$15,$F$14,$F$20,J$2,J$1,$C87)</f>
        <v/>
      </c>
      <c r="K87" s="221" t="e">
        <f ca="1">_xll.DBRW(Server&amp;Cube1,$F$17,$F$18,$F$19,$F$16,$C$14,$F$15,$F$14,$F$20,I$2,I$1,$C87) -_xll.DBRW(Server&amp;Cube1,$F$17,$F$18,$F$19,$F$16,$C$14,$F$15,$F$14,$F$20,K$2,I$1,$C87)</f>
        <v>#VALUE!</v>
      </c>
      <c r="L87" s="221" t="e">
        <f t="shared" ca="1" si="2"/>
        <v>#VALUE!</v>
      </c>
      <c r="M87" s="221" t="e">
        <f t="shared" ca="1" si="1"/>
        <v>#VALUE!</v>
      </c>
      <c r="N87" s="226"/>
      <c r="O87" s="221" t="str">
        <f ca="1">_xll.DBRW(Server&amp;Cube1,$F$17,$F$18,$F$19,$F$16,$C$14,$F$15,$F$14,$F$20,O$2,O$1,$C87)</f>
        <v/>
      </c>
      <c r="P87" s="226"/>
      <c r="Q87" s="240" t="str">
        <f ca="1">IF(_xll.ELCOMPN(Server&amp;$C$24,C87)=0,"YES","NO")</f>
        <v>YES</v>
      </c>
      <c r="R87" s="241">
        <v>0</v>
      </c>
      <c r="S87" s="226"/>
      <c r="T87" s="227" t="str">
        <f ca="1">_xll.DBRW(Server&amp;Cube1,$F$17,$F$18,$F$19,$F$16,$C$14,$F$15,$F$14,$F$20,T$2,$T$1,$C87)</f>
        <v/>
      </c>
      <c r="U87" s="227" t="str">
        <f ca="1">_xll.DBRW(Server&amp;Cube1,$F$17,$F$18,$F$19,$F$16,$C$14,$F$15,$F$14,$F$20,U$2,$U$1,$C87)</f>
        <v/>
      </c>
      <c r="V87" s="227" t="str">
        <f ca="1">_xll.DBRW(Server&amp;Cube1,$F$17,$F$18,$F$19,$F$16,$C$14,$F$15,$F$14,$F$20,V$2,V$1,$C87)</f>
        <v/>
      </c>
      <c r="W87" s="227" t="str">
        <f ca="1">_xll.DBRW(Server&amp;Cube1,$F$17,$F$18,$F$19,$F$16,$C$14,$F$15,$F$14,$F$20,W$2,W$1,$C87)</f>
        <v/>
      </c>
      <c r="X87" s="227" t="str">
        <f ca="1">_xll.DBRW(Server&amp;Cube1,$F$17,$F$18,$F$19,$F$16,$C$14,$F$15,$F$14,$F$20,X$2,X$1,$C87)</f>
        <v/>
      </c>
      <c r="Y87" s="227" t="str">
        <f ca="1">_xll.DBRW(Server&amp;Cube1,$F$17,$F$18,$F$19,$F$16,$C$14,$F$15,$F$14,$F$20,Y$2,Y$1,$C87)</f>
        <v/>
      </c>
      <c r="Z87" s="241"/>
      <c r="AA87" s="241"/>
      <c r="AB87" s="241"/>
      <c r="AC87" s="241"/>
      <c r="AD87" s="241"/>
      <c r="AE87" s="241"/>
      <c r="AF87" s="221" t="str">
        <f ca="1">_xll.DBRW(Server&amp;Cube1,$F$17,$F$18,$F$19,$F$16,$C$14,$F$15,$F$14,$F$20,AF$2,$AF$1,$C87)</f>
        <v/>
      </c>
      <c r="AG87" s="53"/>
      <c r="AH87" s="53"/>
      <c r="AI87" s="53"/>
      <c r="AJ87" s="53"/>
      <c r="AK87" s="53"/>
      <c r="AL87" s="53"/>
      <c r="AM87" s="53"/>
      <c r="AN87" s="53"/>
      <c r="AO87" s="53"/>
      <c r="AP87" s="1"/>
      <c r="AQ87" s="53"/>
      <c r="AR87" s="257"/>
      <c r="AS87" s="183">
        <v>4010</v>
      </c>
      <c r="AT87" s="174" t="s">
        <v>491</v>
      </c>
      <c r="AU87" s="53"/>
      <c r="AV87" s="53"/>
      <c r="AW87" s="53"/>
      <c r="AX87" s="53"/>
      <c r="AY87" s="53"/>
      <c r="AZ87" s="53"/>
      <c r="BA87" s="53"/>
    </row>
    <row r="88" spans="1:53" ht="21" customHeight="1" x14ac:dyDescent="0.3">
      <c r="A88" s="181" t="e">
        <f ca="1">IF($AT$35="YES",1,IF(_xll.ELCOMPN(Server&amp;$C$24,C88)&lt;&gt;0,1,IF(OR(B88=$AZ$35,B88="ALL"),1,0)))</f>
        <v>#VALUE!</v>
      </c>
      <c r="B88" s="163" t="str">
        <f t="shared" si="3"/>
        <v>CO</v>
      </c>
      <c r="C88" s="158" t="s">
        <v>195</v>
      </c>
      <c r="D88" s="24"/>
      <c r="E88" s="268" t="str">
        <f ca="1">_xll.DBRA(Server&amp;$C$24,$C88,$F$21)</f>
        <v>Entretien et Réparation Immobilier (CO)</v>
      </c>
      <c r="F88" s="268"/>
      <c r="G88" s="268"/>
      <c r="H88" s="43"/>
      <c r="I88" s="221" t="str">
        <f ca="1">_xll.DBRW(Server&amp;Cube1,$F$17,$F$18,$F$19,$F$16,$C$14,$F$15,$F$14,$F$20,I$2,I$1,$C88)</f>
        <v/>
      </c>
      <c r="J88" s="221" t="str">
        <f ca="1">_xll.DBRW(Server&amp;Cube1,$F$17,$F$18,$F$19,$F$16,$C$14,$F$15,$F$14,$F$20,J$2,J$1,$C88)</f>
        <v/>
      </c>
      <c r="K88" s="221" t="e">
        <f ca="1">_xll.DBRW(Server&amp;Cube1,$F$17,$F$18,$F$19,$F$16,$C$14,$F$15,$F$14,$F$20,I$2,I$1,$C88) -_xll.DBRW(Server&amp;Cube1,$F$17,$F$18,$F$19,$F$16,$C$14,$F$15,$F$14,$F$20,K$2,I$1,$C88)</f>
        <v>#VALUE!</v>
      </c>
      <c r="L88" s="221" t="e">
        <f t="shared" ca="1" si="2"/>
        <v>#VALUE!</v>
      </c>
      <c r="M88" s="221" t="e">
        <f t="shared" ca="1" si="1"/>
        <v>#VALUE!</v>
      </c>
      <c r="N88" s="226"/>
      <c r="O88" s="221" t="str">
        <f ca="1">_xll.DBRW(Server&amp;Cube1,$F$17,$F$18,$F$19,$F$16,$C$14,$F$15,$F$14,$F$20,O$2,O$1,$C88)</f>
        <v/>
      </c>
      <c r="P88" s="226"/>
      <c r="Q88" s="240" t="str">
        <f ca="1">IF(_xll.ELCOMPN(Server&amp;$C$24,C88)=0,"YES","NO")</f>
        <v>YES</v>
      </c>
      <c r="R88" s="241">
        <v>0</v>
      </c>
      <c r="S88" s="226"/>
      <c r="T88" s="227" t="str">
        <f ca="1">_xll.DBRW(Server&amp;Cube1,$F$17,$F$18,$F$19,$F$16,$C$14,$F$15,$F$14,$F$20,T$2,$T$1,$C88)</f>
        <v/>
      </c>
      <c r="U88" s="227" t="str">
        <f ca="1">_xll.DBRW(Server&amp;Cube1,$F$17,$F$18,$F$19,$F$16,$C$14,$F$15,$F$14,$F$20,U$2,$U$1,$C88)</f>
        <v/>
      </c>
      <c r="V88" s="227" t="str">
        <f ca="1">_xll.DBRW(Server&amp;Cube1,$F$17,$F$18,$F$19,$F$16,$C$14,$F$15,$F$14,$F$20,V$2,V$1,$C88)</f>
        <v/>
      </c>
      <c r="W88" s="227" t="str">
        <f ca="1">_xll.DBRW(Server&amp;Cube1,$F$17,$F$18,$F$19,$F$16,$C$14,$F$15,$F$14,$F$20,W$2,W$1,$C88)</f>
        <v/>
      </c>
      <c r="X88" s="227" t="str">
        <f ca="1">_xll.DBRW(Server&amp;Cube1,$F$17,$F$18,$F$19,$F$16,$C$14,$F$15,$F$14,$F$20,X$2,X$1,$C88)</f>
        <v/>
      </c>
      <c r="Y88" s="227" t="str">
        <f ca="1">_xll.DBRW(Server&amp;Cube1,$F$17,$F$18,$F$19,$F$16,$C$14,$F$15,$F$14,$F$20,Y$2,Y$1,$C88)</f>
        <v/>
      </c>
      <c r="Z88" s="241"/>
      <c r="AA88" s="241"/>
      <c r="AB88" s="241"/>
      <c r="AC88" s="241"/>
      <c r="AD88" s="241"/>
      <c r="AE88" s="241"/>
      <c r="AF88" s="221" t="str">
        <f ca="1">_xll.DBRW(Server&amp;Cube1,$F$17,$F$18,$F$19,$F$16,$C$14,$F$15,$F$14,$F$20,AF$2,$AF$1,$C88)</f>
        <v/>
      </c>
      <c r="AG88" s="53"/>
      <c r="AH88" s="53"/>
      <c r="AI88" s="53"/>
      <c r="AJ88" s="53"/>
      <c r="AK88" s="53"/>
      <c r="AL88" s="53"/>
      <c r="AM88" s="53"/>
      <c r="AN88" s="53"/>
      <c r="AO88" s="53"/>
      <c r="AP88" s="1"/>
      <c r="AQ88" s="53"/>
      <c r="AR88" s="257"/>
      <c r="AS88" s="183">
        <v>4300</v>
      </c>
      <c r="AT88" s="174" t="s">
        <v>491</v>
      </c>
      <c r="AU88" s="53"/>
      <c r="AV88" s="53"/>
      <c r="AW88" s="53"/>
      <c r="AX88" s="53"/>
      <c r="AY88" s="53"/>
      <c r="AZ88" s="53"/>
      <c r="BA88" s="53"/>
    </row>
    <row r="89" spans="1:53" ht="21" customHeight="1" x14ac:dyDescent="0.3">
      <c r="A89" s="181" t="e">
        <f ca="1">IF($AT$35="YES",1,IF(_xll.ELCOMPN(Server&amp;$C$24,C89)&lt;&gt;0,1,IF(OR(B89=$AZ$35,B89="ALL"),1,0)))</f>
        <v>#VALUE!</v>
      </c>
      <c r="B89" s="163" t="str">
        <f t="shared" si="3"/>
        <v>GS</v>
      </c>
      <c r="C89" s="158" t="s">
        <v>196</v>
      </c>
      <c r="D89" s="24"/>
      <c r="E89" s="268" t="str">
        <f ca="1">_xll.DBRA(Server&amp;$C$24,$C89,$F$21)</f>
        <v>Entretien et Réparation Immobilier (SG)</v>
      </c>
      <c r="F89" s="268"/>
      <c r="G89" s="268"/>
      <c r="H89" s="43"/>
      <c r="I89" s="221" t="str">
        <f ca="1">_xll.DBRW(Server&amp;Cube1,$F$17,$F$18,$F$19,$F$16,$C$14,$F$15,$F$14,$F$20,I$2,I$1,$C89)</f>
        <v/>
      </c>
      <c r="J89" s="221" t="str">
        <f ca="1">_xll.DBRW(Server&amp;Cube1,$F$17,$F$18,$F$19,$F$16,$C$14,$F$15,$F$14,$F$20,J$2,J$1,$C89)</f>
        <v/>
      </c>
      <c r="K89" s="221" t="e">
        <f ca="1">_xll.DBRW(Server&amp;Cube1,$F$17,$F$18,$F$19,$F$16,$C$14,$F$15,$F$14,$F$20,I$2,I$1,$C89) -_xll.DBRW(Server&amp;Cube1,$F$17,$F$18,$F$19,$F$16,$C$14,$F$15,$F$14,$F$20,K$2,I$1,$C89)</f>
        <v>#VALUE!</v>
      </c>
      <c r="L89" s="221" t="e">
        <f t="shared" ca="1" si="2"/>
        <v>#VALUE!</v>
      </c>
      <c r="M89" s="221" t="e">
        <f t="shared" ca="1" si="1"/>
        <v>#VALUE!</v>
      </c>
      <c r="N89" s="226"/>
      <c r="O89" s="221" t="str">
        <f ca="1">_xll.DBRW(Server&amp;Cube1,$F$17,$F$18,$F$19,$F$16,$C$14,$F$15,$F$14,$F$20,O$2,O$1,$C89)</f>
        <v/>
      </c>
      <c r="P89" s="226"/>
      <c r="Q89" s="240" t="str">
        <f ca="1">IF(_xll.ELCOMPN(Server&amp;$C$24,C89)=0,"YES","NO")</f>
        <v>YES</v>
      </c>
      <c r="R89" s="241">
        <v>0</v>
      </c>
      <c r="S89" s="226"/>
      <c r="T89" s="227" t="str">
        <f ca="1">_xll.DBRW(Server&amp;Cube1,$F$17,$F$18,$F$19,$F$16,$C$14,$F$15,$F$14,$F$20,T$2,$T$1,$C89)</f>
        <v/>
      </c>
      <c r="U89" s="227" t="str">
        <f ca="1">_xll.DBRW(Server&amp;Cube1,$F$17,$F$18,$F$19,$F$16,$C$14,$F$15,$F$14,$F$20,U$2,$U$1,$C89)</f>
        <v/>
      </c>
      <c r="V89" s="227" t="str">
        <f ca="1">_xll.DBRW(Server&amp;Cube1,$F$17,$F$18,$F$19,$F$16,$C$14,$F$15,$F$14,$F$20,V$2,V$1,$C89)</f>
        <v/>
      </c>
      <c r="W89" s="227" t="str">
        <f ca="1">_xll.DBRW(Server&amp;Cube1,$F$17,$F$18,$F$19,$F$16,$C$14,$F$15,$F$14,$F$20,W$2,W$1,$C89)</f>
        <v/>
      </c>
      <c r="X89" s="227" t="str">
        <f ca="1">_xll.DBRW(Server&amp;Cube1,$F$17,$F$18,$F$19,$F$16,$C$14,$F$15,$F$14,$F$20,X$2,X$1,$C89)</f>
        <v/>
      </c>
      <c r="Y89" s="227" t="str">
        <f ca="1">_xll.DBRW(Server&amp;Cube1,$F$17,$F$18,$F$19,$F$16,$C$14,$F$15,$F$14,$F$20,Y$2,Y$1,$C89)</f>
        <v/>
      </c>
      <c r="Z89" s="241"/>
      <c r="AA89" s="241"/>
      <c r="AB89" s="241"/>
      <c r="AC89" s="241"/>
      <c r="AD89" s="241"/>
      <c r="AE89" s="241"/>
      <c r="AF89" s="221" t="str">
        <f ca="1">_xll.DBRW(Server&amp;Cube1,$F$17,$F$18,$F$19,$F$16,$C$14,$F$15,$F$14,$F$20,AF$2,$AF$1,$C89)</f>
        <v/>
      </c>
      <c r="AG89" s="53"/>
      <c r="AH89" s="53"/>
      <c r="AI89" s="53"/>
      <c r="AJ89" s="53"/>
      <c r="AK89" s="53"/>
      <c r="AL89" s="53"/>
      <c r="AM89" s="53"/>
      <c r="AN89" s="53"/>
      <c r="AO89" s="53"/>
      <c r="AP89" s="1"/>
      <c r="AQ89" s="53"/>
      <c r="AR89" s="257"/>
      <c r="AS89" s="183">
        <v>4800</v>
      </c>
      <c r="AT89" s="174" t="s">
        <v>491</v>
      </c>
      <c r="AU89" s="53"/>
      <c r="AV89" s="53"/>
      <c r="AW89" s="53"/>
      <c r="AX89" s="53"/>
      <c r="AY89" s="53"/>
      <c r="AZ89" s="53"/>
      <c r="BA89" s="53"/>
    </row>
    <row r="90" spans="1:53" ht="21" customHeight="1" x14ac:dyDescent="0.3">
      <c r="A90" s="181" t="e">
        <f ca="1">IF($AT$35="YES",1,IF(_xll.ELCOMPN(Server&amp;$C$24,C90)&lt;&gt;0,1,IF(OR(B90=$AZ$35,B90="ALL"),1,0)))</f>
        <v>#VALUE!</v>
      </c>
      <c r="B90" s="163" t="str">
        <f t="shared" si="3"/>
        <v>RD</v>
      </c>
      <c r="C90" s="158" t="s">
        <v>197</v>
      </c>
      <c r="D90" s="24"/>
      <c r="E90" s="268" t="str">
        <f ca="1">_xll.DBRA(Server&amp;$C$24,$C90,$F$21)</f>
        <v>Entretien et Réparation Immobilier (RD)</v>
      </c>
      <c r="F90" s="268"/>
      <c r="G90" s="268"/>
      <c r="H90" s="43"/>
      <c r="I90" s="221" t="str">
        <f ca="1">_xll.DBRW(Server&amp;Cube1,$F$17,$F$18,$F$19,$F$16,$C$14,$F$15,$F$14,$F$20,I$2,I$1,$C90)</f>
        <v/>
      </c>
      <c r="J90" s="221" t="str">
        <f ca="1">_xll.DBRW(Server&amp;Cube1,$F$17,$F$18,$F$19,$F$16,$C$14,$F$15,$F$14,$F$20,J$2,J$1,$C90)</f>
        <v/>
      </c>
      <c r="K90" s="221" t="e">
        <f ca="1">_xll.DBRW(Server&amp;Cube1,$F$17,$F$18,$F$19,$F$16,$C$14,$F$15,$F$14,$F$20,I$2,I$1,$C90) -_xll.DBRW(Server&amp;Cube1,$F$17,$F$18,$F$19,$F$16,$C$14,$F$15,$F$14,$F$20,K$2,I$1,$C90)</f>
        <v>#VALUE!</v>
      </c>
      <c r="L90" s="221" t="e">
        <f t="shared" ca="1" si="2"/>
        <v>#VALUE!</v>
      </c>
      <c r="M90" s="221" t="e">
        <f t="shared" ref="M90:M153" ca="1" si="4">$L90-$I90</f>
        <v>#VALUE!</v>
      </c>
      <c r="N90" s="226"/>
      <c r="O90" s="221" t="str">
        <f ca="1">_xll.DBRW(Server&amp;Cube1,$F$17,$F$18,$F$19,$F$16,$C$14,$F$15,$F$14,$F$20,O$2,O$1,$C90)</f>
        <v/>
      </c>
      <c r="P90" s="226"/>
      <c r="Q90" s="240" t="str">
        <f ca="1">IF(_xll.ELCOMPN(Server&amp;$C$24,C90)=0,"YES","NO")</f>
        <v>YES</v>
      </c>
      <c r="R90" s="241">
        <v>0</v>
      </c>
      <c r="S90" s="226"/>
      <c r="T90" s="227" t="str">
        <f ca="1">_xll.DBRW(Server&amp;Cube1,$F$17,$F$18,$F$19,$F$16,$C$14,$F$15,$F$14,$F$20,T$2,$T$1,$C90)</f>
        <v/>
      </c>
      <c r="U90" s="227" t="str">
        <f ca="1">_xll.DBRW(Server&amp;Cube1,$F$17,$F$18,$F$19,$F$16,$C$14,$F$15,$F$14,$F$20,U$2,$U$1,$C90)</f>
        <v/>
      </c>
      <c r="V90" s="227" t="str">
        <f ca="1">_xll.DBRW(Server&amp;Cube1,$F$17,$F$18,$F$19,$F$16,$C$14,$F$15,$F$14,$F$20,V$2,V$1,$C90)</f>
        <v/>
      </c>
      <c r="W90" s="227" t="str">
        <f ca="1">_xll.DBRW(Server&amp;Cube1,$F$17,$F$18,$F$19,$F$16,$C$14,$F$15,$F$14,$F$20,W$2,W$1,$C90)</f>
        <v/>
      </c>
      <c r="X90" s="227" t="str">
        <f ca="1">_xll.DBRW(Server&amp;Cube1,$F$17,$F$18,$F$19,$F$16,$C$14,$F$15,$F$14,$F$20,X$2,X$1,$C90)</f>
        <v/>
      </c>
      <c r="Y90" s="227" t="str">
        <f ca="1">_xll.DBRW(Server&amp;Cube1,$F$17,$F$18,$F$19,$F$16,$C$14,$F$15,$F$14,$F$20,Y$2,Y$1,$C90)</f>
        <v/>
      </c>
      <c r="Z90" s="241"/>
      <c r="AA90" s="241"/>
      <c r="AB90" s="241"/>
      <c r="AC90" s="241"/>
      <c r="AD90" s="241"/>
      <c r="AE90" s="241"/>
      <c r="AF90" s="221" t="str">
        <f ca="1">_xll.DBRW(Server&amp;Cube1,$F$17,$F$18,$F$19,$F$16,$C$14,$F$15,$F$14,$F$20,AF$2,$AF$1,$C90)</f>
        <v/>
      </c>
      <c r="AG90" s="53"/>
      <c r="AH90" s="53"/>
      <c r="AI90" s="53"/>
      <c r="AJ90" s="53"/>
      <c r="AK90" s="53"/>
      <c r="AL90" s="53"/>
      <c r="AM90" s="53"/>
      <c r="AN90" s="53"/>
      <c r="AO90" s="53"/>
      <c r="AP90" s="1"/>
      <c r="AQ90" s="53"/>
      <c r="AR90" s="257"/>
      <c r="AS90" s="183">
        <v>4900</v>
      </c>
      <c r="AT90" s="174" t="s">
        <v>491</v>
      </c>
      <c r="AU90" s="53"/>
      <c r="AV90" s="53"/>
      <c r="AW90" s="53"/>
      <c r="AX90" s="53"/>
      <c r="AY90" s="53"/>
      <c r="AZ90" s="53"/>
      <c r="BA90" s="53"/>
    </row>
    <row r="91" spans="1:53" ht="24" collapsed="1" thickBot="1" x14ac:dyDescent="0.35">
      <c r="A91" s="181">
        <f ca="1">IF($AT$35="YES",1,IF(_xll.ELCOMPN(Server&amp;$C$24,C91)&lt;&gt;0,1,IF(OR(B91=$AZ$35,B91="ALL"),1,0)))</f>
        <v>1</v>
      </c>
      <c r="B91" s="163" t="str">
        <f t="shared" si="3"/>
        <v>po</v>
      </c>
      <c r="C91" s="117" t="s">
        <v>87</v>
      </c>
      <c r="D91" s="24"/>
      <c r="E91" s="270" t="str">
        <f ca="1">_xll.DBRA(Server&amp;$C$24,$C91,$F$21)</f>
        <v>Frais postaux</v>
      </c>
      <c r="F91" s="270"/>
      <c r="G91" s="270"/>
      <c r="H91" s="43"/>
      <c r="I91" s="221" t="str">
        <f ca="1">_xll.DBRW(Server&amp;Cube1,$F$17,$F$18,$F$19,$F$16,$C$14,$F$15,$F$14,$F$20,I$2,I$1,$C91)</f>
        <v/>
      </c>
      <c r="J91" s="221" t="str">
        <f ca="1">_xll.DBRW(Server&amp;Cube1,$F$17,$F$18,$F$19,$F$16,$C$14,$F$15,$F$14,$F$20,J$2,J$1,$C91)</f>
        <v/>
      </c>
      <c r="K91" s="221" t="e">
        <f ca="1">_xll.DBRW(Server&amp;Cube1,$F$17,$F$18,$F$19,$F$16,$C$14,$F$15,$F$14,$F$20,I$2,I$1,$C91) -_xll.DBRW(Server&amp;Cube1,$F$17,$F$18,$F$19,$F$16,$C$14,$F$15,$F$14,$F$20,K$2,I$1,$C91)</f>
        <v>#VALUE!</v>
      </c>
      <c r="L91" s="221" t="e">
        <f t="shared" ca="1" si="2"/>
        <v>#VALUE!</v>
      </c>
      <c r="M91" s="221" t="e">
        <f t="shared" ca="1" si="4"/>
        <v>#VALUE!</v>
      </c>
      <c r="N91" s="229"/>
      <c r="O91" s="229" t="str">
        <f ca="1">_xll.DBRW(Server&amp;Cube1,$F$17,$F$18,$F$19,$F$16,$C$14,$F$15,$F$14,$F$20,O$2,O$1,$C91)</f>
        <v/>
      </c>
      <c r="P91" s="229"/>
      <c r="Q91" s="240" t="str">
        <f ca="1">IF(_xll.ELCOMPN(Server&amp;$C$24,C91)=0,"YES","NO")</f>
        <v>NO</v>
      </c>
      <c r="R91" s="229"/>
      <c r="S91" s="229"/>
      <c r="T91" s="230" t="str">
        <f ca="1">_xll.DBRW(Server&amp;Cube1,$F$17,$F$18,$F$19,$F$16,$C$14,$F$15,$F$14,$F$20,T$2,$T$1,$C91)</f>
        <v/>
      </c>
      <c r="U91" s="230" t="str">
        <f ca="1">_xll.DBRW(Server&amp;Cube1,$F$17,$F$18,$F$19,$F$16,$C$14,$F$15,$F$14,$F$20,U$2,$U$1,$C91)</f>
        <v/>
      </c>
      <c r="V91" s="230" t="str">
        <f ca="1">_xll.DBRW(Server&amp;Cube1,$F$17,$F$18,$F$19,$F$16,$C$14,$F$15,$F$14,$F$20,V$2,V$1,$C91)</f>
        <v/>
      </c>
      <c r="W91" s="230" t="str">
        <f ca="1">_xll.DBRW(Server&amp;Cube1,$F$17,$F$18,$F$19,$F$16,$C$14,$F$15,$F$14,$F$20,W$2,W$1,$C91)</f>
        <v/>
      </c>
      <c r="X91" s="229" t="str">
        <f ca="1">_xll.DBRW(Server&amp;Cube1,$F$17,$F$18,$F$19,$F$16,$C$14,$F$15,$F$14,$F$20,X$2,X$1,$C91)</f>
        <v/>
      </c>
      <c r="Y91" s="229" t="str">
        <f ca="1">_xll.DBRW(Server&amp;Cube1,$F$17,$F$18,$F$19,$F$16,$C$14,$F$15,$F$14,$F$20,Y$2,Y$1,$C91)</f>
        <v/>
      </c>
      <c r="Z91" s="229" t="str">
        <f ca="1">_xll.DBRW(Server&amp;Cube1,$F$17,$F$18,$F$19,$F$16,$C$14,$F$15,$F$14,$F$20,Z$2,Z$1,$C91)</f>
        <v/>
      </c>
      <c r="AA91" s="229" t="str">
        <f ca="1">_xll.DBRW(Server&amp;Cube1,$F$17,$F$18,$F$19,$F$16,$C$14,$F$15,$F$14,$F$20,AA$2,AA$1,$C91)</f>
        <v/>
      </c>
      <c r="AB91" s="229" t="str">
        <f ca="1">_xll.DBRW(Server&amp;Cube1,$F$17,$F$18,$F$19,$F$16,$C$14,$F$15,$F$14,$F$20,AB$2,AB$1,$C91)</f>
        <v/>
      </c>
      <c r="AC91" s="229" t="str">
        <f ca="1">_xll.DBRW(Server&amp;Cube1,$F$17,$F$18,$F$19,$F$16,$C$14,$F$15,$F$14,$F$20,AC$2,AC$1,$C91)</f>
        <v/>
      </c>
      <c r="AD91" s="229" t="str">
        <f ca="1">_xll.DBRW(Server&amp;Cube1,$F$17,$F$18,$F$19,$F$16,$C$14,$F$15,$F$14,$F$20,AD$2,AD$1,$C91)</f>
        <v/>
      </c>
      <c r="AE91" s="229" t="str">
        <f ca="1">_xll.DBRW(Server&amp;Cube1,$F$17,$F$18,$F$19,$F$16,$C$14,$F$15,$F$14,$F$20,AE$2,AE$1,$C91)</f>
        <v/>
      </c>
      <c r="AF91" s="229" t="str">
        <f ca="1">_xll.DBRW(Server&amp;Cube1,$F$17,$F$18,$F$19,$F$16,$C$14,$F$15,$F$14,$F$20,AF$2,$AF$1,$C91)</f>
        <v/>
      </c>
      <c r="AG91" s="53"/>
      <c r="AH91" s="53"/>
      <c r="AI91" s="53"/>
      <c r="AJ91" s="53"/>
      <c r="AK91" s="53"/>
      <c r="AL91" s="53"/>
      <c r="AM91" s="53"/>
      <c r="AN91" s="53"/>
      <c r="AO91" s="53"/>
      <c r="AP91" s="1"/>
      <c r="AQ91" s="53"/>
      <c r="AR91" s="256"/>
      <c r="AS91" s="187">
        <v>660</v>
      </c>
      <c r="AT91" s="176" t="s">
        <v>491</v>
      </c>
      <c r="AU91" s="53"/>
      <c r="AV91" s="53"/>
      <c r="AW91" s="53"/>
      <c r="AX91" s="53"/>
      <c r="AY91" s="53"/>
      <c r="AZ91" s="53"/>
      <c r="BA91" s="53"/>
    </row>
    <row r="92" spans="1:53" ht="23.25" x14ac:dyDescent="0.3">
      <c r="A92" s="181" t="e">
        <f ca="1">IF($AT$35="YES",1,IF(_xll.ELCOMPN(Server&amp;$C$24,C92)&lt;&gt;0,1,IF(OR(B92=$AZ$35,B92="ALL"),1,0)))</f>
        <v>#VALUE!</v>
      </c>
      <c r="B92" s="163" t="str">
        <f t="shared" si="3"/>
        <v>DS</v>
      </c>
      <c r="C92" s="158" t="s">
        <v>198</v>
      </c>
      <c r="D92" s="24"/>
      <c r="E92" s="268" t="str">
        <f ca="1">_xll.DBRA(Server&amp;$C$24,$C92,$F$21)</f>
        <v>Frais postaux (SO)</v>
      </c>
      <c r="F92" s="268"/>
      <c r="G92" s="268"/>
      <c r="H92" s="43"/>
      <c r="I92" s="221" t="str">
        <f ca="1">_xll.DBRW(Server&amp;Cube1,$F$17,$F$18,$F$19,$F$16,$C$14,$F$15,$F$14,$F$20,I$2,I$1,$C92)</f>
        <v/>
      </c>
      <c r="J92" s="221" t="str">
        <f ca="1">_xll.DBRW(Server&amp;Cube1,$F$17,$F$18,$F$19,$F$16,$C$14,$F$15,$F$14,$F$20,J$2,J$1,$C92)</f>
        <v/>
      </c>
      <c r="K92" s="221" t="e">
        <f ca="1">_xll.DBRW(Server&amp;Cube1,$F$17,$F$18,$F$19,$F$16,$C$14,$F$15,$F$14,$F$20,I$2,I$1,$C92) -_xll.DBRW(Server&amp;Cube1,$F$17,$F$18,$F$19,$F$16,$C$14,$F$15,$F$14,$F$20,K$2,I$1,$C92)</f>
        <v>#VALUE!</v>
      </c>
      <c r="L92" s="221" t="e">
        <f t="shared" ca="1" si="2"/>
        <v>#VALUE!</v>
      </c>
      <c r="M92" s="221" t="e">
        <f t="shared" ca="1" si="4"/>
        <v>#VALUE!</v>
      </c>
      <c r="N92" s="226"/>
      <c r="O92" s="221" t="str">
        <f ca="1">_xll.DBRW(Server&amp;Cube1,$F$17,$F$18,$F$19,$F$16,$C$14,$F$15,$F$14,$F$20,O$2,O$1,$C92)</f>
        <v/>
      </c>
      <c r="P92" s="226"/>
      <c r="Q92" s="240" t="str">
        <f ca="1">IF(_xll.ELCOMPN(Server&amp;$C$24,C92)=0,"YES","NO")</f>
        <v>YES</v>
      </c>
      <c r="R92" s="241">
        <v>0</v>
      </c>
      <c r="S92" s="226"/>
      <c r="T92" s="227" t="str">
        <f ca="1">_xll.DBRW(Server&amp;Cube1,$F$17,$F$18,$F$19,$F$16,$C$14,$F$15,$F$14,$F$20,T$2,$T$1,$C92)</f>
        <v/>
      </c>
      <c r="U92" s="227" t="str">
        <f ca="1">_xll.DBRW(Server&amp;Cube1,$F$17,$F$18,$F$19,$F$16,$C$14,$F$15,$F$14,$F$20,U$2,$U$1,$C92)</f>
        <v/>
      </c>
      <c r="V92" s="227" t="str">
        <f ca="1">_xll.DBRW(Server&amp;Cube1,$F$17,$F$18,$F$19,$F$16,$C$14,$F$15,$F$14,$F$20,V$2,V$1,$C92)</f>
        <v/>
      </c>
      <c r="W92" s="227" t="str">
        <f ca="1">_xll.DBRW(Server&amp;Cube1,$F$17,$F$18,$F$19,$F$16,$C$14,$F$15,$F$14,$F$20,W$2,W$1,$C92)</f>
        <v/>
      </c>
      <c r="X92" s="227" t="str">
        <f ca="1">_xll.DBRW(Server&amp;Cube1,$F$17,$F$18,$F$19,$F$16,$C$14,$F$15,$F$14,$F$20,X$2,X$1,$C92)</f>
        <v/>
      </c>
      <c r="Y92" s="227" t="str">
        <f ca="1">_xll.DBRW(Server&amp;Cube1,$F$17,$F$18,$F$19,$F$16,$C$14,$F$15,$F$14,$F$20,Y$2,Y$1,$C92)</f>
        <v/>
      </c>
      <c r="Z92" s="241"/>
      <c r="AA92" s="241"/>
      <c r="AB92" s="241"/>
      <c r="AC92" s="241"/>
      <c r="AD92" s="241"/>
      <c r="AE92" s="241"/>
      <c r="AF92" s="221" t="str">
        <f ca="1">_xll.DBRW(Server&amp;Cube1,$F$17,$F$18,$F$19,$F$16,$C$14,$F$15,$F$14,$F$20,AF$2,$AF$1,$C92)</f>
        <v/>
      </c>
      <c r="AG92" s="53"/>
      <c r="AH92" s="53"/>
      <c r="AI92" s="53"/>
      <c r="AJ92" s="53"/>
      <c r="AK92" s="53"/>
      <c r="AL92" s="53"/>
      <c r="AM92" s="53"/>
      <c r="AN92" s="53"/>
      <c r="AO92" s="53"/>
      <c r="AP92" s="1"/>
      <c r="AQ92" s="53"/>
      <c r="AR92" s="255" t="s">
        <v>479</v>
      </c>
      <c r="AS92" s="168">
        <v>1010</v>
      </c>
      <c r="AT92" s="175" t="s">
        <v>487</v>
      </c>
      <c r="AU92" s="53"/>
      <c r="AV92" s="53"/>
      <c r="AW92" s="53"/>
      <c r="AX92" s="53"/>
      <c r="AY92" s="53"/>
      <c r="AZ92" s="53"/>
      <c r="BA92" s="53"/>
    </row>
    <row r="93" spans="1:53" ht="23.25" x14ac:dyDescent="0.3">
      <c r="A93" s="181" t="e">
        <f ca="1">IF($AT$35="YES",1,IF(_xll.ELCOMPN(Server&amp;$C$24,C93)&lt;&gt;0,1,IF(OR(B93=$AZ$35,B93="ALL"),1,0)))</f>
        <v>#VALUE!</v>
      </c>
      <c r="B93" s="163" t="str">
        <f t="shared" si="3"/>
        <v>BD</v>
      </c>
      <c r="C93" s="158" t="s">
        <v>199</v>
      </c>
      <c r="D93" s="24"/>
      <c r="E93" s="268" t="str">
        <f ca="1">_xll.DBRA(Server&amp;$C$24,$C93,$F$21)</f>
        <v>Frais postaux (DC)</v>
      </c>
      <c r="F93" s="268"/>
      <c r="G93" s="268"/>
      <c r="H93" s="43"/>
      <c r="I93" s="221" t="str">
        <f ca="1">_xll.DBRW(Server&amp;Cube1,$F$17,$F$18,$F$19,$F$16,$C$14,$F$15,$F$14,$F$20,I$2,I$1,$C93)</f>
        <v/>
      </c>
      <c r="J93" s="221" t="str">
        <f ca="1">_xll.DBRW(Server&amp;Cube1,$F$17,$F$18,$F$19,$F$16,$C$14,$F$15,$F$14,$F$20,J$2,J$1,$C93)</f>
        <v/>
      </c>
      <c r="K93" s="221" t="e">
        <f ca="1">_xll.DBRW(Server&amp;Cube1,$F$17,$F$18,$F$19,$F$16,$C$14,$F$15,$F$14,$F$20,I$2,I$1,$C93) -_xll.DBRW(Server&amp;Cube1,$F$17,$F$18,$F$19,$F$16,$C$14,$F$15,$F$14,$F$20,K$2,I$1,$C93)</f>
        <v>#VALUE!</v>
      </c>
      <c r="L93" s="221" t="e">
        <f t="shared" ca="1" si="2"/>
        <v>#VALUE!</v>
      </c>
      <c r="M93" s="221" t="e">
        <f t="shared" ca="1" si="4"/>
        <v>#VALUE!</v>
      </c>
      <c r="N93" s="226"/>
      <c r="O93" s="221" t="str">
        <f ca="1">_xll.DBRW(Server&amp;Cube1,$F$17,$F$18,$F$19,$F$16,$C$14,$F$15,$F$14,$F$20,O$2,O$1,$C93)</f>
        <v/>
      </c>
      <c r="P93" s="226"/>
      <c r="Q93" s="240" t="str">
        <f ca="1">IF(_xll.ELCOMPN(Server&amp;$C$24,C93)=0,"YES","NO")</f>
        <v>YES</v>
      </c>
      <c r="R93" s="241">
        <v>0</v>
      </c>
      <c r="S93" s="226"/>
      <c r="T93" s="227" t="str">
        <f ca="1">_xll.DBRW(Server&amp;Cube1,$F$17,$F$18,$F$19,$F$16,$C$14,$F$15,$F$14,$F$20,T$2,$T$1,$C93)</f>
        <v/>
      </c>
      <c r="U93" s="227" t="str">
        <f ca="1">_xll.DBRW(Server&amp;Cube1,$F$17,$F$18,$F$19,$F$16,$C$14,$F$15,$F$14,$F$20,U$2,$U$1,$C93)</f>
        <v/>
      </c>
      <c r="V93" s="227" t="str">
        <f ca="1">_xll.DBRW(Server&amp;Cube1,$F$17,$F$18,$F$19,$F$16,$C$14,$F$15,$F$14,$F$20,V$2,V$1,$C93)</f>
        <v/>
      </c>
      <c r="W93" s="227" t="str">
        <f ca="1">_xll.DBRW(Server&amp;Cube1,$F$17,$F$18,$F$19,$F$16,$C$14,$F$15,$F$14,$F$20,W$2,W$1,$C93)</f>
        <v/>
      </c>
      <c r="X93" s="227" t="str">
        <f ca="1">_xll.DBRW(Server&amp;Cube1,$F$17,$F$18,$F$19,$F$16,$C$14,$F$15,$F$14,$F$20,X$2,X$1,$C93)</f>
        <v/>
      </c>
      <c r="Y93" s="227" t="str">
        <f ca="1">_xll.DBRW(Server&amp;Cube1,$F$17,$F$18,$F$19,$F$16,$C$14,$F$15,$F$14,$F$20,Y$2,Y$1,$C93)</f>
        <v/>
      </c>
      <c r="Z93" s="241"/>
      <c r="AA93" s="241"/>
      <c r="AB93" s="241"/>
      <c r="AC93" s="241"/>
      <c r="AD93" s="241"/>
      <c r="AE93" s="241"/>
      <c r="AF93" s="221" t="str">
        <f ca="1">_xll.DBRW(Server&amp;Cube1,$F$17,$F$18,$F$19,$F$16,$C$14,$F$15,$F$14,$F$20,AF$2,$AF$1,$C93)</f>
        <v/>
      </c>
      <c r="AG93" s="53"/>
      <c r="AH93" s="53"/>
      <c r="AI93" s="53"/>
      <c r="AJ93" s="53"/>
      <c r="AK93" s="53"/>
      <c r="AL93" s="53"/>
      <c r="AM93" s="53"/>
      <c r="AN93" s="53"/>
      <c r="AO93" s="53"/>
      <c r="AP93" s="1"/>
      <c r="AQ93" s="53"/>
      <c r="AR93" s="257"/>
      <c r="AS93" s="169">
        <v>1020</v>
      </c>
      <c r="AT93" s="174" t="s">
        <v>487</v>
      </c>
      <c r="AU93" s="53"/>
      <c r="AV93" s="53"/>
      <c r="AW93" s="53"/>
      <c r="AX93" s="53"/>
      <c r="AY93" s="53"/>
      <c r="AZ93" s="53"/>
      <c r="BA93" s="53"/>
    </row>
    <row r="94" spans="1:53" ht="24" thickBot="1" x14ac:dyDescent="0.35">
      <c r="A94" s="181" t="e">
        <f ca="1">IF($AT$35="YES",1,IF(_xll.ELCOMPN(Server&amp;$C$24,C94)&lt;&gt;0,1,IF(OR(B94=$AZ$35,B94="ALL"),1,0)))</f>
        <v>#VALUE!</v>
      </c>
      <c r="B94" s="163" t="str">
        <f t="shared" si="3"/>
        <v>FI</v>
      </c>
      <c r="C94" s="158" t="s">
        <v>200</v>
      </c>
      <c r="D94" s="24"/>
      <c r="E94" s="268" t="str">
        <f ca="1">_xll.DBRA(Server&amp;$C$24,$C94,$F$21)</f>
        <v>Frais postaux (DF)</v>
      </c>
      <c r="F94" s="268"/>
      <c r="G94" s="268"/>
      <c r="H94" s="43"/>
      <c r="I94" s="221" t="str">
        <f ca="1">_xll.DBRW(Server&amp;Cube1,$F$17,$F$18,$F$19,$F$16,$C$14,$F$15,$F$14,$F$20,I$2,I$1,$C94)</f>
        <v/>
      </c>
      <c r="J94" s="221" t="str">
        <f ca="1">_xll.DBRW(Server&amp;Cube1,$F$17,$F$18,$F$19,$F$16,$C$14,$F$15,$F$14,$F$20,J$2,J$1,$C94)</f>
        <v/>
      </c>
      <c r="K94" s="221" t="e">
        <f ca="1">_xll.DBRW(Server&amp;Cube1,$F$17,$F$18,$F$19,$F$16,$C$14,$F$15,$F$14,$F$20,I$2,I$1,$C94) -_xll.DBRW(Server&amp;Cube1,$F$17,$F$18,$F$19,$F$16,$C$14,$F$15,$F$14,$F$20,K$2,I$1,$C94)</f>
        <v>#VALUE!</v>
      </c>
      <c r="L94" s="221" t="e">
        <f t="shared" ca="1" si="2"/>
        <v>#VALUE!</v>
      </c>
      <c r="M94" s="221" t="e">
        <f t="shared" ca="1" si="4"/>
        <v>#VALUE!</v>
      </c>
      <c r="N94" s="226"/>
      <c r="O94" s="221" t="str">
        <f ca="1">_xll.DBRW(Server&amp;Cube1,$F$17,$F$18,$F$19,$F$16,$C$14,$F$15,$F$14,$F$20,O$2,O$1,$C94)</f>
        <v/>
      </c>
      <c r="P94" s="226"/>
      <c r="Q94" s="240" t="str">
        <f ca="1">IF(_xll.ELCOMPN(Server&amp;$C$24,C94)=0,"YES","NO")</f>
        <v>YES</v>
      </c>
      <c r="R94" s="241">
        <v>0</v>
      </c>
      <c r="S94" s="226"/>
      <c r="T94" s="227" t="str">
        <f ca="1">_xll.DBRW(Server&amp;Cube1,$F$17,$F$18,$F$19,$F$16,$C$14,$F$15,$F$14,$F$20,T$2,$T$1,$C94)</f>
        <v/>
      </c>
      <c r="U94" s="227" t="str">
        <f ca="1">_xll.DBRW(Server&amp;Cube1,$F$17,$F$18,$F$19,$F$16,$C$14,$F$15,$F$14,$F$20,U$2,$U$1,$C94)</f>
        <v/>
      </c>
      <c r="V94" s="227" t="str">
        <f ca="1">_xll.DBRW(Server&amp;Cube1,$F$17,$F$18,$F$19,$F$16,$C$14,$F$15,$F$14,$F$20,V$2,V$1,$C94)</f>
        <v/>
      </c>
      <c r="W94" s="227" t="str">
        <f ca="1">_xll.DBRW(Server&amp;Cube1,$F$17,$F$18,$F$19,$F$16,$C$14,$F$15,$F$14,$F$20,W$2,W$1,$C94)</f>
        <v/>
      </c>
      <c r="X94" s="227" t="str">
        <f ca="1">_xll.DBRW(Server&amp;Cube1,$F$17,$F$18,$F$19,$F$16,$C$14,$F$15,$F$14,$F$20,X$2,X$1,$C94)</f>
        <v/>
      </c>
      <c r="Y94" s="227" t="str">
        <f ca="1">_xll.DBRW(Server&amp;Cube1,$F$17,$F$18,$F$19,$F$16,$C$14,$F$15,$F$14,$F$20,Y$2,Y$1,$C94)</f>
        <v/>
      </c>
      <c r="Z94" s="241"/>
      <c r="AA94" s="241"/>
      <c r="AB94" s="241"/>
      <c r="AC94" s="241"/>
      <c r="AD94" s="241"/>
      <c r="AE94" s="241"/>
      <c r="AF94" s="221" t="str">
        <f ca="1">_xll.DBRW(Server&amp;Cube1,$F$17,$F$18,$F$19,$F$16,$C$14,$F$15,$F$14,$F$20,AF$2,$AF$1,$C94)</f>
        <v/>
      </c>
      <c r="AG94" s="53"/>
      <c r="AH94" s="53"/>
      <c r="AI94" s="53"/>
      <c r="AJ94" s="53"/>
      <c r="AK94" s="53"/>
      <c r="AL94" s="53"/>
      <c r="AM94" s="53"/>
      <c r="AN94" s="53"/>
      <c r="AO94" s="53"/>
      <c r="AP94" s="1"/>
      <c r="AQ94" s="53"/>
      <c r="AR94" s="256"/>
      <c r="AS94" s="170">
        <v>1030</v>
      </c>
      <c r="AT94" s="176" t="s">
        <v>487</v>
      </c>
      <c r="AU94" s="53"/>
      <c r="AV94" s="53"/>
      <c r="AW94" s="53"/>
      <c r="AX94" s="53"/>
      <c r="AY94" s="53"/>
      <c r="AZ94" s="53"/>
      <c r="BA94" s="53"/>
    </row>
    <row r="95" spans="1:53" ht="23.25" x14ac:dyDescent="0.3">
      <c r="A95" s="181" t="e">
        <f ca="1">IF($AT$35="YES",1,IF(_xll.ELCOMPN(Server&amp;$C$24,C95)&lt;&gt;0,1,IF(OR(B95=$AZ$35,B95="ALL"),1,0)))</f>
        <v>#VALUE!</v>
      </c>
      <c r="B95" s="163" t="str">
        <f t="shared" si="3"/>
        <v>IT</v>
      </c>
      <c r="C95" s="158" t="s">
        <v>201</v>
      </c>
      <c r="D95" s="24"/>
      <c r="E95" s="268" t="str">
        <f ca="1">_xll.DBRA(Server&amp;$C$24,$C95,$F$21)</f>
        <v>Frais postaux (IT)</v>
      </c>
      <c r="F95" s="268"/>
      <c r="G95" s="268"/>
      <c r="H95" s="43"/>
      <c r="I95" s="221" t="str">
        <f ca="1">_xll.DBRW(Server&amp;Cube1,$F$17,$F$18,$F$19,$F$16,$C$14,$F$15,$F$14,$F$20,I$2,I$1,$C95)</f>
        <v/>
      </c>
      <c r="J95" s="221" t="str">
        <f ca="1">_xll.DBRW(Server&amp;Cube1,$F$17,$F$18,$F$19,$F$16,$C$14,$F$15,$F$14,$F$20,J$2,J$1,$C95)</f>
        <v/>
      </c>
      <c r="K95" s="221" t="e">
        <f ca="1">_xll.DBRW(Server&amp;Cube1,$F$17,$F$18,$F$19,$F$16,$C$14,$F$15,$F$14,$F$20,I$2,I$1,$C95) -_xll.DBRW(Server&amp;Cube1,$F$17,$F$18,$F$19,$F$16,$C$14,$F$15,$F$14,$F$20,K$2,I$1,$C95)</f>
        <v>#VALUE!</v>
      </c>
      <c r="L95" s="221" t="e">
        <f t="shared" ca="1" si="2"/>
        <v>#VALUE!</v>
      </c>
      <c r="M95" s="221" t="e">
        <f t="shared" ca="1" si="4"/>
        <v>#VALUE!</v>
      </c>
      <c r="N95" s="226"/>
      <c r="O95" s="221" t="str">
        <f ca="1">_xll.DBRW(Server&amp;Cube1,$F$17,$F$18,$F$19,$F$16,$C$14,$F$15,$F$14,$F$20,O$2,O$1,$C95)</f>
        <v/>
      </c>
      <c r="P95" s="226"/>
      <c r="Q95" s="240" t="str">
        <f ca="1">IF(_xll.ELCOMPN(Server&amp;$C$24,C95)=0,"YES","NO")</f>
        <v>YES</v>
      </c>
      <c r="R95" s="241">
        <v>0</v>
      </c>
      <c r="S95" s="226"/>
      <c r="T95" s="227" t="str">
        <f ca="1">_xll.DBRW(Server&amp;Cube1,$F$17,$F$18,$F$19,$F$16,$C$14,$F$15,$F$14,$F$20,T$2,$T$1,$C95)</f>
        <v/>
      </c>
      <c r="U95" s="227" t="str">
        <f ca="1">_xll.DBRW(Server&amp;Cube1,$F$17,$F$18,$F$19,$F$16,$C$14,$F$15,$F$14,$F$20,U$2,$U$1,$C95)</f>
        <v/>
      </c>
      <c r="V95" s="227" t="str">
        <f ca="1">_xll.DBRW(Server&amp;Cube1,$F$17,$F$18,$F$19,$F$16,$C$14,$F$15,$F$14,$F$20,V$2,V$1,$C95)</f>
        <v/>
      </c>
      <c r="W95" s="227" t="str">
        <f ca="1">_xll.DBRW(Server&amp;Cube1,$F$17,$F$18,$F$19,$F$16,$C$14,$F$15,$F$14,$F$20,W$2,W$1,$C95)</f>
        <v/>
      </c>
      <c r="X95" s="227" t="str">
        <f ca="1">_xll.DBRW(Server&amp;Cube1,$F$17,$F$18,$F$19,$F$16,$C$14,$F$15,$F$14,$F$20,X$2,X$1,$C95)</f>
        <v/>
      </c>
      <c r="Y95" s="227" t="str">
        <f ca="1">_xll.DBRW(Server&amp;Cube1,$F$17,$F$18,$F$19,$F$16,$C$14,$F$15,$F$14,$F$20,Y$2,Y$1,$C95)</f>
        <v/>
      </c>
      <c r="Z95" s="241"/>
      <c r="AA95" s="241"/>
      <c r="AB95" s="241"/>
      <c r="AC95" s="241"/>
      <c r="AD95" s="241"/>
      <c r="AE95" s="241"/>
      <c r="AF95" s="221" t="str">
        <f ca="1">_xll.DBRW(Server&amp;Cube1,$F$17,$F$18,$F$19,$F$16,$C$14,$F$15,$F$14,$F$20,AF$2,$AF$1,$C95)</f>
        <v/>
      </c>
      <c r="AG95" s="53"/>
      <c r="AH95" s="53"/>
      <c r="AI95" s="53"/>
      <c r="AJ95" s="53"/>
      <c r="AK95" s="53"/>
      <c r="AL95" s="53"/>
      <c r="AM95" s="53"/>
      <c r="AN95" s="53"/>
      <c r="AO95" s="53"/>
      <c r="AP95" s="1"/>
      <c r="AQ95" s="53"/>
      <c r="AR95" s="255" t="s">
        <v>484</v>
      </c>
      <c r="AS95" s="168">
        <v>400</v>
      </c>
      <c r="AT95" s="175" t="s">
        <v>484</v>
      </c>
      <c r="AU95" s="53"/>
      <c r="AV95" s="53"/>
      <c r="AW95" s="53"/>
      <c r="AX95" s="53"/>
      <c r="AY95" s="53"/>
      <c r="AZ95" s="53"/>
      <c r="BA95" s="53"/>
    </row>
    <row r="96" spans="1:53" ht="23.25" x14ac:dyDescent="0.3">
      <c r="A96" s="181" t="e">
        <f ca="1">IF($AT$35="YES",1,IF(_xll.ELCOMPN(Server&amp;$C$24,C96)&lt;&gt;0,1,IF(OR(B96=$AZ$35,B96="ALL"),1,0)))</f>
        <v>#VALUE!</v>
      </c>
      <c r="B96" s="163" t="str">
        <f t="shared" si="3"/>
        <v>HR</v>
      </c>
      <c r="C96" s="158" t="s">
        <v>202</v>
      </c>
      <c r="D96" s="24"/>
      <c r="E96" s="268" t="str">
        <f ca="1">_xll.DBRA(Server&amp;$C$24,$C96,$F$21)</f>
        <v>Frais postaux (RH)</v>
      </c>
      <c r="F96" s="268"/>
      <c r="G96" s="268"/>
      <c r="H96" s="43"/>
      <c r="I96" s="221" t="str">
        <f ca="1">_xll.DBRW(Server&amp;Cube1,$F$17,$F$18,$F$19,$F$16,$C$14,$F$15,$F$14,$F$20,I$2,I$1,$C96)</f>
        <v/>
      </c>
      <c r="J96" s="221" t="str">
        <f ca="1">_xll.DBRW(Server&amp;Cube1,$F$17,$F$18,$F$19,$F$16,$C$14,$F$15,$F$14,$F$20,J$2,J$1,$C96)</f>
        <v/>
      </c>
      <c r="K96" s="221" t="e">
        <f ca="1">_xll.DBRW(Server&amp;Cube1,$F$17,$F$18,$F$19,$F$16,$C$14,$F$15,$F$14,$F$20,I$2,I$1,$C96) -_xll.DBRW(Server&amp;Cube1,$F$17,$F$18,$F$19,$F$16,$C$14,$F$15,$F$14,$F$20,K$2,I$1,$C96)</f>
        <v>#VALUE!</v>
      </c>
      <c r="L96" s="221" t="e">
        <f t="shared" ref="L96:L159" ca="1" si="5">$K96+$J96</f>
        <v>#VALUE!</v>
      </c>
      <c r="M96" s="221" t="e">
        <f t="shared" ca="1" si="4"/>
        <v>#VALUE!</v>
      </c>
      <c r="N96" s="226"/>
      <c r="O96" s="221" t="str">
        <f ca="1">_xll.DBRW(Server&amp;Cube1,$F$17,$F$18,$F$19,$F$16,$C$14,$F$15,$F$14,$F$20,O$2,O$1,$C96)</f>
        <v/>
      </c>
      <c r="P96" s="226"/>
      <c r="Q96" s="240" t="str">
        <f ca="1">IF(_xll.ELCOMPN(Server&amp;$C$24,C96)=0,"YES","NO")</f>
        <v>YES</v>
      </c>
      <c r="R96" s="241">
        <v>0</v>
      </c>
      <c r="S96" s="226"/>
      <c r="T96" s="227" t="str">
        <f ca="1">_xll.DBRW(Server&amp;Cube1,$F$17,$F$18,$F$19,$F$16,$C$14,$F$15,$F$14,$F$20,T$2,$T$1,$C96)</f>
        <v/>
      </c>
      <c r="U96" s="227" t="str">
        <f ca="1">_xll.DBRW(Server&amp;Cube1,$F$17,$F$18,$F$19,$F$16,$C$14,$F$15,$F$14,$F$20,U$2,$U$1,$C96)</f>
        <v/>
      </c>
      <c r="V96" s="227" t="str">
        <f ca="1">_xll.DBRW(Server&amp;Cube1,$F$17,$F$18,$F$19,$F$16,$C$14,$F$15,$F$14,$F$20,V$2,V$1,$C96)</f>
        <v/>
      </c>
      <c r="W96" s="227" t="str">
        <f ca="1">_xll.DBRW(Server&amp;Cube1,$F$17,$F$18,$F$19,$F$16,$C$14,$F$15,$F$14,$F$20,W$2,W$1,$C96)</f>
        <v/>
      </c>
      <c r="X96" s="227" t="str">
        <f ca="1">_xll.DBRW(Server&amp;Cube1,$F$17,$F$18,$F$19,$F$16,$C$14,$F$15,$F$14,$F$20,X$2,X$1,$C96)</f>
        <v/>
      </c>
      <c r="Y96" s="227" t="str">
        <f ca="1">_xll.DBRW(Server&amp;Cube1,$F$17,$F$18,$F$19,$F$16,$C$14,$F$15,$F$14,$F$20,Y$2,Y$1,$C96)</f>
        <v/>
      </c>
      <c r="Z96" s="241"/>
      <c r="AA96" s="241"/>
      <c r="AB96" s="241"/>
      <c r="AC96" s="241"/>
      <c r="AD96" s="241"/>
      <c r="AE96" s="241"/>
      <c r="AF96" s="221" t="str">
        <f ca="1">_xll.DBRW(Server&amp;Cube1,$F$17,$F$18,$F$19,$F$16,$C$14,$F$15,$F$14,$F$20,AF$2,$AF$1,$C96)</f>
        <v/>
      </c>
      <c r="AG96" s="53"/>
      <c r="AH96" s="53"/>
      <c r="AI96" s="53"/>
      <c r="AJ96" s="53"/>
      <c r="AK96" s="53"/>
      <c r="AL96" s="53"/>
      <c r="AM96" s="53"/>
      <c r="AN96" s="53"/>
      <c r="AO96" s="53"/>
      <c r="AP96" s="1"/>
      <c r="AQ96" s="53"/>
      <c r="AR96" s="257"/>
      <c r="AS96" s="169">
        <v>500</v>
      </c>
      <c r="AT96" s="174" t="s">
        <v>484</v>
      </c>
      <c r="AU96" s="53"/>
      <c r="AV96" s="53"/>
      <c r="AW96" s="53"/>
      <c r="AX96" s="53"/>
      <c r="AY96" s="53"/>
      <c r="AZ96" s="53"/>
      <c r="BA96" s="53"/>
    </row>
    <row r="97" spans="1:53" ht="23.25" x14ac:dyDescent="0.3">
      <c r="A97" s="181" t="e">
        <f ca="1">IF($AT$35="YES",1,IF(_xll.ELCOMPN(Server&amp;$C$24,C97)&lt;&gt;0,1,IF(OR(B97=$AZ$35,B97="ALL"),1,0)))</f>
        <v>#VALUE!</v>
      </c>
      <c r="B97" s="163" t="str">
        <f t="shared" si="3"/>
        <v>GM</v>
      </c>
      <c r="C97" s="158" t="s">
        <v>203</v>
      </c>
      <c r="D97" s="24"/>
      <c r="E97" s="268" t="str">
        <f ca="1">_xll.DBRA(Server&amp;$C$24,$C97,$F$21)</f>
        <v>Frais postaux (DG)</v>
      </c>
      <c r="F97" s="268"/>
      <c r="G97" s="268"/>
      <c r="H97" s="43"/>
      <c r="I97" s="221" t="str">
        <f ca="1">_xll.DBRW(Server&amp;Cube1,$F$17,$F$18,$F$19,$F$16,$C$14,$F$15,$F$14,$F$20,I$2,I$1,$C97)</f>
        <v/>
      </c>
      <c r="J97" s="221" t="str">
        <f ca="1">_xll.DBRW(Server&amp;Cube1,$F$17,$F$18,$F$19,$F$16,$C$14,$F$15,$F$14,$F$20,J$2,J$1,$C97)</f>
        <v/>
      </c>
      <c r="K97" s="221" t="e">
        <f ca="1">_xll.DBRW(Server&amp;Cube1,$F$17,$F$18,$F$19,$F$16,$C$14,$F$15,$F$14,$F$20,I$2,I$1,$C97) -_xll.DBRW(Server&amp;Cube1,$F$17,$F$18,$F$19,$F$16,$C$14,$F$15,$F$14,$F$20,K$2,I$1,$C97)</f>
        <v>#VALUE!</v>
      </c>
      <c r="L97" s="221" t="e">
        <f t="shared" ca="1" si="5"/>
        <v>#VALUE!</v>
      </c>
      <c r="M97" s="221" t="e">
        <f t="shared" ca="1" si="4"/>
        <v>#VALUE!</v>
      </c>
      <c r="N97" s="226"/>
      <c r="O97" s="221" t="str">
        <f ca="1">_xll.DBRW(Server&amp;Cube1,$F$17,$F$18,$F$19,$F$16,$C$14,$F$15,$F$14,$F$20,O$2,O$1,$C97)</f>
        <v/>
      </c>
      <c r="P97" s="226"/>
      <c r="Q97" s="240" t="str">
        <f ca="1">IF(_xll.ELCOMPN(Server&amp;$C$24,C97)=0,"YES","NO")</f>
        <v>YES</v>
      </c>
      <c r="R97" s="241">
        <v>0</v>
      </c>
      <c r="S97" s="226"/>
      <c r="T97" s="227" t="str">
        <f ca="1">_xll.DBRW(Server&amp;Cube1,$F$17,$F$18,$F$19,$F$16,$C$14,$F$15,$F$14,$F$20,T$2,$T$1,$C97)</f>
        <v/>
      </c>
      <c r="U97" s="227" t="str">
        <f ca="1">_xll.DBRW(Server&amp;Cube1,$F$17,$F$18,$F$19,$F$16,$C$14,$F$15,$F$14,$F$20,U$2,$U$1,$C97)</f>
        <v/>
      </c>
      <c r="V97" s="227" t="str">
        <f ca="1">_xll.DBRW(Server&amp;Cube1,$F$17,$F$18,$F$19,$F$16,$C$14,$F$15,$F$14,$F$20,V$2,V$1,$C97)</f>
        <v/>
      </c>
      <c r="W97" s="227" t="str">
        <f ca="1">_xll.DBRW(Server&amp;Cube1,$F$17,$F$18,$F$19,$F$16,$C$14,$F$15,$F$14,$F$20,W$2,W$1,$C97)</f>
        <v/>
      </c>
      <c r="X97" s="227" t="str">
        <f ca="1">_xll.DBRW(Server&amp;Cube1,$F$17,$F$18,$F$19,$F$16,$C$14,$F$15,$F$14,$F$20,X$2,X$1,$C97)</f>
        <v/>
      </c>
      <c r="Y97" s="227" t="str">
        <f ca="1">_xll.DBRW(Server&amp;Cube1,$F$17,$F$18,$F$19,$F$16,$C$14,$F$15,$F$14,$F$20,Y$2,Y$1,$C97)</f>
        <v/>
      </c>
      <c r="Z97" s="241"/>
      <c r="AA97" s="241"/>
      <c r="AB97" s="241"/>
      <c r="AC97" s="241"/>
      <c r="AD97" s="241"/>
      <c r="AE97" s="241"/>
      <c r="AF97" s="221" t="str">
        <f ca="1">_xll.DBRW(Server&amp;Cube1,$F$17,$F$18,$F$19,$F$16,$C$14,$F$15,$F$14,$F$20,AF$2,$AF$1,$C97)</f>
        <v/>
      </c>
      <c r="AG97" s="53"/>
      <c r="AH97" s="53"/>
      <c r="AI97" s="53"/>
      <c r="AJ97" s="53"/>
      <c r="AK97" s="53"/>
      <c r="AL97" s="53"/>
      <c r="AM97" s="53"/>
      <c r="AN97" s="53"/>
      <c r="AO97" s="53"/>
      <c r="AP97" s="1"/>
      <c r="AQ97" s="53"/>
      <c r="AR97" s="257"/>
      <c r="AS97" s="169">
        <v>800</v>
      </c>
      <c r="AT97" s="174" t="s">
        <v>484</v>
      </c>
      <c r="AU97" s="53"/>
      <c r="AV97" s="53"/>
      <c r="AW97" s="53"/>
      <c r="AX97" s="53"/>
      <c r="AY97" s="53"/>
      <c r="AZ97" s="53"/>
      <c r="BA97" s="53"/>
    </row>
    <row r="98" spans="1:53" ht="24" thickBot="1" x14ac:dyDescent="0.35">
      <c r="A98" s="181" t="e">
        <f ca="1">IF($AT$35="YES",1,IF(_xll.ELCOMPN(Server&amp;$C$24,C98)&lt;&gt;0,1,IF(OR(B98=$AZ$35,B98="ALL"),1,0)))</f>
        <v>#VALUE!</v>
      </c>
      <c r="B98" s="163" t="str">
        <f t="shared" si="3"/>
        <v>IA</v>
      </c>
      <c r="C98" s="158" t="s">
        <v>204</v>
      </c>
      <c r="D98" s="24"/>
      <c r="E98" s="268" t="str">
        <f ca="1">_xll.DBRA(Server&amp;$C$24,$C98,$F$21)</f>
        <v>Frais postaux (AI)</v>
      </c>
      <c r="F98" s="268"/>
      <c r="G98" s="268"/>
      <c r="H98" s="43"/>
      <c r="I98" s="221" t="str">
        <f ca="1">_xll.DBRW(Server&amp;Cube1,$F$17,$F$18,$F$19,$F$16,$C$14,$F$15,$F$14,$F$20,I$2,I$1,$C98)</f>
        <v/>
      </c>
      <c r="J98" s="221" t="str">
        <f ca="1">_xll.DBRW(Server&amp;Cube1,$F$17,$F$18,$F$19,$F$16,$C$14,$F$15,$F$14,$F$20,J$2,J$1,$C98)</f>
        <v/>
      </c>
      <c r="K98" s="221" t="e">
        <f ca="1">_xll.DBRW(Server&amp;Cube1,$F$17,$F$18,$F$19,$F$16,$C$14,$F$15,$F$14,$F$20,I$2,I$1,$C98) -_xll.DBRW(Server&amp;Cube1,$F$17,$F$18,$F$19,$F$16,$C$14,$F$15,$F$14,$F$20,K$2,I$1,$C98)</f>
        <v>#VALUE!</v>
      </c>
      <c r="L98" s="221" t="e">
        <f t="shared" ca="1" si="5"/>
        <v>#VALUE!</v>
      </c>
      <c r="M98" s="221" t="e">
        <f t="shared" ca="1" si="4"/>
        <v>#VALUE!</v>
      </c>
      <c r="N98" s="226"/>
      <c r="O98" s="221" t="str">
        <f ca="1">_xll.DBRW(Server&amp;Cube1,$F$17,$F$18,$F$19,$F$16,$C$14,$F$15,$F$14,$F$20,O$2,O$1,$C98)</f>
        <v/>
      </c>
      <c r="P98" s="226"/>
      <c r="Q98" s="240" t="str">
        <f ca="1">IF(_xll.ELCOMPN(Server&amp;$C$24,C98)=0,"YES","NO")</f>
        <v>YES</v>
      </c>
      <c r="R98" s="241">
        <v>0</v>
      </c>
      <c r="S98" s="226"/>
      <c r="T98" s="227" t="str">
        <f ca="1">_xll.DBRW(Server&amp;Cube1,$F$17,$F$18,$F$19,$F$16,$C$14,$F$15,$F$14,$F$20,T$2,$T$1,$C98)</f>
        <v/>
      </c>
      <c r="U98" s="227" t="str">
        <f ca="1">_xll.DBRW(Server&amp;Cube1,$F$17,$F$18,$F$19,$F$16,$C$14,$F$15,$F$14,$F$20,U$2,$U$1,$C98)</f>
        <v/>
      </c>
      <c r="V98" s="227" t="str">
        <f ca="1">_xll.DBRW(Server&amp;Cube1,$F$17,$F$18,$F$19,$F$16,$C$14,$F$15,$F$14,$F$20,V$2,V$1,$C98)</f>
        <v/>
      </c>
      <c r="W98" s="227" t="str">
        <f ca="1">_xll.DBRW(Server&amp;Cube1,$F$17,$F$18,$F$19,$F$16,$C$14,$F$15,$F$14,$F$20,W$2,W$1,$C98)</f>
        <v/>
      </c>
      <c r="X98" s="227" t="str">
        <f ca="1">_xll.DBRW(Server&amp;Cube1,$F$17,$F$18,$F$19,$F$16,$C$14,$F$15,$F$14,$F$20,X$2,X$1,$C98)</f>
        <v/>
      </c>
      <c r="Y98" s="227" t="str">
        <f ca="1">_xll.DBRW(Server&amp;Cube1,$F$17,$F$18,$F$19,$F$16,$C$14,$F$15,$F$14,$F$20,Y$2,Y$1,$C98)</f>
        <v/>
      </c>
      <c r="Z98" s="241"/>
      <c r="AA98" s="241"/>
      <c r="AB98" s="241"/>
      <c r="AC98" s="241"/>
      <c r="AD98" s="241"/>
      <c r="AE98" s="241"/>
      <c r="AF98" s="221" t="str">
        <f ca="1">_xll.DBRW(Server&amp;Cube1,$F$17,$F$18,$F$19,$F$16,$C$14,$F$15,$F$14,$F$20,AF$2,$AF$1,$C98)</f>
        <v/>
      </c>
      <c r="AG98" s="53"/>
      <c r="AH98" s="53"/>
      <c r="AI98" s="53"/>
      <c r="AJ98" s="53"/>
      <c r="AK98" s="53"/>
      <c r="AL98" s="53"/>
      <c r="AM98" s="53"/>
      <c r="AN98" s="53"/>
      <c r="AO98" s="53"/>
      <c r="AP98" s="1"/>
      <c r="AQ98" s="53"/>
      <c r="AR98" s="256"/>
      <c r="AS98" s="170">
        <v>700</v>
      </c>
      <c r="AT98" s="176" t="s">
        <v>484</v>
      </c>
      <c r="AU98" s="53"/>
      <c r="AV98" s="53"/>
      <c r="AW98" s="53"/>
      <c r="AX98" s="53"/>
      <c r="AY98" s="53"/>
      <c r="AZ98" s="53"/>
      <c r="BA98" s="53"/>
    </row>
    <row r="99" spans="1:53" ht="23.25" x14ac:dyDescent="0.3">
      <c r="A99" s="181" t="e">
        <f ca="1">IF($AT$35="YES",1,IF(_xll.ELCOMPN(Server&amp;$C$24,C99)&lt;&gt;0,1,IF(OR(B99=$AZ$35,B99="ALL"),1,0)))</f>
        <v>#VALUE!</v>
      </c>
      <c r="B99" s="163" t="str">
        <f t="shared" si="3"/>
        <v>LE</v>
      </c>
      <c r="C99" s="158" t="s">
        <v>205</v>
      </c>
      <c r="D99" s="24"/>
      <c r="E99" s="268" t="str">
        <f ca="1">_xll.DBRA(Server&amp;$C$24,$C99,$F$21)</f>
        <v>Frais postaux (JU)</v>
      </c>
      <c r="F99" s="268"/>
      <c r="G99" s="268"/>
      <c r="H99" s="43"/>
      <c r="I99" s="221" t="str">
        <f ca="1">_xll.DBRW(Server&amp;Cube1,$F$17,$F$18,$F$19,$F$16,$C$14,$F$15,$F$14,$F$20,I$2,I$1,$C99)</f>
        <v/>
      </c>
      <c r="J99" s="221" t="str">
        <f ca="1">_xll.DBRW(Server&amp;Cube1,$F$17,$F$18,$F$19,$F$16,$C$14,$F$15,$F$14,$F$20,J$2,J$1,$C99)</f>
        <v/>
      </c>
      <c r="K99" s="221" t="e">
        <f ca="1">_xll.DBRW(Server&amp;Cube1,$F$17,$F$18,$F$19,$F$16,$C$14,$F$15,$F$14,$F$20,I$2,I$1,$C99) -_xll.DBRW(Server&amp;Cube1,$F$17,$F$18,$F$19,$F$16,$C$14,$F$15,$F$14,$F$20,K$2,I$1,$C99)</f>
        <v>#VALUE!</v>
      </c>
      <c r="L99" s="221" t="e">
        <f t="shared" ca="1" si="5"/>
        <v>#VALUE!</v>
      </c>
      <c r="M99" s="221" t="e">
        <f t="shared" ca="1" si="4"/>
        <v>#VALUE!</v>
      </c>
      <c r="N99" s="226"/>
      <c r="O99" s="221" t="str">
        <f ca="1">_xll.DBRW(Server&amp;Cube1,$F$17,$F$18,$F$19,$F$16,$C$14,$F$15,$F$14,$F$20,O$2,O$1,$C99)</f>
        <v/>
      </c>
      <c r="P99" s="226"/>
      <c r="Q99" s="240" t="str">
        <f ca="1">IF(_xll.ELCOMPN(Server&amp;$C$24,C99)=0,"YES","NO")</f>
        <v>YES</v>
      </c>
      <c r="R99" s="241">
        <v>0</v>
      </c>
      <c r="S99" s="226"/>
      <c r="T99" s="227" t="str">
        <f ca="1">_xll.DBRW(Server&amp;Cube1,$F$17,$F$18,$F$19,$F$16,$C$14,$F$15,$F$14,$F$20,T$2,$T$1,$C99)</f>
        <v/>
      </c>
      <c r="U99" s="227" t="str">
        <f ca="1">_xll.DBRW(Server&amp;Cube1,$F$17,$F$18,$F$19,$F$16,$C$14,$F$15,$F$14,$F$20,U$2,$U$1,$C99)</f>
        <v/>
      </c>
      <c r="V99" s="227" t="str">
        <f ca="1">_xll.DBRW(Server&amp;Cube1,$F$17,$F$18,$F$19,$F$16,$C$14,$F$15,$F$14,$F$20,V$2,V$1,$C99)</f>
        <v/>
      </c>
      <c r="W99" s="227" t="str">
        <f ca="1">_xll.DBRW(Server&amp;Cube1,$F$17,$F$18,$F$19,$F$16,$C$14,$F$15,$F$14,$F$20,W$2,W$1,$C99)</f>
        <v/>
      </c>
      <c r="X99" s="227" t="str">
        <f ca="1">_xll.DBRW(Server&amp;Cube1,$F$17,$F$18,$F$19,$F$16,$C$14,$F$15,$F$14,$F$20,X$2,X$1,$C99)</f>
        <v/>
      </c>
      <c r="Y99" s="227" t="str">
        <f ca="1">_xll.DBRW(Server&amp;Cube1,$F$17,$F$18,$F$19,$F$16,$C$14,$F$15,$F$14,$F$20,Y$2,Y$1,$C99)</f>
        <v/>
      </c>
      <c r="Z99" s="241"/>
      <c r="AA99" s="241"/>
      <c r="AB99" s="241"/>
      <c r="AC99" s="241"/>
      <c r="AD99" s="241"/>
      <c r="AE99" s="241"/>
      <c r="AF99" s="221" t="str">
        <f ca="1">_xll.DBRW(Server&amp;Cube1,$F$17,$F$18,$F$19,$F$16,$C$14,$F$15,$F$14,$F$20,AF$2,$AF$1,$C99)</f>
        <v/>
      </c>
      <c r="AG99" s="53"/>
      <c r="AH99" s="53"/>
      <c r="AI99" s="53"/>
      <c r="AJ99" s="53"/>
      <c r="AK99" s="53"/>
      <c r="AL99" s="53"/>
      <c r="AM99" s="53"/>
      <c r="AN99" s="53"/>
      <c r="AO99" s="53"/>
      <c r="AP99" s="1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</row>
    <row r="100" spans="1:53" ht="23.25" x14ac:dyDescent="0.3">
      <c r="A100" s="181" t="e">
        <f ca="1">IF($AT$35="YES",1,IF(_xll.ELCOMPN(Server&amp;$C$24,C100)&lt;&gt;0,1,IF(OR(B100=$AZ$35,B100="ALL"),1,0)))</f>
        <v>#VALUE!</v>
      </c>
      <c r="B100" s="163" t="str">
        <f t="shared" si="3"/>
        <v>RM</v>
      </c>
      <c r="C100" s="158" t="s">
        <v>206</v>
      </c>
      <c r="D100" s="24"/>
      <c r="E100" s="268" t="str">
        <f ca="1">_xll.DBRA(Server&amp;$C$24,$C100,$F$21)</f>
        <v>Frais postaux (GR)</v>
      </c>
      <c r="F100" s="268"/>
      <c r="G100" s="268"/>
      <c r="H100" s="43"/>
      <c r="I100" s="221" t="str">
        <f ca="1">_xll.DBRW(Server&amp;Cube1,$F$17,$F$18,$F$19,$F$16,$C$14,$F$15,$F$14,$F$20,I$2,I$1,$C100)</f>
        <v/>
      </c>
      <c r="J100" s="221" t="str">
        <f ca="1">_xll.DBRW(Server&amp;Cube1,$F$17,$F$18,$F$19,$F$16,$C$14,$F$15,$F$14,$F$20,J$2,J$1,$C100)</f>
        <v/>
      </c>
      <c r="K100" s="221" t="e">
        <f ca="1">_xll.DBRW(Server&amp;Cube1,$F$17,$F$18,$F$19,$F$16,$C$14,$F$15,$F$14,$F$20,I$2,I$1,$C100) -_xll.DBRW(Server&amp;Cube1,$F$17,$F$18,$F$19,$F$16,$C$14,$F$15,$F$14,$F$20,K$2,I$1,$C100)</f>
        <v>#VALUE!</v>
      </c>
      <c r="L100" s="221" t="e">
        <f t="shared" ca="1" si="5"/>
        <v>#VALUE!</v>
      </c>
      <c r="M100" s="221" t="e">
        <f t="shared" ca="1" si="4"/>
        <v>#VALUE!</v>
      </c>
      <c r="N100" s="226"/>
      <c r="O100" s="221" t="str">
        <f ca="1">_xll.DBRW(Server&amp;Cube1,$F$17,$F$18,$F$19,$F$16,$C$14,$F$15,$F$14,$F$20,O$2,O$1,$C100)</f>
        <v/>
      </c>
      <c r="P100" s="226"/>
      <c r="Q100" s="240" t="str">
        <f ca="1">IF(_xll.ELCOMPN(Server&amp;$C$24,C100)=0,"YES","NO")</f>
        <v>YES</v>
      </c>
      <c r="R100" s="241">
        <v>0</v>
      </c>
      <c r="S100" s="226"/>
      <c r="T100" s="227" t="str">
        <f ca="1">_xll.DBRW(Server&amp;Cube1,$F$17,$F$18,$F$19,$F$16,$C$14,$F$15,$F$14,$F$20,T$2,$T$1,$C100)</f>
        <v/>
      </c>
      <c r="U100" s="227" t="str">
        <f ca="1">_xll.DBRW(Server&amp;Cube1,$F$17,$F$18,$F$19,$F$16,$C$14,$F$15,$F$14,$F$20,U$2,$U$1,$C100)</f>
        <v/>
      </c>
      <c r="V100" s="227" t="str">
        <f ca="1">_xll.DBRW(Server&amp;Cube1,$F$17,$F$18,$F$19,$F$16,$C$14,$F$15,$F$14,$F$20,V$2,V$1,$C100)</f>
        <v/>
      </c>
      <c r="W100" s="227" t="str">
        <f ca="1">_xll.DBRW(Server&amp;Cube1,$F$17,$F$18,$F$19,$F$16,$C$14,$F$15,$F$14,$F$20,W$2,W$1,$C100)</f>
        <v/>
      </c>
      <c r="X100" s="227" t="str">
        <f ca="1">_xll.DBRW(Server&amp;Cube1,$F$17,$F$18,$F$19,$F$16,$C$14,$F$15,$F$14,$F$20,X$2,X$1,$C100)</f>
        <v/>
      </c>
      <c r="Y100" s="227" t="str">
        <f ca="1">_xll.DBRW(Server&amp;Cube1,$F$17,$F$18,$F$19,$F$16,$C$14,$F$15,$F$14,$F$20,Y$2,Y$1,$C100)</f>
        <v/>
      </c>
      <c r="Z100" s="241"/>
      <c r="AA100" s="241"/>
      <c r="AB100" s="241"/>
      <c r="AC100" s="241"/>
      <c r="AD100" s="241"/>
      <c r="AE100" s="241"/>
      <c r="AF100" s="221" t="str">
        <f ca="1">_xll.DBRW(Server&amp;Cube1,$F$17,$F$18,$F$19,$F$16,$C$14,$F$15,$F$14,$F$20,AF$2,$AF$1,$C100)</f>
        <v/>
      </c>
      <c r="AG100" s="53"/>
      <c r="AH100" s="53"/>
      <c r="AI100" s="53"/>
      <c r="AJ100" s="53"/>
      <c r="AK100" s="53"/>
      <c r="AL100" s="53"/>
      <c r="AM100" s="53"/>
      <c r="AN100" s="53"/>
      <c r="AO100" s="53"/>
      <c r="AP100" s="1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</row>
    <row r="101" spans="1:53" ht="23.25" x14ac:dyDescent="0.3">
      <c r="A101" s="181" t="e">
        <f ca="1">IF($AT$35="YES",1,IF(_xll.ELCOMPN(Server&amp;$C$24,C101)&lt;&gt;0,1,IF(OR(B101=$AZ$35,B101="ALL"),1,0)))</f>
        <v>#VALUE!</v>
      </c>
      <c r="B101" s="163" t="str">
        <f t="shared" ref="B101:B164" si="6">IF(ISERROR(MID(C101,FIND("_",C101,1)+1,2)),MID(C101,FIND("(",C101,1)+1,2),MID(C101,FIND("_",C101,1)+1,2))</f>
        <v>PU</v>
      </c>
      <c r="C101" s="158" t="s">
        <v>207</v>
      </c>
      <c r="D101" s="24"/>
      <c r="E101" s="268" t="str">
        <f ca="1">_xll.DBRA(Server&amp;$C$24,$C101,$F$21)</f>
        <v>Frais postaux (AC)</v>
      </c>
      <c r="F101" s="268"/>
      <c r="G101" s="268"/>
      <c r="H101" s="43"/>
      <c r="I101" s="221" t="str">
        <f ca="1">_xll.DBRW(Server&amp;Cube1,$F$17,$F$18,$F$19,$F$16,$C$14,$F$15,$F$14,$F$20,I$2,I$1,$C101)</f>
        <v/>
      </c>
      <c r="J101" s="221" t="str">
        <f ca="1">_xll.DBRW(Server&amp;Cube1,$F$17,$F$18,$F$19,$F$16,$C$14,$F$15,$F$14,$F$20,J$2,J$1,$C101)</f>
        <v/>
      </c>
      <c r="K101" s="221" t="e">
        <f ca="1">_xll.DBRW(Server&amp;Cube1,$F$17,$F$18,$F$19,$F$16,$C$14,$F$15,$F$14,$F$20,I$2,I$1,$C101) -_xll.DBRW(Server&amp;Cube1,$F$17,$F$18,$F$19,$F$16,$C$14,$F$15,$F$14,$F$20,K$2,I$1,$C101)</f>
        <v>#VALUE!</v>
      </c>
      <c r="L101" s="221" t="e">
        <f t="shared" ca="1" si="5"/>
        <v>#VALUE!</v>
      </c>
      <c r="M101" s="221" t="e">
        <f t="shared" ca="1" si="4"/>
        <v>#VALUE!</v>
      </c>
      <c r="N101" s="226"/>
      <c r="O101" s="221" t="str">
        <f ca="1">_xll.DBRW(Server&amp;Cube1,$F$17,$F$18,$F$19,$F$16,$C$14,$F$15,$F$14,$F$20,O$2,O$1,$C101)</f>
        <v/>
      </c>
      <c r="P101" s="226"/>
      <c r="Q101" s="240" t="str">
        <f ca="1">IF(_xll.ELCOMPN(Server&amp;$C$24,C101)=0,"YES","NO")</f>
        <v>YES</v>
      </c>
      <c r="R101" s="241">
        <v>0</v>
      </c>
      <c r="S101" s="226"/>
      <c r="T101" s="227" t="str">
        <f ca="1">_xll.DBRW(Server&amp;Cube1,$F$17,$F$18,$F$19,$F$16,$C$14,$F$15,$F$14,$F$20,T$2,$T$1,$C101)</f>
        <v/>
      </c>
      <c r="U101" s="227" t="str">
        <f ca="1">_xll.DBRW(Server&amp;Cube1,$F$17,$F$18,$F$19,$F$16,$C$14,$F$15,$F$14,$F$20,U$2,$U$1,$C101)</f>
        <v/>
      </c>
      <c r="V101" s="227" t="str">
        <f ca="1">_xll.DBRW(Server&amp;Cube1,$F$17,$F$18,$F$19,$F$16,$C$14,$F$15,$F$14,$F$20,V$2,V$1,$C101)</f>
        <v/>
      </c>
      <c r="W101" s="227" t="str">
        <f ca="1">_xll.DBRW(Server&amp;Cube1,$F$17,$F$18,$F$19,$F$16,$C$14,$F$15,$F$14,$F$20,W$2,W$1,$C101)</f>
        <v/>
      </c>
      <c r="X101" s="227" t="str">
        <f ca="1">_xll.DBRW(Server&amp;Cube1,$F$17,$F$18,$F$19,$F$16,$C$14,$F$15,$F$14,$F$20,X$2,X$1,$C101)</f>
        <v/>
      </c>
      <c r="Y101" s="227" t="str">
        <f ca="1">_xll.DBRW(Server&amp;Cube1,$F$17,$F$18,$F$19,$F$16,$C$14,$F$15,$F$14,$F$20,Y$2,Y$1,$C101)</f>
        <v/>
      </c>
      <c r="Z101" s="241"/>
      <c r="AA101" s="241"/>
      <c r="AB101" s="241"/>
      <c r="AC101" s="241"/>
      <c r="AD101" s="241"/>
      <c r="AE101" s="241"/>
      <c r="AF101" s="221" t="str">
        <f ca="1">_xll.DBRW(Server&amp;Cube1,$F$17,$F$18,$F$19,$F$16,$C$14,$F$15,$F$14,$F$20,AF$2,$AF$1,$C101)</f>
        <v/>
      </c>
      <c r="AG101" s="53"/>
      <c r="AH101" s="53"/>
      <c r="AI101" s="53"/>
      <c r="AJ101" s="53"/>
      <c r="AK101" s="53"/>
      <c r="AL101" s="53"/>
      <c r="AM101" s="53"/>
      <c r="AN101" s="53"/>
      <c r="AO101" s="53"/>
      <c r="AP101" s="1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</row>
    <row r="102" spans="1:53" ht="23.25" x14ac:dyDescent="0.3">
      <c r="A102" s="181" t="e">
        <f ca="1">IF($AT$35="YES",1,IF(_xll.ELCOMPN(Server&amp;$C$24,C102)&lt;&gt;0,1,IF(OR(B102=$AZ$35,B102="ALL"),1,0)))</f>
        <v>#VALUE!</v>
      </c>
      <c r="B102" s="163" t="str">
        <f t="shared" si="6"/>
        <v>CO</v>
      </c>
      <c r="C102" s="158" t="s">
        <v>208</v>
      </c>
      <c r="D102" s="24"/>
      <c r="E102" s="268" t="str">
        <f ca="1">_xll.DBRA(Server&amp;$C$24,$C102,$F$21)</f>
        <v>Frais postaux (CO)</v>
      </c>
      <c r="F102" s="268"/>
      <c r="G102" s="268"/>
      <c r="H102" s="43"/>
      <c r="I102" s="221" t="str">
        <f ca="1">_xll.DBRW(Server&amp;Cube1,$F$17,$F$18,$F$19,$F$16,$C$14,$F$15,$F$14,$F$20,I$2,I$1,$C102)</f>
        <v/>
      </c>
      <c r="J102" s="221" t="str">
        <f ca="1">_xll.DBRW(Server&amp;Cube1,$F$17,$F$18,$F$19,$F$16,$C$14,$F$15,$F$14,$F$20,J$2,J$1,$C102)</f>
        <v/>
      </c>
      <c r="K102" s="221" t="e">
        <f ca="1">_xll.DBRW(Server&amp;Cube1,$F$17,$F$18,$F$19,$F$16,$C$14,$F$15,$F$14,$F$20,I$2,I$1,$C102) -_xll.DBRW(Server&amp;Cube1,$F$17,$F$18,$F$19,$F$16,$C$14,$F$15,$F$14,$F$20,K$2,I$1,$C102)</f>
        <v>#VALUE!</v>
      </c>
      <c r="L102" s="221" t="e">
        <f t="shared" ca="1" si="5"/>
        <v>#VALUE!</v>
      </c>
      <c r="M102" s="221" t="e">
        <f t="shared" ca="1" si="4"/>
        <v>#VALUE!</v>
      </c>
      <c r="N102" s="226"/>
      <c r="O102" s="221" t="str">
        <f ca="1">_xll.DBRW(Server&amp;Cube1,$F$17,$F$18,$F$19,$F$16,$C$14,$F$15,$F$14,$F$20,O$2,O$1,$C102)</f>
        <v/>
      </c>
      <c r="P102" s="226"/>
      <c r="Q102" s="240" t="str">
        <f ca="1">IF(_xll.ELCOMPN(Server&amp;$C$24,C102)=0,"YES","NO")</f>
        <v>YES</v>
      </c>
      <c r="R102" s="241">
        <v>0</v>
      </c>
      <c r="S102" s="226"/>
      <c r="T102" s="227" t="str">
        <f ca="1">_xll.DBRW(Server&amp;Cube1,$F$17,$F$18,$F$19,$F$16,$C$14,$F$15,$F$14,$F$20,T$2,$T$1,$C102)</f>
        <v/>
      </c>
      <c r="U102" s="227" t="str">
        <f ca="1">_xll.DBRW(Server&amp;Cube1,$F$17,$F$18,$F$19,$F$16,$C$14,$F$15,$F$14,$F$20,U$2,$U$1,$C102)</f>
        <v/>
      </c>
      <c r="V102" s="227" t="str">
        <f ca="1">_xll.DBRW(Server&amp;Cube1,$F$17,$F$18,$F$19,$F$16,$C$14,$F$15,$F$14,$F$20,V$2,V$1,$C102)</f>
        <v/>
      </c>
      <c r="W102" s="227" t="str">
        <f ca="1">_xll.DBRW(Server&amp;Cube1,$F$17,$F$18,$F$19,$F$16,$C$14,$F$15,$F$14,$F$20,W$2,W$1,$C102)</f>
        <v/>
      </c>
      <c r="X102" s="227" t="str">
        <f ca="1">_xll.DBRW(Server&amp;Cube1,$F$17,$F$18,$F$19,$F$16,$C$14,$F$15,$F$14,$F$20,X$2,X$1,$C102)</f>
        <v/>
      </c>
      <c r="Y102" s="227" t="str">
        <f ca="1">_xll.DBRW(Server&amp;Cube1,$F$17,$F$18,$F$19,$F$16,$C$14,$F$15,$F$14,$F$20,Y$2,Y$1,$C102)</f>
        <v/>
      </c>
      <c r="Z102" s="241"/>
      <c r="AA102" s="241"/>
      <c r="AB102" s="241"/>
      <c r="AC102" s="241"/>
      <c r="AD102" s="241"/>
      <c r="AE102" s="241"/>
      <c r="AF102" s="221" t="str">
        <f ca="1">_xll.DBRW(Server&amp;Cube1,$F$17,$F$18,$F$19,$F$16,$C$14,$F$15,$F$14,$F$20,AF$2,$AF$1,$C102)</f>
        <v/>
      </c>
      <c r="AG102" s="53"/>
      <c r="AH102" s="53"/>
      <c r="AI102" s="53"/>
      <c r="AJ102" s="53"/>
      <c r="AK102" s="53"/>
      <c r="AL102" s="53"/>
      <c r="AM102" s="53"/>
      <c r="AN102" s="53"/>
      <c r="AO102" s="53"/>
      <c r="AP102" s="1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</row>
    <row r="103" spans="1:53" ht="23.25" x14ac:dyDescent="0.3">
      <c r="A103" s="181" t="e">
        <f ca="1">IF($AT$35="YES",1,IF(_xll.ELCOMPN(Server&amp;$C$24,C103)&lt;&gt;0,1,IF(OR(B103=$AZ$35,B103="ALL"),1,0)))</f>
        <v>#VALUE!</v>
      </c>
      <c r="B103" s="163" t="str">
        <f t="shared" si="6"/>
        <v>GS</v>
      </c>
      <c r="C103" s="158" t="s">
        <v>209</v>
      </c>
      <c r="D103" s="24"/>
      <c r="E103" s="268" t="str">
        <f ca="1">_xll.DBRA(Server&amp;$C$24,$C103,$F$21)</f>
        <v>Frais postaux (SG)</v>
      </c>
      <c r="F103" s="268"/>
      <c r="G103" s="268"/>
      <c r="H103" s="43"/>
      <c r="I103" s="221" t="str">
        <f ca="1">_xll.DBRW(Server&amp;Cube1,$F$17,$F$18,$F$19,$F$16,$C$14,$F$15,$F$14,$F$20,I$2,I$1,$C103)</f>
        <v/>
      </c>
      <c r="J103" s="221" t="str">
        <f ca="1">_xll.DBRW(Server&amp;Cube1,$F$17,$F$18,$F$19,$F$16,$C$14,$F$15,$F$14,$F$20,J$2,J$1,$C103)</f>
        <v/>
      </c>
      <c r="K103" s="221" t="e">
        <f ca="1">_xll.DBRW(Server&amp;Cube1,$F$17,$F$18,$F$19,$F$16,$C$14,$F$15,$F$14,$F$20,I$2,I$1,$C103) -_xll.DBRW(Server&amp;Cube1,$F$17,$F$18,$F$19,$F$16,$C$14,$F$15,$F$14,$F$20,K$2,I$1,$C103)</f>
        <v>#VALUE!</v>
      </c>
      <c r="L103" s="221" t="e">
        <f t="shared" ca="1" si="5"/>
        <v>#VALUE!</v>
      </c>
      <c r="M103" s="221" t="e">
        <f t="shared" ca="1" si="4"/>
        <v>#VALUE!</v>
      </c>
      <c r="N103" s="226"/>
      <c r="O103" s="221" t="str">
        <f ca="1">_xll.DBRW(Server&amp;Cube1,$F$17,$F$18,$F$19,$F$16,$C$14,$F$15,$F$14,$F$20,O$2,O$1,$C103)</f>
        <v/>
      </c>
      <c r="P103" s="226"/>
      <c r="Q103" s="240" t="str">
        <f ca="1">IF(_xll.ELCOMPN(Server&amp;$C$24,C103)=0,"YES","NO")</f>
        <v>YES</v>
      </c>
      <c r="R103" s="241">
        <v>0</v>
      </c>
      <c r="S103" s="226"/>
      <c r="T103" s="227" t="str">
        <f ca="1">_xll.DBRW(Server&amp;Cube1,$F$17,$F$18,$F$19,$F$16,$C$14,$F$15,$F$14,$F$20,T$2,$T$1,$C103)</f>
        <v/>
      </c>
      <c r="U103" s="227" t="str">
        <f ca="1">_xll.DBRW(Server&amp;Cube1,$F$17,$F$18,$F$19,$F$16,$C$14,$F$15,$F$14,$F$20,U$2,$U$1,$C103)</f>
        <v/>
      </c>
      <c r="V103" s="227" t="str">
        <f ca="1">_xll.DBRW(Server&amp;Cube1,$F$17,$F$18,$F$19,$F$16,$C$14,$F$15,$F$14,$F$20,V$2,V$1,$C103)</f>
        <v/>
      </c>
      <c r="W103" s="227" t="str">
        <f ca="1">_xll.DBRW(Server&amp;Cube1,$F$17,$F$18,$F$19,$F$16,$C$14,$F$15,$F$14,$F$20,W$2,W$1,$C103)</f>
        <v/>
      </c>
      <c r="X103" s="227" t="str">
        <f ca="1">_xll.DBRW(Server&amp;Cube1,$F$17,$F$18,$F$19,$F$16,$C$14,$F$15,$F$14,$F$20,X$2,X$1,$C103)</f>
        <v/>
      </c>
      <c r="Y103" s="227" t="str">
        <f ca="1">_xll.DBRW(Server&amp;Cube1,$F$17,$F$18,$F$19,$F$16,$C$14,$F$15,$F$14,$F$20,Y$2,Y$1,$C103)</f>
        <v/>
      </c>
      <c r="Z103" s="241"/>
      <c r="AA103" s="241"/>
      <c r="AB103" s="241"/>
      <c r="AC103" s="241"/>
      <c r="AD103" s="241"/>
      <c r="AE103" s="241"/>
      <c r="AF103" s="221" t="str">
        <f ca="1">_xll.DBRW(Server&amp;Cube1,$F$17,$F$18,$F$19,$F$16,$C$14,$F$15,$F$14,$F$20,AF$2,$AF$1,$C103)</f>
        <v/>
      </c>
      <c r="AG103" s="53"/>
      <c r="AH103" s="53"/>
      <c r="AI103" s="53"/>
      <c r="AJ103" s="53"/>
      <c r="AK103" s="53"/>
      <c r="AL103" s="53"/>
      <c r="AM103" s="53"/>
      <c r="AN103" s="53"/>
      <c r="AO103" s="53"/>
      <c r="AP103" s="1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</row>
    <row r="104" spans="1:53" ht="23.25" x14ac:dyDescent="0.3">
      <c r="A104" s="181" t="e">
        <f ca="1">IF($AT$35="YES",1,IF(_xll.ELCOMPN(Server&amp;$C$24,C104)&lt;&gt;0,1,IF(OR(B104=$AZ$35,B104="ALL"),1,0)))</f>
        <v>#VALUE!</v>
      </c>
      <c r="B104" s="163" t="str">
        <f t="shared" si="6"/>
        <v>RD</v>
      </c>
      <c r="C104" s="158" t="s">
        <v>210</v>
      </c>
      <c r="D104" s="24"/>
      <c r="E104" s="268" t="str">
        <f ca="1">_xll.DBRA(Server&amp;$C$24,$C104,$F$21)</f>
        <v>Frais postaux (RD)</v>
      </c>
      <c r="F104" s="268"/>
      <c r="G104" s="268"/>
      <c r="H104" s="43"/>
      <c r="I104" s="221" t="str">
        <f ca="1">_xll.DBRW(Server&amp;Cube1,$F$17,$F$18,$F$19,$F$16,$C$14,$F$15,$F$14,$F$20,I$2,I$1,$C104)</f>
        <v/>
      </c>
      <c r="J104" s="221" t="str">
        <f ca="1">_xll.DBRW(Server&amp;Cube1,$F$17,$F$18,$F$19,$F$16,$C$14,$F$15,$F$14,$F$20,J$2,J$1,$C104)</f>
        <v/>
      </c>
      <c r="K104" s="221" t="e">
        <f ca="1">_xll.DBRW(Server&amp;Cube1,$F$17,$F$18,$F$19,$F$16,$C$14,$F$15,$F$14,$F$20,I$2,I$1,$C104) -_xll.DBRW(Server&amp;Cube1,$F$17,$F$18,$F$19,$F$16,$C$14,$F$15,$F$14,$F$20,K$2,I$1,$C104)</f>
        <v>#VALUE!</v>
      </c>
      <c r="L104" s="221" t="e">
        <f t="shared" ca="1" si="5"/>
        <v>#VALUE!</v>
      </c>
      <c r="M104" s="221" t="e">
        <f t="shared" ca="1" si="4"/>
        <v>#VALUE!</v>
      </c>
      <c r="N104" s="226"/>
      <c r="O104" s="221" t="str">
        <f ca="1">_xll.DBRW(Server&amp;Cube1,$F$17,$F$18,$F$19,$F$16,$C$14,$F$15,$F$14,$F$20,O$2,O$1,$C104)</f>
        <v/>
      </c>
      <c r="P104" s="226"/>
      <c r="Q104" s="240" t="str">
        <f ca="1">IF(_xll.ELCOMPN(Server&amp;$C$24,C104)=0,"YES","NO")</f>
        <v>YES</v>
      </c>
      <c r="R104" s="241">
        <v>0</v>
      </c>
      <c r="S104" s="226"/>
      <c r="T104" s="227" t="str">
        <f ca="1">_xll.DBRW(Server&amp;Cube1,$F$17,$F$18,$F$19,$F$16,$C$14,$F$15,$F$14,$F$20,T$2,$T$1,$C104)</f>
        <v/>
      </c>
      <c r="U104" s="227" t="str">
        <f ca="1">_xll.DBRW(Server&amp;Cube1,$F$17,$F$18,$F$19,$F$16,$C$14,$F$15,$F$14,$F$20,U$2,$U$1,$C104)</f>
        <v/>
      </c>
      <c r="V104" s="227" t="str">
        <f ca="1">_xll.DBRW(Server&amp;Cube1,$F$17,$F$18,$F$19,$F$16,$C$14,$F$15,$F$14,$F$20,V$2,V$1,$C104)</f>
        <v/>
      </c>
      <c r="W104" s="227" t="str">
        <f ca="1">_xll.DBRW(Server&amp;Cube1,$F$17,$F$18,$F$19,$F$16,$C$14,$F$15,$F$14,$F$20,W$2,W$1,$C104)</f>
        <v/>
      </c>
      <c r="X104" s="227" t="str">
        <f ca="1">_xll.DBRW(Server&amp;Cube1,$F$17,$F$18,$F$19,$F$16,$C$14,$F$15,$F$14,$F$20,X$2,X$1,$C104)</f>
        <v/>
      </c>
      <c r="Y104" s="227" t="str">
        <f ca="1">_xll.DBRW(Server&amp;Cube1,$F$17,$F$18,$F$19,$F$16,$C$14,$F$15,$F$14,$F$20,Y$2,Y$1,$C104)</f>
        <v/>
      </c>
      <c r="Z104" s="241"/>
      <c r="AA104" s="241"/>
      <c r="AB104" s="241"/>
      <c r="AC104" s="241"/>
      <c r="AD104" s="241"/>
      <c r="AE104" s="241"/>
      <c r="AF104" s="221" t="str">
        <f ca="1">_xll.DBRW(Server&amp;Cube1,$F$17,$F$18,$F$19,$F$16,$C$14,$F$15,$F$14,$F$20,AF$2,$AF$1,$C104)</f>
        <v/>
      </c>
      <c r="AG104" s="53"/>
      <c r="AH104" s="53"/>
      <c r="AI104" s="53"/>
      <c r="AJ104" s="53"/>
      <c r="AK104" s="53"/>
      <c r="AL104" s="53"/>
      <c r="AM104" s="53"/>
      <c r="AN104" s="53"/>
      <c r="AO104" s="53"/>
      <c r="AP104" s="1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</row>
    <row r="105" spans="1:53" s="9" customFormat="1" ht="24.95" customHeight="1" collapsed="1" x14ac:dyDescent="0.35">
      <c r="A105" s="181">
        <f ca="1">IF($AT$35="YES",1,IF(_xll.ELCOMPN(Server&amp;$C$24,C105)&lt;&gt;0,1,IF(OR(B105=$AZ$35,B105="ALL"),1,0)))</f>
        <v>1</v>
      </c>
      <c r="B105" s="163" t="str">
        <f t="shared" si="6"/>
        <v>ex</v>
      </c>
      <c r="C105" s="116" t="s">
        <v>92</v>
      </c>
      <c r="E105" s="269" t="str">
        <f ca="1">_xll.DBRA(Server&amp;$C$24,$C105,$F$21)</f>
        <v>Coûts externes de la Direction</v>
      </c>
      <c r="F105" s="269"/>
      <c r="G105" s="269"/>
      <c r="H105" s="40"/>
      <c r="I105" s="220" t="str">
        <f ca="1">_xll.DBRW(Server&amp;Cube1,$F$17,$F$18,$F$19,$F$16,$C$14,$F$15,$F$14,$F$20,I$2,I$1,$C105)</f>
        <v/>
      </c>
      <c r="J105" s="220" t="str">
        <f ca="1">_xll.DBRW(Server&amp;Cube1,$F$17,$F$18,$F$19,$F$16,$C$14,$F$15,$F$14,$F$20,J$2,J$1,$C105)</f>
        <v/>
      </c>
      <c r="K105" s="220" t="e">
        <f ca="1">_xll.DBRW(Server&amp;Cube1,$F$17,$F$18,$F$19,$F$16,$C$14,$F$15,$F$14,$F$20,I$2,I$1,$C105) -_xll.DBRW(Server&amp;Cube1,$F$17,$F$18,$F$19,$F$16,$C$14,$F$15,$F$14,$F$20,K$2,I$1,$C105)</f>
        <v>#VALUE!</v>
      </c>
      <c r="L105" s="220" t="e">
        <f t="shared" ca="1" si="5"/>
        <v>#VALUE!</v>
      </c>
      <c r="M105" s="220" t="e">
        <f t="shared" ca="1" si="4"/>
        <v>#VALUE!</v>
      </c>
      <c r="N105" s="229"/>
      <c r="O105" s="228" t="str">
        <f ca="1">_xll.DBRW(Server&amp;Cube1,$F$17,$F$18,$F$19,$F$16,$C$14,$F$15,$F$14,$F$20,O$2,O$1,$C105)</f>
        <v/>
      </c>
      <c r="P105" s="229"/>
      <c r="Q105" s="240" t="str">
        <f ca="1">IF(_xll.ELCOMPN(Server&amp;$C$24,C105)=0,"YES","NO")</f>
        <v>NO</v>
      </c>
      <c r="R105" s="228"/>
      <c r="S105" s="229"/>
      <c r="T105" s="231" t="str">
        <f ca="1">_xll.DBRW(Server&amp;Cube1,$F$17,$F$18,$F$19,$F$16,$C$14,$F$15,$F$14,$F$20,T$2,$T$1,$C105)</f>
        <v/>
      </c>
      <c r="U105" s="231" t="str">
        <f ca="1">_xll.DBRW(Server&amp;Cube1,$F$17,$F$18,$F$19,$F$16,$C$14,$F$15,$F$14,$F$20,U$2,$U$1,$C105)</f>
        <v/>
      </c>
      <c r="V105" s="231" t="str">
        <f ca="1">_xll.DBRW(Server&amp;Cube1,$F$17,$F$18,$F$19,$F$16,$C$14,$F$15,$F$14,$F$20,V$2,V$1,$C105)</f>
        <v/>
      </c>
      <c r="W105" s="231" t="str">
        <f ca="1">_xll.DBRW(Server&amp;Cube1,$F$17,$F$18,$F$19,$F$16,$C$14,$F$15,$F$14,$F$20,W$2,W$1,$C105)</f>
        <v/>
      </c>
      <c r="X105" s="228" t="str">
        <f ca="1">_xll.DBRW(Server&amp;Cube1,$F$17,$F$18,$F$19,$F$16,$C$14,$F$15,$F$14,$F$20,X$2,X$1,$C105)</f>
        <v/>
      </c>
      <c r="Y105" s="228" t="str">
        <f ca="1">_xll.DBRW(Server&amp;Cube1,$F$17,$F$18,$F$19,$F$16,$C$14,$F$15,$F$14,$F$20,Y$2,Y$1,$C105)</f>
        <v/>
      </c>
      <c r="Z105" s="228" t="str">
        <f ca="1">_xll.DBRW(Server&amp;Cube1,$F$17,$F$18,$F$19,$F$16,$C$14,$F$15,$F$14,$F$20,Z$2,Z$1,$C105)</f>
        <v/>
      </c>
      <c r="AA105" s="228" t="str">
        <f ca="1">_xll.DBRW(Server&amp;Cube1,$F$17,$F$18,$F$19,$F$16,$C$14,$F$15,$F$14,$F$20,AA$2,AA$1,$C105)</f>
        <v/>
      </c>
      <c r="AB105" s="228" t="str">
        <f ca="1">_xll.DBRW(Server&amp;Cube1,$F$17,$F$18,$F$19,$F$16,$C$14,$F$15,$F$14,$F$20,AB$2,AB$1,$C105)</f>
        <v/>
      </c>
      <c r="AC105" s="228" t="str">
        <f ca="1">_xll.DBRW(Server&amp;Cube1,$F$17,$F$18,$F$19,$F$16,$C$14,$F$15,$F$14,$F$20,AC$2,AC$1,$C105)</f>
        <v/>
      </c>
      <c r="AD105" s="228" t="str">
        <f ca="1">_xll.DBRW(Server&amp;Cube1,$F$17,$F$18,$F$19,$F$16,$C$14,$F$15,$F$14,$F$20,AD$2,AD$1,$C105)</f>
        <v/>
      </c>
      <c r="AE105" s="228" t="str">
        <f ca="1">_xll.DBRW(Server&amp;Cube1,$F$17,$F$18,$F$19,$F$16,$C$14,$F$15,$F$14,$F$20,AE$2,AE$1,$C105)</f>
        <v/>
      </c>
      <c r="AF105" s="228" t="str">
        <f ca="1">_xll.DBRW(Server&amp;Cube1,$F$17,$F$18,$F$19,$F$16,$C$14,$F$15,$F$14,$F$20,AF$2,$AF$1,$C105)</f>
        <v/>
      </c>
      <c r="AG105" s="53"/>
      <c r="AH105" s="53"/>
      <c r="AI105" s="53"/>
      <c r="AJ105" s="53"/>
      <c r="AK105" s="53"/>
      <c r="AL105" s="53"/>
      <c r="AM105" s="53"/>
      <c r="AN105" s="53"/>
      <c r="AO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</row>
    <row r="106" spans="1:53" s="9" customFormat="1" ht="24.75" customHeight="1" x14ac:dyDescent="0.35">
      <c r="A106" s="181">
        <f ca="1">IF($AT$35="YES",1,IF(_xll.ELCOMPN(Server&amp;$C$24,C106)&lt;&gt;0,1,IF(OR(B106=$AZ$35,B106="ALL"),1,0)))</f>
        <v>1</v>
      </c>
      <c r="B106" s="163" t="str">
        <f t="shared" si="6"/>
        <v>co</v>
      </c>
      <c r="C106" s="117" t="s">
        <v>93</v>
      </c>
      <c r="E106" s="270" t="str">
        <f ca="1">_xll.DBRA(Server&amp;$C$24,$C106,$F$21)</f>
        <v>Honoraires &amp; Conseil</v>
      </c>
      <c r="F106" s="270"/>
      <c r="G106" s="270"/>
      <c r="H106" s="40"/>
      <c r="I106" s="221" t="str">
        <f ca="1">_xll.DBRW(Server&amp;Cube1,$F$17,$F$18,$F$19,$F$16,$C$14,$F$15,$F$14,$F$20,I$2,I$1,$C106)</f>
        <v/>
      </c>
      <c r="J106" s="221" t="str">
        <f ca="1">_xll.DBRW(Server&amp;Cube1,$F$17,$F$18,$F$19,$F$16,$C$14,$F$15,$F$14,$F$20,J$2,J$1,$C106)</f>
        <v/>
      </c>
      <c r="K106" s="221" t="e">
        <f ca="1">_xll.DBRW(Server&amp;Cube1,$F$17,$F$18,$F$19,$F$16,$C$14,$F$15,$F$14,$F$20,I$2,I$1,$C106) -_xll.DBRW(Server&amp;Cube1,$F$17,$F$18,$F$19,$F$16,$C$14,$F$15,$F$14,$F$20,K$2,I$1,$C106)</f>
        <v>#VALUE!</v>
      </c>
      <c r="L106" s="221" t="e">
        <f t="shared" ca="1" si="5"/>
        <v>#VALUE!</v>
      </c>
      <c r="M106" s="221" t="e">
        <f t="shared" ca="1" si="4"/>
        <v>#VALUE!</v>
      </c>
      <c r="N106" s="229"/>
      <c r="O106" s="229" t="str">
        <f ca="1">_xll.DBRW(Server&amp;Cube1,$F$17,$F$18,$F$19,$F$16,$C$14,$F$15,$F$14,$F$20,O$2,O$1,$C106)</f>
        <v/>
      </c>
      <c r="P106" s="229"/>
      <c r="Q106" s="240" t="str">
        <f ca="1">IF(_xll.ELCOMPN(Server&amp;$C$24,C106)=0,"YES","NO")</f>
        <v>NO</v>
      </c>
      <c r="R106" s="229"/>
      <c r="S106" s="229"/>
      <c r="T106" s="230" t="str">
        <f ca="1">_xll.DBRW(Server&amp;Cube1,$F$17,$F$18,$F$19,$F$16,$C$14,$F$15,$F$14,$F$20,T$2,$T$1,$C106)</f>
        <v/>
      </c>
      <c r="U106" s="230" t="str">
        <f ca="1">_xll.DBRW(Server&amp;Cube1,$F$17,$F$18,$F$19,$F$16,$C$14,$F$15,$F$14,$F$20,U$2,$U$1,$C106)</f>
        <v/>
      </c>
      <c r="V106" s="230" t="str">
        <f ca="1">_xll.DBRW(Server&amp;Cube1,$F$17,$F$18,$F$19,$F$16,$C$14,$F$15,$F$14,$F$20,V$2,V$1,$C106)</f>
        <v/>
      </c>
      <c r="W106" s="230" t="str">
        <f ca="1">_xll.DBRW(Server&amp;Cube1,$F$17,$F$18,$F$19,$F$16,$C$14,$F$15,$F$14,$F$20,W$2,W$1,$C106)</f>
        <v/>
      </c>
      <c r="X106" s="229" t="str">
        <f ca="1">_xll.DBRW(Server&amp;Cube1,$F$17,$F$18,$F$19,$F$16,$C$14,$F$15,$F$14,$F$20,X$2,X$1,$C106)</f>
        <v/>
      </c>
      <c r="Y106" s="229" t="str">
        <f ca="1">_xll.DBRW(Server&amp;Cube1,$F$17,$F$18,$F$19,$F$16,$C$14,$F$15,$F$14,$F$20,Y$2,Y$1,$C106)</f>
        <v/>
      </c>
      <c r="Z106" s="229" t="str">
        <f ca="1">_xll.DBRW(Server&amp;Cube1,$F$17,$F$18,$F$19,$F$16,$C$14,$F$15,$F$14,$F$20,Z$2,Z$1,$C106)</f>
        <v/>
      </c>
      <c r="AA106" s="229" t="str">
        <f ca="1">_xll.DBRW(Server&amp;Cube1,$F$17,$F$18,$F$19,$F$16,$C$14,$F$15,$F$14,$F$20,AA$2,AA$1,$C106)</f>
        <v/>
      </c>
      <c r="AB106" s="229" t="str">
        <f ca="1">_xll.DBRW(Server&amp;Cube1,$F$17,$F$18,$F$19,$F$16,$C$14,$F$15,$F$14,$F$20,AB$2,AB$1,$C106)</f>
        <v/>
      </c>
      <c r="AC106" s="229" t="str">
        <f ca="1">_xll.DBRW(Server&amp;Cube1,$F$17,$F$18,$F$19,$F$16,$C$14,$F$15,$F$14,$F$20,AC$2,AC$1,$C106)</f>
        <v/>
      </c>
      <c r="AD106" s="229" t="str">
        <f ca="1">_xll.DBRW(Server&amp;Cube1,$F$17,$F$18,$F$19,$F$16,$C$14,$F$15,$F$14,$F$20,AD$2,AD$1,$C106)</f>
        <v/>
      </c>
      <c r="AE106" s="229" t="str">
        <f ca="1">_xll.DBRW(Server&amp;Cube1,$F$17,$F$18,$F$19,$F$16,$C$14,$F$15,$F$14,$F$20,AE$2,AE$1,$C106)</f>
        <v/>
      </c>
      <c r="AF106" s="229" t="str">
        <f ca="1">_xll.DBRW(Server&amp;Cube1,$F$17,$F$18,$F$19,$F$16,$C$14,$F$15,$F$14,$F$20,AF$2,$AF$1,$C106)</f>
        <v/>
      </c>
      <c r="AG106" s="53"/>
      <c r="AH106" s="53"/>
      <c r="AI106" s="53"/>
      <c r="AJ106" s="53"/>
      <c r="AK106" s="53"/>
      <c r="AL106" s="53"/>
      <c r="AM106" s="53"/>
      <c r="AN106" s="53"/>
      <c r="AO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</row>
    <row r="107" spans="1:53" s="9" customFormat="1" ht="24.75" customHeight="1" x14ac:dyDescent="0.35">
      <c r="A107" s="181" t="e">
        <f ca="1">IF($AT$35="YES",1,IF(_xll.ELCOMPN(Server&amp;$C$24,C107)&lt;&gt;0,1,IF(OR(B107=$AZ$35,B107="ALL"),1,0)))</f>
        <v>#VALUE!</v>
      </c>
      <c r="B107" s="163" t="str">
        <f t="shared" si="6"/>
        <v>DS</v>
      </c>
      <c r="C107" s="158" t="s">
        <v>211</v>
      </c>
      <c r="E107" s="268" t="str">
        <f ca="1">_xll.DBRA(Server&amp;$C$24,$C107,$F$21)</f>
        <v>Honoraires &amp; Conseil (SO)</v>
      </c>
      <c r="F107" s="268"/>
      <c r="G107" s="268"/>
      <c r="H107" s="40"/>
      <c r="I107" s="221" t="str">
        <f ca="1">_xll.DBRW(Server&amp;Cube1,$F$17,$F$18,$F$19,$F$16,$C$14,$F$15,$F$14,$F$20,I$2,I$1,$C107)</f>
        <v/>
      </c>
      <c r="J107" s="221" t="str">
        <f ca="1">_xll.DBRW(Server&amp;Cube1,$F$17,$F$18,$F$19,$F$16,$C$14,$F$15,$F$14,$F$20,J$2,J$1,$C107)</f>
        <v/>
      </c>
      <c r="K107" s="221" t="e">
        <f ca="1">_xll.DBRW(Server&amp;Cube1,$F$17,$F$18,$F$19,$F$16,$C$14,$F$15,$F$14,$F$20,I$2,I$1,$C107) -_xll.DBRW(Server&amp;Cube1,$F$17,$F$18,$F$19,$F$16,$C$14,$F$15,$F$14,$F$20,K$2,I$1,$C107)</f>
        <v>#VALUE!</v>
      </c>
      <c r="L107" s="221" t="e">
        <f t="shared" ca="1" si="5"/>
        <v>#VALUE!</v>
      </c>
      <c r="M107" s="221" t="e">
        <f t="shared" ca="1" si="4"/>
        <v>#VALUE!</v>
      </c>
      <c r="N107" s="226"/>
      <c r="O107" s="221" t="str">
        <f ca="1">_xll.DBRW(Server&amp;Cube1,$F$17,$F$18,$F$19,$F$16,$C$14,$F$15,$F$14,$F$20,O$2,O$1,$C107)</f>
        <v/>
      </c>
      <c r="P107" s="226"/>
      <c r="Q107" s="240" t="str">
        <f ca="1">IF(_xll.ELCOMPN(Server&amp;$C$24,C107)=0,"YES","NO")</f>
        <v>YES</v>
      </c>
      <c r="R107" s="241">
        <v>0</v>
      </c>
      <c r="S107" s="226"/>
      <c r="T107" s="227" t="str">
        <f ca="1">_xll.DBRW(Server&amp;Cube1,$F$17,$F$18,$F$19,$F$16,$C$14,$F$15,$F$14,$F$20,T$2,$T$1,$C107)</f>
        <v/>
      </c>
      <c r="U107" s="227" t="str">
        <f ca="1">_xll.DBRW(Server&amp;Cube1,$F$17,$F$18,$F$19,$F$16,$C$14,$F$15,$F$14,$F$20,U$2,$U$1,$C107)</f>
        <v/>
      </c>
      <c r="V107" s="227" t="str">
        <f ca="1">_xll.DBRW(Server&amp;Cube1,$F$17,$F$18,$F$19,$F$16,$C$14,$F$15,$F$14,$F$20,V$2,V$1,$C107)</f>
        <v/>
      </c>
      <c r="W107" s="227" t="str">
        <f ca="1">_xll.DBRW(Server&amp;Cube1,$F$17,$F$18,$F$19,$F$16,$C$14,$F$15,$F$14,$F$20,W$2,W$1,$C107)</f>
        <v/>
      </c>
      <c r="X107" s="227" t="str">
        <f ca="1">_xll.DBRW(Server&amp;Cube1,$F$17,$F$18,$F$19,$F$16,$C$14,$F$15,$F$14,$F$20,X$2,X$1,$C107)</f>
        <v/>
      </c>
      <c r="Y107" s="227" t="str">
        <f ca="1">_xll.DBRW(Server&amp;Cube1,$F$17,$F$18,$F$19,$F$16,$C$14,$F$15,$F$14,$F$20,Y$2,Y$1,$C107)</f>
        <v/>
      </c>
      <c r="Z107" s="241"/>
      <c r="AA107" s="241"/>
      <c r="AB107" s="241"/>
      <c r="AC107" s="241"/>
      <c r="AD107" s="241"/>
      <c r="AE107" s="241"/>
      <c r="AF107" s="221" t="str">
        <f ca="1">_xll.DBRW(Server&amp;Cube1,$F$17,$F$18,$F$19,$F$16,$C$14,$F$15,$F$14,$F$20,AF$2,$AF$1,$C107)</f>
        <v/>
      </c>
      <c r="AG107" s="53"/>
      <c r="AH107" s="53"/>
      <c r="AI107" s="53"/>
      <c r="AJ107" s="53"/>
      <c r="AK107" s="53"/>
      <c r="AL107" s="53"/>
      <c r="AM107" s="53"/>
      <c r="AN107" s="53"/>
      <c r="AO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</row>
    <row r="108" spans="1:53" s="9" customFormat="1" ht="24.75" customHeight="1" x14ac:dyDescent="0.35">
      <c r="A108" s="181" t="e">
        <f ca="1">IF($AT$35="YES",1,IF(_xll.ELCOMPN(Server&amp;$C$24,C108)&lt;&gt;0,1,IF(OR(B108=$AZ$35,B108="ALL"),1,0)))</f>
        <v>#VALUE!</v>
      </c>
      <c r="B108" s="163" t="str">
        <f t="shared" si="6"/>
        <v>BD</v>
      </c>
      <c r="C108" s="158" t="s">
        <v>212</v>
      </c>
      <c r="E108" s="268" t="str">
        <f ca="1">_xll.DBRA(Server&amp;$C$24,$C108,$F$21)</f>
        <v>Honoraires &amp; Conseil (DC)</v>
      </c>
      <c r="F108" s="268"/>
      <c r="G108" s="268"/>
      <c r="H108" s="40"/>
      <c r="I108" s="221" t="str">
        <f ca="1">_xll.DBRW(Server&amp;Cube1,$F$17,$F$18,$F$19,$F$16,$C$14,$F$15,$F$14,$F$20,I$2,I$1,$C108)</f>
        <v/>
      </c>
      <c r="J108" s="221" t="str">
        <f ca="1">_xll.DBRW(Server&amp;Cube1,$F$17,$F$18,$F$19,$F$16,$C$14,$F$15,$F$14,$F$20,J$2,J$1,$C108)</f>
        <v/>
      </c>
      <c r="K108" s="221" t="e">
        <f ca="1">_xll.DBRW(Server&amp;Cube1,$F$17,$F$18,$F$19,$F$16,$C$14,$F$15,$F$14,$F$20,I$2,I$1,$C108) -_xll.DBRW(Server&amp;Cube1,$F$17,$F$18,$F$19,$F$16,$C$14,$F$15,$F$14,$F$20,K$2,I$1,$C108)</f>
        <v>#VALUE!</v>
      </c>
      <c r="L108" s="221" t="e">
        <f t="shared" ca="1" si="5"/>
        <v>#VALUE!</v>
      </c>
      <c r="M108" s="221" t="e">
        <f t="shared" ca="1" si="4"/>
        <v>#VALUE!</v>
      </c>
      <c r="N108" s="226"/>
      <c r="O108" s="221" t="str">
        <f ca="1">_xll.DBRW(Server&amp;Cube1,$F$17,$F$18,$F$19,$F$16,$C$14,$F$15,$F$14,$F$20,O$2,O$1,$C108)</f>
        <v/>
      </c>
      <c r="P108" s="226"/>
      <c r="Q108" s="240" t="str">
        <f ca="1">IF(_xll.ELCOMPN(Server&amp;$C$24,C108)=0,"YES","NO")</f>
        <v>YES</v>
      </c>
      <c r="R108" s="241">
        <v>0</v>
      </c>
      <c r="S108" s="226"/>
      <c r="T108" s="227" t="str">
        <f ca="1">_xll.DBRW(Server&amp;Cube1,$F$17,$F$18,$F$19,$F$16,$C$14,$F$15,$F$14,$F$20,T$2,$T$1,$C108)</f>
        <v/>
      </c>
      <c r="U108" s="227" t="str">
        <f ca="1">_xll.DBRW(Server&amp;Cube1,$F$17,$F$18,$F$19,$F$16,$C$14,$F$15,$F$14,$F$20,U$2,$U$1,$C108)</f>
        <v/>
      </c>
      <c r="V108" s="227" t="str">
        <f ca="1">_xll.DBRW(Server&amp;Cube1,$F$17,$F$18,$F$19,$F$16,$C$14,$F$15,$F$14,$F$20,V$2,V$1,$C108)</f>
        <v/>
      </c>
      <c r="W108" s="227" t="str">
        <f ca="1">_xll.DBRW(Server&amp;Cube1,$F$17,$F$18,$F$19,$F$16,$C$14,$F$15,$F$14,$F$20,W$2,W$1,$C108)</f>
        <v/>
      </c>
      <c r="X108" s="227" t="str">
        <f ca="1">_xll.DBRW(Server&amp;Cube1,$F$17,$F$18,$F$19,$F$16,$C$14,$F$15,$F$14,$F$20,X$2,X$1,$C108)</f>
        <v/>
      </c>
      <c r="Y108" s="227" t="str">
        <f ca="1">_xll.DBRW(Server&amp;Cube1,$F$17,$F$18,$F$19,$F$16,$C$14,$F$15,$F$14,$F$20,Y$2,Y$1,$C108)</f>
        <v/>
      </c>
      <c r="Z108" s="241"/>
      <c r="AA108" s="241"/>
      <c r="AB108" s="241"/>
      <c r="AC108" s="241"/>
      <c r="AD108" s="241"/>
      <c r="AE108" s="241"/>
      <c r="AF108" s="221" t="str">
        <f ca="1">_xll.DBRW(Server&amp;Cube1,$F$17,$F$18,$F$19,$F$16,$C$14,$F$15,$F$14,$F$20,AF$2,$AF$1,$C108)</f>
        <v/>
      </c>
      <c r="AG108" s="53"/>
      <c r="AH108" s="53"/>
      <c r="AI108" s="53"/>
      <c r="AJ108" s="53"/>
      <c r="AK108" s="53"/>
      <c r="AL108" s="53"/>
      <c r="AM108" s="53"/>
      <c r="AN108" s="53"/>
      <c r="AO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</row>
    <row r="109" spans="1:53" s="9" customFormat="1" ht="24.75" customHeight="1" x14ac:dyDescent="0.35">
      <c r="A109" s="181" t="e">
        <f ca="1">IF($AT$35="YES",1,IF(_xll.ELCOMPN(Server&amp;$C$24,C109)&lt;&gt;0,1,IF(OR(B109=$AZ$35,B109="ALL"),1,0)))</f>
        <v>#VALUE!</v>
      </c>
      <c r="B109" s="163" t="str">
        <f t="shared" si="6"/>
        <v>FI</v>
      </c>
      <c r="C109" s="158" t="s">
        <v>213</v>
      </c>
      <c r="E109" s="268" t="str">
        <f ca="1">_xll.DBRA(Server&amp;$C$24,$C109,$F$21)</f>
        <v>Honoraires &amp; Conseil (DF)</v>
      </c>
      <c r="F109" s="268"/>
      <c r="G109" s="268"/>
      <c r="H109" s="40"/>
      <c r="I109" s="221" t="str">
        <f ca="1">_xll.DBRW(Server&amp;Cube1,$F$17,$F$18,$F$19,$F$16,$C$14,$F$15,$F$14,$F$20,I$2,I$1,$C109)</f>
        <v/>
      </c>
      <c r="J109" s="221" t="str">
        <f ca="1">_xll.DBRW(Server&amp;Cube1,$F$17,$F$18,$F$19,$F$16,$C$14,$F$15,$F$14,$F$20,J$2,J$1,$C109)</f>
        <v/>
      </c>
      <c r="K109" s="221" t="e">
        <f ca="1">_xll.DBRW(Server&amp;Cube1,$F$17,$F$18,$F$19,$F$16,$C$14,$F$15,$F$14,$F$20,I$2,I$1,$C109) -_xll.DBRW(Server&amp;Cube1,$F$17,$F$18,$F$19,$F$16,$C$14,$F$15,$F$14,$F$20,K$2,I$1,$C109)</f>
        <v>#VALUE!</v>
      </c>
      <c r="L109" s="221" t="e">
        <f t="shared" ca="1" si="5"/>
        <v>#VALUE!</v>
      </c>
      <c r="M109" s="221" t="e">
        <f t="shared" ca="1" si="4"/>
        <v>#VALUE!</v>
      </c>
      <c r="N109" s="226"/>
      <c r="O109" s="221" t="str">
        <f ca="1">_xll.DBRW(Server&amp;Cube1,$F$17,$F$18,$F$19,$F$16,$C$14,$F$15,$F$14,$F$20,O$2,O$1,$C109)</f>
        <v/>
      </c>
      <c r="P109" s="226"/>
      <c r="Q109" s="240" t="str">
        <f ca="1">IF(_xll.ELCOMPN(Server&amp;$C$24,C109)=0,"YES","NO")</f>
        <v>YES</v>
      </c>
      <c r="R109" s="241">
        <v>0</v>
      </c>
      <c r="S109" s="226"/>
      <c r="T109" s="227" t="str">
        <f ca="1">_xll.DBRW(Server&amp;Cube1,$F$17,$F$18,$F$19,$F$16,$C$14,$F$15,$F$14,$F$20,T$2,$T$1,$C109)</f>
        <v/>
      </c>
      <c r="U109" s="227" t="str">
        <f ca="1">_xll.DBRW(Server&amp;Cube1,$F$17,$F$18,$F$19,$F$16,$C$14,$F$15,$F$14,$F$20,U$2,$U$1,$C109)</f>
        <v/>
      </c>
      <c r="V109" s="227" t="str">
        <f ca="1">_xll.DBRW(Server&amp;Cube1,$F$17,$F$18,$F$19,$F$16,$C$14,$F$15,$F$14,$F$20,V$2,V$1,$C109)</f>
        <v/>
      </c>
      <c r="W109" s="227" t="str">
        <f ca="1">_xll.DBRW(Server&amp;Cube1,$F$17,$F$18,$F$19,$F$16,$C$14,$F$15,$F$14,$F$20,W$2,W$1,$C109)</f>
        <v/>
      </c>
      <c r="X109" s="227" t="str">
        <f ca="1">_xll.DBRW(Server&amp;Cube1,$F$17,$F$18,$F$19,$F$16,$C$14,$F$15,$F$14,$F$20,X$2,X$1,$C109)</f>
        <v/>
      </c>
      <c r="Y109" s="227" t="str">
        <f ca="1">_xll.DBRW(Server&amp;Cube1,$F$17,$F$18,$F$19,$F$16,$C$14,$F$15,$F$14,$F$20,Y$2,Y$1,$C109)</f>
        <v/>
      </c>
      <c r="Z109" s="241"/>
      <c r="AA109" s="241"/>
      <c r="AB109" s="241"/>
      <c r="AC109" s="241"/>
      <c r="AD109" s="241"/>
      <c r="AE109" s="241"/>
      <c r="AF109" s="221" t="str">
        <f ca="1">_xll.DBRW(Server&amp;Cube1,$F$17,$F$18,$F$19,$F$16,$C$14,$F$15,$F$14,$F$20,AF$2,$AF$1,$C109)</f>
        <v/>
      </c>
      <c r="AG109" s="53"/>
      <c r="AH109" s="53"/>
      <c r="AI109" s="53"/>
      <c r="AJ109" s="53"/>
      <c r="AK109" s="53"/>
      <c r="AL109" s="53"/>
      <c r="AM109" s="53"/>
      <c r="AN109" s="53"/>
      <c r="AO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</row>
    <row r="110" spans="1:53" s="9" customFormat="1" ht="24.75" customHeight="1" x14ac:dyDescent="0.35">
      <c r="A110" s="181" t="e">
        <f ca="1">IF($AT$35="YES",1,IF(_xll.ELCOMPN(Server&amp;$C$24,C110)&lt;&gt;0,1,IF(OR(B110=$AZ$35,B110="ALL"),1,0)))</f>
        <v>#VALUE!</v>
      </c>
      <c r="B110" s="163" t="str">
        <f t="shared" si="6"/>
        <v>IT</v>
      </c>
      <c r="C110" s="158" t="s">
        <v>214</v>
      </c>
      <c r="E110" s="268" t="str">
        <f ca="1">_xll.DBRA(Server&amp;$C$24,$C110,$F$21)</f>
        <v>Honoraires &amp; Conseil (IT)</v>
      </c>
      <c r="F110" s="268"/>
      <c r="G110" s="268"/>
      <c r="H110" s="40"/>
      <c r="I110" s="221" t="str">
        <f ca="1">_xll.DBRW(Server&amp;Cube1,$F$17,$F$18,$F$19,$F$16,$C$14,$F$15,$F$14,$F$20,I$2,I$1,$C110)</f>
        <v/>
      </c>
      <c r="J110" s="221" t="str">
        <f ca="1">_xll.DBRW(Server&amp;Cube1,$F$17,$F$18,$F$19,$F$16,$C$14,$F$15,$F$14,$F$20,J$2,J$1,$C110)</f>
        <v/>
      </c>
      <c r="K110" s="221" t="e">
        <f ca="1">_xll.DBRW(Server&amp;Cube1,$F$17,$F$18,$F$19,$F$16,$C$14,$F$15,$F$14,$F$20,I$2,I$1,$C110) -_xll.DBRW(Server&amp;Cube1,$F$17,$F$18,$F$19,$F$16,$C$14,$F$15,$F$14,$F$20,K$2,I$1,$C110)</f>
        <v>#VALUE!</v>
      </c>
      <c r="L110" s="221" t="e">
        <f t="shared" ca="1" si="5"/>
        <v>#VALUE!</v>
      </c>
      <c r="M110" s="221" t="e">
        <f t="shared" ca="1" si="4"/>
        <v>#VALUE!</v>
      </c>
      <c r="N110" s="226"/>
      <c r="O110" s="221" t="str">
        <f ca="1">_xll.DBRW(Server&amp;Cube1,$F$17,$F$18,$F$19,$F$16,$C$14,$F$15,$F$14,$F$20,O$2,O$1,$C110)</f>
        <v/>
      </c>
      <c r="P110" s="226"/>
      <c r="Q110" s="240" t="str">
        <f ca="1">IF(_xll.ELCOMPN(Server&amp;$C$24,C110)=0,"YES","NO")</f>
        <v>YES</v>
      </c>
      <c r="R110" s="241">
        <v>0</v>
      </c>
      <c r="S110" s="226"/>
      <c r="T110" s="227" t="str">
        <f ca="1">_xll.DBRW(Server&amp;Cube1,$F$17,$F$18,$F$19,$F$16,$C$14,$F$15,$F$14,$F$20,T$2,$T$1,$C110)</f>
        <v/>
      </c>
      <c r="U110" s="227" t="str">
        <f ca="1">_xll.DBRW(Server&amp;Cube1,$F$17,$F$18,$F$19,$F$16,$C$14,$F$15,$F$14,$F$20,U$2,$U$1,$C110)</f>
        <v/>
      </c>
      <c r="V110" s="227" t="str">
        <f ca="1">_xll.DBRW(Server&amp;Cube1,$F$17,$F$18,$F$19,$F$16,$C$14,$F$15,$F$14,$F$20,V$2,V$1,$C110)</f>
        <v/>
      </c>
      <c r="W110" s="227" t="str">
        <f ca="1">_xll.DBRW(Server&amp;Cube1,$F$17,$F$18,$F$19,$F$16,$C$14,$F$15,$F$14,$F$20,W$2,W$1,$C110)</f>
        <v/>
      </c>
      <c r="X110" s="227" t="str">
        <f ca="1">_xll.DBRW(Server&amp;Cube1,$F$17,$F$18,$F$19,$F$16,$C$14,$F$15,$F$14,$F$20,X$2,X$1,$C110)</f>
        <v/>
      </c>
      <c r="Y110" s="227" t="str">
        <f ca="1">_xll.DBRW(Server&amp;Cube1,$F$17,$F$18,$F$19,$F$16,$C$14,$F$15,$F$14,$F$20,Y$2,Y$1,$C110)</f>
        <v/>
      </c>
      <c r="Z110" s="241"/>
      <c r="AA110" s="241"/>
      <c r="AB110" s="241"/>
      <c r="AC110" s="241"/>
      <c r="AD110" s="241"/>
      <c r="AE110" s="241"/>
      <c r="AF110" s="221" t="str">
        <f ca="1">_xll.DBRW(Server&amp;Cube1,$F$17,$F$18,$F$19,$F$16,$C$14,$F$15,$F$14,$F$20,AF$2,$AF$1,$C110)</f>
        <v/>
      </c>
      <c r="AG110" s="53"/>
      <c r="AH110" s="53"/>
      <c r="AI110" s="53"/>
      <c r="AJ110" s="53"/>
      <c r="AK110" s="53"/>
      <c r="AL110" s="53"/>
      <c r="AM110" s="53"/>
      <c r="AN110" s="53"/>
      <c r="AO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</row>
    <row r="111" spans="1:53" s="9" customFormat="1" ht="24.75" customHeight="1" x14ac:dyDescent="0.35">
      <c r="A111" s="181" t="e">
        <f ca="1">IF($AT$35="YES",1,IF(_xll.ELCOMPN(Server&amp;$C$24,C111)&lt;&gt;0,1,IF(OR(B111=$AZ$35,B111="ALL"),1,0)))</f>
        <v>#VALUE!</v>
      </c>
      <c r="B111" s="163" t="str">
        <f t="shared" si="6"/>
        <v>HR</v>
      </c>
      <c r="C111" s="158" t="s">
        <v>215</v>
      </c>
      <c r="E111" s="268" t="str">
        <f ca="1">_xll.DBRA(Server&amp;$C$24,$C111,$F$21)</f>
        <v>Honoraires &amp; Conseil (RH)</v>
      </c>
      <c r="F111" s="268"/>
      <c r="G111" s="268"/>
      <c r="H111" s="40"/>
      <c r="I111" s="221" t="str">
        <f ca="1">_xll.DBRW(Server&amp;Cube1,$F$17,$F$18,$F$19,$F$16,$C$14,$F$15,$F$14,$F$20,I$2,I$1,$C111)</f>
        <v/>
      </c>
      <c r="J111" s="221" t="str">
        <f ca="1">_xll.DBRW(Server&amp;Cube1,$F$17,$F$18,$F$19,$F$16,$C$14,$F$15,$F$14,$F$20,J$2,J$1,$C111)</f>
        <v/>
      </c>
      <c r="K111" s="221" t="e">
        <f ca="1">_xll.DBRW(Server&amp;Cube1,$F$17,$F$18,$F$19,$F$16,$C$14,$F$15,$F$14,$F$20,I$2,I$1,$C111) -_xll.DBRW(Server&amp;Cube1,$F$17,$F$18,$F$19,$F$16,$C$14,$F$15,$F$14,$F$20,K$2,I$1,$C111)</f>
        <v>#VALUE!</v>
      </c>
      <c r="L111" s="221" t="e">
        <f t="shared" ca="1" si="5"/>
        <v>#VALUE!</v>
      </c>
      <c r="M111" s="221" t="e">
        <f t="shared" ca="1" si="4"/>
        <v>#VALUE!</v>
      </c>
      <c r="N111" s="226"/>
      <c r="O111" s="221" t="str">
        <f ca="1">_xll.DBRW(Server&amp;Cube1,$F$17,$F$18,$F$19,$F$16,$C$14,$F$15,$F$14,$F$20,O$2,O$1,$C111)</f>
        <v/>
      </c>
      <c r="P111" s="226"/>
      <c r="Q111" s="240" t="str">
        <f ca="1">IF(_xll.ELCOMPN(Server&amp;$C$24,C111)=0,"YES","NO")</f>
        <v>YES</v>
      </c>
      <c r="R111" s="241">
        <v>0</v>
      </c>
      <c r="S111" s="226"/>
      <c r="T111" s="227" t="str">
        <f ca="1">_xll.DBRW(Server&amp;Cube1,$F$17,$F$18,$F$19,$F$16,$C$14,$F$15,$F$14,$F$20,T$2,$T$1,$C111)</f>
        <v/>
      </c>
      <c r="U111" s="227" t="str">
        <f ca="1">_xll.DBRW(Server&amp;Cube1,$F$17,$F$18,$F$19,$F$16,$C$14,$F$15,$F$14,$F$20,U$2,$U$1,$C111)</f>
        <v/>
      </c>
      <c r="V111" s="227" t="str">
        <f ca="1">_xll.DBRW(Server&amp;Cube1,$F$17,$F$18,$F$19,$F$16,$C$14,$F$15,$F$14,$F$20,V$2,V$1,$C111)</f>
        <v/>
      </c>
      <c r="W111" s="227" t="str">
        <f ca="1">_xll.DBRW(Server&amp;Cube1,$F$17,$F$18,$F$19,$F$16,$C$14,$F$15,$F$14,$F$20,W$2,W$1,$C111)</f>
        <v/>
      </c>
      <c r="X111" s="227" t="str">
        <f ca="1">_xll.DBRW(Server&amp;Cube1,$F$17,$F$18,$F$19,$F$16,$C$14,$F$15,$F$14,$F$20,X$2,X$1,$C111)</f>
        <v/>
      </c>
      <c r="Y111" s="227" t="str">
        <f ca="1">_xll.DBRW(Server&amp;Cube1,$F$17,$F$18,$F$19,$F$16,$C$14,$F$15,$F$14,$F$20,Y$2,Y$1,$C111)</f>
        <v/>
      </c>
      <c r="Z111" s="241"/>
      <c r="AA111" s="241"/>
      <c r="AB111" s="241"/>
      <c r="AC111" s="241"/>
      <c r="AD111" s="241"/>
      <c r="AE111" s="241"/>
      <c r="AF111" s="221" t="str">
        <f ca="1">_xll.DBRW(Server&amp;Cube1,$F$17,$F$18,$F$19,$F$16,$C$14,$F$15,$F$14,$F$20,AF$2,$AF$1,$C111)</f>
        <v/>
      </c>
      <c r="AG111" s="53"/>
      <c r="AH111" s="53"/>
      <c r="AI111" s="53"/>
      <c r="AJ111" s="53"/>
      <c r="AK111" s="53"/>
      <c r="AL111" s="53"/>
      <c r="AM111" s="53"/>
      <c r="AN111" s="53"/>
      <c r="AO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</row>
    <row r="112" spans="1:53" s="9" customFormat="1" ht="24.75" customHeight="1" x14ac:dyDescent="0.35">
      <c r="A112" s="181" t="e">
        <f ca="1">IF($AT$35="YES",1,IF(_xll.ELCOMPN(Server&amp;$C$24,C112)&lt;&gt;0,1,IF(OR(B112=$AZ$35,B112="ALL"),1,0)))</f>
        <v>#VALUE!</v>
      </c>
      <c r="B112" s="163" t="str">
        <f t="shared" si="6"/>
        <v>GM</v>
      </c>
      <c r="C112" s="158" t="s">
        <v>216</v>
      </c>
      <c r="E112" s="268" t="str">
        <f ca="1">_xll.DBRA(Server&amp;$C$24,$C112,$F$21)</f>
        <v>Honoraires &amp; Conseil (DG)</v>
      </c>
      <c r="F112" s="268"/>
      <c r="G112" s="268"/>
      <c r="H112" s="40"/>
      <c r="I112" s="221" t="str">
        <f ca="1">_xll.DBRW(Server&amp;Cube1,$F$17,$F$18,$F$19,$F$16,$C$14,$F$15,$F$14,$F$20,I$2,I$1,$C112)</f>
        <v/>
      </c>
      <c r="J112" s="221" t="str">
        <f ca="1">_xll.DBRW(Server&amp;Cube1,$F$17,$F$18,$F$19,$F$16,$C$14,$F$15,$F$14,$F$20,J$2,J$1,$C112)</f>
        <v/>
      </c>
      <c r="K112" s="221" t="e">
        <f ca="1">_xll.DBRW(Server&amp;Cube1,$F$17,$F$18,$F$19,$F$16,$C$14,$F$15,$F$14,$F$20,I$2,I$1,$C112) -_xll.DBRW(Server&amp;Cube1,$F$17,$F$18,$F$19,$F$16,$C$14,$F$15,$F$14,$F$20,K$2,I$1,$C112)</f>
        <v>#VALUE!</v>
      </c>
      <c r="L112" s="221" t="e">
        <f t="shared" ca="1" si="5"/>
        <v>#VALUE!</v>
      </c>
      <c r="M112" s="221" t="e">
        <f t="shared" ca="1" si="4"/>
        <v>#VALUE!</v>
      </c>
      <c r="N112" s="226"/>
      <c r="O112" s="221" t="str">
        <f ca="1">_xll.DBRW(Server&amp;Cube1,$F$17,$F$18,$F$19,$F$16,$C$14,$F$15,$F$14,$F$20,O$2,O$1,$C112)</f>
        <v/>
      </c>
      <c r="P112" s="226"/>
      <c r="Q112" s="240" t="str">
        <f ca="1">IF(_xll.ELCOMPN(Server&amp;$C$24,C112)=0,"YES","NO")</f>
        <v>YES</v>
      </c>
      <c r="R112" s="241">
        <v>0</v>
      </c>
      <c r="S112" s="226"/>
      <c r="T112" s="227" t="str">
        <f ca="1">_xll.DBRW(Server&amp;Cube1,$F$17,$F$18,$F$19,$F$16,$C$14,$F$15,$F$14,$F$20,T$2,$T$1,$C112)</f>
        <v/>
      </c>
      <c r="U112" s="227" t="str">
        <f ca="1">_xll.DBRW(Server&amp;Cube1,$F$17,$F$18,$F$19,$F$16,$C$14,$F$15,$F$14,$F$20,U$2,$U$1,$C112)</f>
        <v/>
      </c>
      <c r="V112" s="227" t="str">
        <f ca="1">_xll.DBRW(Server&amp;Cube1,$F$17,$F$18,$F$19,$F$16,$C$14,$F$15,$F$14,$F$20,V$2,V$1,$C112)</f>
        <v/>
      </c>
      <c r="W112" s="227" t="str">
        <f ca="1">_xll.DBRW(Server&amp;Cube1,$F$17,$F$18,$F$19,$F$16,$C$14,$F$15,$F$14,$F$20,W$2,W$1,$C112)</f>
        <v/>
      </c>
      <c r="X112" s="227" t="str">
        <f ca="1">_xll.DBRW(Server&amp;Cube1,$F$17,$F$18,$F$19,$F$16,$C$14,$F$15,$F$14,$F$20,X$2,X$1,$C112)</f>
        <v/>
      </c>
      <c r="Y112" s="227" t="str">
        <f ca="1">_xll.DBRW(Server&amp;Cube1,$F$17,$F$18,$F$19,$F$16,$C$14,$F$15,$F$14,$F$20,Y$2,Y$1,$C112)</f>
        <v/>
      </c>
      <c r="Z112" s="241"/>
      <c r="AA112" s="241"/>
      <c r="AB112" s="241"/>
      <c r="AC112" s="241"/>
      <c r="AD112" s="241"/>
      <c r="AE112" s="241"/>
      <c r="AF112" s="221" t="str">
        <f ca="1">_xll.DBRW(Server&amp;Cube1,$F$17,$F$18,$F$19,$F$16,$C$14,$F$15,$F$14,$F$20,AF$2,$AF$1,$C112)</f>
        <v/>
      </c>
      <c r="AG112" s="53"/>
      <c r="AH112" s="53"/>
      <c r="AI112" s="53"/>
      <c r="AJ112" s="53"/>
      <c r="AK112" s="53"/>
      <c r="AL112" s="53"/>
      <c r="AM112" s="53"/>
      <c r="AN112" s="53"/>
      <c r="AO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</row>
    <row r="113" spans="1:53" s="9" customFormat="1" ht="24.75" customHeight="1" x14ac:dyDescent="0.35">
      <c r="A113" s="181" t="e">
        <f ca="1">IF($AT$35="YES",1,IF(_xll.ELCOMPN(Server&amp;$C$24,C113)&lt;&gt;0,1,IF(OR(B113=$AZ$35,B113="ALL"),1,0)))</f>
        <v>#VALUE!</v>
      </c>
      <c r="B113" s="163" t="str">
        <f t="shared" si="6"/>
        <v>IA</v>
      </c>
      <c r="C113" s="158" t="s">
        <v>217</v>
      </c>
      <c r="E113" s="268" t="str">
        <f ca="1">_xll.DBRA(Server&amp;$C$24,$C113,$F$21)</f>
        <v>Honoraires &amp; Conseil (AI)</v>
      </c>
      <c r="F113" s="268"/>
      <c r="G113" s="268"/>
      <c r="H113" s="40"/>
      <c r="I113" s="221" t="str">
        <f ca="1">_xll.DBRW(Server&amp;Cube1,$F$17,$F$18,$F$19,$F$16,$C$14,$F$15,$F$14,$F$20,I$2,I$1,$C113)</f>
        <v/>
      </c>
      <c r="J113" s="221" t="str">
        <f ca="1">_xll.DBRW(Server&amp;Cube1,$F$17,$F$18,$F$19,$F$16,$C$14,$F$15,$F$14,$F$20,J$2,J$1,$C113)</f>
        <v/>
      </c>
      <c r="K113" s="221" t="e">
        <f ca="1">_xll.DBRW(Server&amp;Cube1,$F$17,$F$18,$F$19,$F$16,$C$14,$F$15,$F$14,$F$20,I$2,I$1,$C113) -_xll.DBRW(Server&amp;Cube1,$F$17,$F$18,$F$19,$F$16,$C$14,$F$15,$F$14,$F$20,K$2,I$1,$C113)</f>
        <v>#VALUE!</v>
      </c>
      <c r="L113" s="221" t="e">
        <f t="shared" ca="1" si="5"/>
        <v>#VALUE!</v>
      </c>
      <c r="M113" s="221" t="e">
        <f t="shared" ca="1" si="4"/>
        <v>#VALUE!</v>
      </c>
      <c r="N113" s="226"/>
      <c r="O113" s="221" t="str">
        <f ca="1">_xll.DBRW(Server&amp;Cube1,$F$17,$F$18,$F$19,$F$16,$C$14,$F$15,$F$14,$F$20,O$2,O$1,$C113)</f>
        <v/>
      </c>
      <c r="P113" s="226"/>
      <c r="Q113" s="240" t="str">
        <f ca="1">IF(_xll.ELCOMPN(Server&amp;$C$24,C113)=0,"YES","NO")</f>
        <v>YES</v>
      </c>
      <c r="R113" s="241">
        <v>0</v>
      </c>
      <c r="S113" s="226"/>
      <c r="T113" s="227" t="str">
        <f ca="1">_xll.DBRW(Server&amp;Cube1,$F$17,$F$18,$F$19,$F$16,$C$14,$F$15,$F$14,$F$20,T$2,$T$1,$C113)</f>
        <v/>
      </c>
      <c r="U113" s="227" t="str">
        <f ca="1">_xll.DBRW(Server&amp;Cube1,$F$17,$F$18,$F$19,$F$16,$C$14,$F$15,$F$14,$F$20,U$2,$U$1,$C113)</f>
        <v/>
      </c>
      <c r="V113" s="227" t="str">
        <f ca="1">_xll.DBRW(Server&amp;Cube1,$F$17,$F$18,$F$19,$F$16,$C$14,$F$15,$F$14,$F$20,V$2,V$1,$C113)</f>
        <v/>
      </c>
      <c r="W113" s="227" t="str">
        <f ca="1">_xll.DBRW(Server&amp;Cube1,$F$17,$F$18,$F$19,$F$16,$C$14,$F$15,$F$14,$F$20,W$2,W$1,$C113)</f>
        <v/>
      </c>
      <c r="X113" s="227" t="str">
        <f ca="1">_xll.DBRW(Server&amp;Cube1,$F$17,$F$18,$F$19,$F$16,$C$14,$F$15,$F$14,$F$20,X$2,X$1,$C113)</f>
        <v/>
      </c>
      <c r="Y113" s="227" t="str">
        <f ca="1">_xll.DBRW(Server&amp;Cube1,$F$17,$F$18,$F$19,$F$16,$C$14,$F$15,$F$14,$F$20,Y$2,Y$1,$C113)</f>
        <v/>
      </c>
      <c r="Z113" s="241"/>
      <c r="AA113" s="241"/>
      <c r="AB113" s="241"/>
      <c r="AC113" s="241"/>
      <c r="AD113" s="241"/>
      <c r="AE113" s="241"/>
      <c r="AF113" s="221" t="str">
        <f ca="1">_xll.DBRW(Server&amp;Cube1,$F$17,$F$18,$F$19,$F$16,$C$14,$F$15,$F$14,$F$20,AF$2,$AF$1,$C113)</f>
        <v/>
      </c>
      <c r="AG113" s="53"/>
      <c r="AH113" s="53"/>
      <c r="AI113" s="53"/>
      <c r="AJ113" s="53"/>
      <c r="AK113" s="53"/>
      <c r="AL113" s="53"/>
      <c r="AM113" s="53"/>
      <c r="AN113" s="53"/>
      <c r="AO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1:53" s="9" customFormat="1" ht="24.75" customHeight="1" x14ac:dyDescent="0.35">
      <c r="A114" s="181" t="e">
        <f ca="1">IF($AT$35="YES",1,IF(_xll.ELCOMPN(Server&amp;$C$24,C114)&lt;&gt;0,1,IF(OR(B114=$AZ$35,B114="ALL"),1,0)))</f>
        <v>#VALUE!</v>
      </c>
      <c r="B114" s="163" t="str">
        <f t="shared" si="6"/>
        <v>LE</v>
      </c>
      <c r="C114" s="158" t="s">
        <v>218</v>
      </c>
      <c r="E114" s="268" t="str">
        <f ca="1">_xll.DBRA(Server&amp;$C$24,$C114,$F$21)</f>
        <v>Honoraires &amp; Conseil (JU)</v>
      </c>
      <c r="F114" s="268"/>
      <c r="G114" s="268"/>
      <c r="H114" s="40"/>
      <c r="I114" s="221" t="str">
        <f ca="1">_xll.DBRW(Server&amp;Cube1,$F$17,$F$18,$F$19,$F$16,$C$14,$F$15,$F$14,$F$20,I$2,I$1,$C114)</f>
        <v/>
      </c>
      <c r="J114" s="221" t="str">
        <f ca="1">_xll.DBRW(Server&amp;Cube1,$F$17,$F$18,$F$19,$F$16,$C$14,$F$15,$F$14,$F$20,J$2,J$1,$C114)</f>
        <v/>
      </c>
      <c r="K114" s="221" t="e">
        <f ca="1">_xll.DBRW(Server&amp;Cube1,$F$17,$F$18,$F$19,$F$16,$C$14,$F$15,$F$14,$F$20,I$2,I$1,$C114) -_xll.DBRW(Server&amp;Cube1,$F$17,$F$18,$F$19,$F$16,$C$14,$F$15,$F$14,$F$20,K$2,I$1,$C114)</f>
        <v>#VALUE!</v>
      </c>
      <c r="L114" s="221" t="e">
        <f t="shared" ca="1" si="5"/>
        <v>#VALUE!</v>
      </c>
      <c r="M114" s="221" t="e">
        <f t="shared" ca="1" si="4"/>
        <v>#VALUE!</v>
      </c>
      <c r="N114" s="226"/>
      <c r="O114" s="221" t="str">
        <f ca="1">_xll.DBRW(Server&amp;Cube1,$F$17,$F$18,$F$19,$F$16,$C$14,$F$15,$F$14,$F$20,O$2,O$1,$C114)</f>
        <v/>
      </c>
      <c r="P114" s="226"/>
      <c r="Q114" s="240" t="str">
        <f ca="1">IF(_xll.ELCOMPN(Server&amp;$C$24,C114)=0,"YES","NO")</f>
        <v>YES</v>
      </c>
      <c r="R114" s="241">
        <v>0</v>
      </c>
      <c r="S114" s="226"/>
      <c r="T114" s="227" t="str">
        <f ca="1">_xll.DBRW(Server&amp;Cube1,$F$17,$F$18,$F$19,$F$16,$C$14,$F$15,$F$14,$F$20,T$2,$T$1,$C114)</f>
        <v/>
      </c>
      <c r="U114" s="227" t="str">
        <f ca="1">_xll.DBRW(Server&amp;Cube1,$F$17,$F$18,$F$19,$F$16,$C$14,$F$15,$F$14,$F$20,U$2,$U$1,$C114)</f>
        <v/>
      </c>
      <c r="V114" s="227" t="str">
        <f ca="1">_xll.DBRW(Server&amp;Cube1,$F$17,$F$18,$F$19,$F$16,$C$14,$F$15,$F$14,$F$20,V$2,V$1,$C114)</f>
        <v/>
      </c>
      <c r="W114" s="227" t="str">
        <f ca="1">_xll.DBRW(Server&amp;Cube1,$F$17,$F$18,$F$19,$F$16,$C$14,$F$15,$F$14,$F$20,W$2,W$1,$C114)</f>
        <v/>
      </c>
      <c r="X114" s="227" t="str">
        <f ca="1">_xll.DBRW(Server&amp;Cube1,$F$17,$F$18,$F$19,$F$16,$C$14,$F$15,$F$14,$F$20,X$2,X$1,$C114)</f>
        <v/>
      </c>
      <c r="Y114" s="227" t="str">
        <f ca="1">_xll.DBRW(Server&amp;Cube1,$F$17,$F$18,$F$19,$F$16,$C$14,$F$15,$F$14,$F$20,Y$2,Y$1,$C114)</f>
        <v/>
      </c>
      <c r="Z114" s="241"/>
      <c r="AA114" s="241"/>
      <c r="AB114" s="241"/>
      <c r="AC114" s="241"/>
      <c r="AD114" s="241"/>
      <c r="AE114" s="241"/>
      <c r="AF114" s="221" t="str">
        <f ca="1">_xll.DBRW(Server&amp;Cube1,$F$17,$F$18,$F$19,$F$16,$C$14,$F$15,$F$14,$F$20,AF$2,$AF$1,$C114)</f>
        <v/>
      </c>
      <c r="AG114" s="53"/>
      <c r="AH114" s="53"/>
      <c r="AI114" s="53"/>
      <c r="AJ114" s="53"/>
      <c r="AK114" s="53"/>
      <c r="AL114" s="53"/>
      <c r="AM114" s="53"/>
      <c r="AN114" s="53"/>
      <c r="AO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1:53" s="9" customFormat="1" ht="24.75" customHeight="1" x14ac:dyDescent="0.35">
      <c r="A115" s="181" t="e">
        <f ca="1">IF($AT$35="YES",1,IF(_xll.ELCOMPN(Server&amp;$C$24,C115)&lt;&gt;0,1,IF(OR(B115=$AZ$35,B115="ALL"),1,0)))</f>
        <v>#VALUE!</v>
      </c>
      <c r="B115" s="163" t="str">
        <f t="shared" si="6"/>
        <v>RM</v>
      </c>
      <c r="C115" s="158" t="s">
        <v>219</v>
      </c>
      <c r="E115" s="268" t="str">
        <f ca="1">_xll.DBRA(Server&amp;$C$24,$C115,$F$21)</f>
        <v>Honoraires &amp; Conseil (GR)</v>
      </c>
      <c r="F115" s="268"/>
      <c r="G115" s="268"/>
      <c r="H115" s="40"/>
      <c r="I115" s="221" t="str">
        <f ca="1">_xll.DBRW(Server&amp;Cube1,$F$17,$F$18,$F$19,$F$16,$C$14,$F$15,$F$14,$F$20,I$2,I$1,$C115)</f>
        <v/>
      </c>
      <c r="J115" s="221" t="str">
        <f ca="1">_xll.DBRW(Server&amp;Cube1,$F$17,$F$18,$F$19,$F$16,$C$14,$F$15,$F$14,$F$20,J$2,J$1,$C115)</f>
        <v/>
      </c>
      <c r="K115" s="221" t="e">
        <f ca="1">_xll.DBRW(Server&amp;Cube1,$F$17,$F$18,$F$19,$F$16,$C$14,$F$15,$F$14,$F$20,I$2,I$1,$C115) -_xll.DBRW(Server&amp;Cube1,$F$17,$F$18,$F$19,$F$16,$C$14,$F$15,$F$14,$F$20,K$2,I$1,$C115)</f>
        <v>#VALUE!</v>
      </c>
      <c r="L115" s="221" t="e">
        <f t="shared" ca="1" si="5"/>
        <v>#VALUE!</v>
      </c>
      <c r="M115" s="221" t="e">
        <f t="shared" ca="1" si="4"/>
        <v>#VALUE!</v>
      </c>
      <c r="N115" s="226"/>
      <c r="O115" s="221" t="str">
        <f ca="1">_xll.DBRW(Server&amp;Cube1,$F$17,$F$18,$F$19,$F$16,$C$14,$F$15,$F$14,$F$20,O$2,O$1,$C115)</f>
        <v/>
      </c>
      <c r="P115" s="226"/>
      <c r="Q115" s="240" t="str">
        <f ca="1">IF(_xll.ELCOMPN(Server&amp;$C$24,C115)=0,"YES","NO")</f>
        <v>YES</v>
      </c>
      <c r="R115" s="241">
        <v>0</v>
      </c>
      <c r="S115" s="226"/>
      <c r="T115" s="227" t="str">
        <f ca="1">_xll.DBRW(Server&amp;Cube1,$F$17,$F$18,$F$19,$F$16,$C$14,$F$15,$F$14,$F$20,T$2,$T$1,$C115)</f>
        <v/>
      </c>
      <c r="U115" s="227" t="str">
        <f ca="1">_xll.DBRW(Server&amp;Cube1,$F$17,$F$18,$F$19,$F$16,$C$14,$F$15,$F$14,$F$20,U$2,$U$1,$C115)</f>
        <v/>
      </c>
      <c r="V115" s="227" t="str">
        <f ca="1">_xll.DBRW(Server&amp;Cube1,$F$17,$F$18,$F$19,$F$16,$C$14,$F$15,$F$14,$F$20,V$2,V$1,$C115)</f>
        <v/>
      </c>
      <c r="W115" s="227" t="str">
        <f ca="1">_xll.DBRW(Server&amp;Cube1,$F$17,$F$18,$F$19,$F$16,$C$14,$F$15,$F$14,$F$20,W$2,W$1,$C115)</f>
        <v/>
      </c>
      <c r="X115" s="227" t="str">
        <f ca="1">_xll.DBRW(Server&amp;Cube1,$F$17,$F$18,$F$19,$F$16,$C$14,$F$15,$F$14,$F$20,X$2,X$1,$C115)</f>
        <v/>
      </c>
      <c r="Y115" s="227" t="str">
        <f ca="1">_xll.DBRW(Server&amp;Cube1,$F$17,$F$18,$F$19,$F$16,$C$14,$F$15,$F$14,$F$20,Y$2,Y$1,$C115)</f>
        <v/>
      </c>
      <c r="Z115" s="241"/>
      <c r="AA115" s="241"/>
      <c r="AB115" s="241"/>
      <c r="AC115" s="241"/>
      <c r="AD115" s="241"/>
      <c r="AE115" s="241"/>
      <c r="AF115" s="221" t="str">
        <f ca="1">_xll.DBRW(Server&amp;Cube1,$F$17,$F$18,$F$19,$F$16,$C$14,$F$15,$F$14,$F$20,AF$2,$AF$1,$C115)</f>
        <v/>
      </c>
      <c r="AG115" s="53"/>
      <c r="AH115" s="53"/>
      <c r="AI115" s="53"/>
      <c r="AJ115" s="53"/>
      <c r="AK115" s="53"/>
      <c r="AL115" s="53"/>
      <c r="AM115" s="53"/>
      <c r="AN115" s="53"/>
      <c r="AO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1:53" s="9" customFormat="1" ht="24.75" customHeight="1" x14ac:dyDescent="0.35">
      <c r="A116" s="181" t="e">
        <f ca="1">IF($AT$35="YES",1,IF(_xll.ELCOMPN(Server&amp;$C$24,C116)&lt;&gt;0,1,IF(OR(B116=$AZ$35,B116="ALL"),1,0)))</f>
        <v>#VALUE!</v>
      </c>
      <c r="B116" s="163" t="str">
        <f t="shared" si="6"/>
        <v>PU</v>
      </c>
      <c r="C116" s="158" t="s">
        <v>220</v>
      </c>
      <c r="E116" s="268" t="str">
        <f ca="1">_xll.DBRA(Server&amp;$C$24,$C116,$F$21)</f>
        <v>Honoraires &amp; Conseil (AC)</v>
      </c>
      <c r="F116" s="268"/>
      <c r="G116" s="268"/>
      <c r="H116" s="40"/>
      <c r="I116" s="221" t="str">
        <f ca="1">_xll.DBRW(Server&amp;Cube1,$F$17,$F$18,$F$19,$F$16,$C$14,$F$15,$F$14,$F$20,I$2,I$1,$C116)</f>
        <v/>
      </c>
      <c r="J116" s="221" t="str">
        <f ca="1">_xll.DBRW(Server&amp;Cube1,$F$17,$F$18,$F$19,$F$16,$C$14,$F$15,$F$14,$F$20,J$2,J$1,$C116)</f>
        <v/>
      </c>
      <c r="K116" s="221" t="e">
        <f ca="1">_xll.DBRW(Server&amp;Cube1,$F$17,$F$18,$F$19,$F$16,$C$14,$F$15,$F$14,$F$20,I$2,I$1,$C116) -_xll.DBRW(Server&amp;Cube1,$F$17,$F$18,$F$19,$F$16,$C$14,$F$15,$F$14,$F$20,K$2,I$1,$C116)</f>
        <v>#VALUE!</v>
      </c>
      <c r="L116" s="221" t="e">
        <f t="shared" ca="1" si="5"/>
        <v>#VALUE!</v>
      </c>
      <c r="M116" s="221" t="e">
        <f t="shared" ca="1" si="4"/>
        <v>#VALUE!</v>
      </c>
      <c r="N116" s="226"/>
      <c r="O116" s="221" t="str">
        <f ca="1">_xll.DBRW(Server&amp;Cube1,$F$17,$F$18,$F$19,$F$16,$C$14,$F$15,$F$14,$F$20,O$2,O$1,$C116)</f>
        <v/>
      </c>
      <c r="P116" s="226"/>
      <c r="Q116" s="240" t="str">
        <f ca="1">IF(_xll.ELCOMPN(Server&amp;$C$24,C116)=0,"YES","NO")</f>
        <v>YES</v>
      </c>
      <c r="R116" s="241">
        <v>0</v>
      </c>
      <c r="S116" s="226"/>
      <c r="T116" s="227" t="str">
        <f ca="1">_xll.DBRW(Server&amp;Cube1,$F$17,$F$18,$F$19,$F$16,$C$14,$F$15,$F$14,$F$20,T$2,$T$1,$C116)</f>
        <v/>
      </c>
      <c r="U116" s="227" t="str">
        <f ca="1">_xll.DBRW(Server&amp;Cube1,$F$17,$F$18,$F$19,$F$16,$C$14,$F$15,$F$14,$F$20,U$2,$U$1,$C116)</f>
        <v/>
      </c>
      <c r="V116" s="227" t="str">
        <f ca="1">_xll.DBRW(Server&amp;Cube1,$F$17,$F$18,$F$19,$F$16,$C$14,$F$15,$F$14,$F$20,V$2,V$1,$C116)</f>
        <v/>
      </c>
      <c r="W116" s="227" t="str">
        <f ca="1">_xll.DBRW(Server&amp;Cube1,$F$17,$F$18,$F$19,$F$16,$C$14,$F$15,$F$14,$F$20,W$2,W$1,$C116)</f>
        <v/>
      </c>
      <c r="X116" s="227" t="str">
        <f ca="1">_xll.DBRW(Server&amp;Cube1,$F$17,$F$18,$F$19,$F$16,$C$14,$F$15,$F$14,$F$20,X$2,X$1,$C116)</f>
        <v/>
      </c>
      <c r="Y116" s="227" t="str">
        <f ca="1">_xll.DBRW(Server&amp;Cube1,$F$17,$F$18,$F$19,$F$16,$C$14,$F$15,$F$14,$F$20,Y$2,Y$1,$C116)</f>
        <v/>
      </c>
      <c r="Z116" s="241"/>
      <c r="AA116" s="241"/>
      <c r="AB116" s="241"/>
      <c r="AC116" s="241"/>
      <c r="AD116" s="241"/>
      <c r="AE116" s="241"/>
      <c r="AF116" s="221" t="str">
        <f ca="1">_xll.DBRW(Server&amp;Cube1,$F$17,$F$18,$F$19,$F$16,$C$14,$F$15,$F$14,$F$20,AF$2,$AF$1,$C116)</f>
        <v/>
      </c>
      <c r="AG116" s="53"/>
      <c r="AH116" s="53"/>
      <c r="AI116" s="53"/>
      <c r="AJ116" s="53"/>
      <c r="AK116" s="53"/>
      <c r="AL116" s="53"/>
      <c r="AM116" s="53"/>
      <c r="AN116" s="53"/>
      <c r="AO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1:53" s="9" customFormat="1" ht="24.75" customHeight="1" x14ac:dyDescent="0.35">
      <c r="A117" s="181" t="e">
        <f ca="1">IF($AT$35="YES",1,IF(_xll.ELCOMPN(Server&amp;$C$24,C117)&lt;&gt;0,1,IF(OR(B117=$AZ$35,B117="ALL"),1,0)))</f>
        <v>#VALUE!</v>
      </c>
      <c r="B117" s="163" t="str">
        <f t="shared" si="6"/>
        <v>CO</v>
      </c>
      <c r="C117" s="158" t="s">
        <v>221</v>
      </c>
      <c r="E117" s="268" t="str">
        <f ca="1">_xll.DBRA(Server&amp;$C$24,$C117,$F$21)</f>
        <v>Honoraires &amp; Conseil (CO)</v>
      </c>
      <c r="F117" s="268"/>
      <c r="G117" s="268"/>
      <c r="H117" s="40"/>
      <c r="I117" s="221" t="str">
        <f ca="1">_xll.DBRW(Server&amp;Cube1,$F$17,$F$18,$F$19,$F$16,$C$14,$F$15,$F$14,$F$20,I$2,I$1,$C117)</f>
        <v/>
      </c>
      <c r="J117" s="221" t="str">
        <f ca="1">_xll.DBRW(Server&amp;Cube1,$F$17,$F$18,$F$19,$F$16,$C$14,$F$15,$F$14,$F$20,J$2,J$1,$C117)</f>
        <v/>
      </c>
      <c r="K117" s="221" t="e">
        <f ca="1">_xll.DBRW(Server&amp;Cube1,$F$17,$F$18,$F$19,$F$16,$C$14,$F$15,$F$14,$F$20,I$2,I$1,$C117) -_xll.DBRW(Server&amp;Cube1,$F$17,$F$18,$F$19,$F$16,$C$14,$F$15,$F$14,$F$20,K$2,I$1,$C117)</f>
        <v>#VALUE!</v>
      </c>
      <c r="L117" s="221" t="e">
        <f t="shared" ca="1" si="5"/>
        <v>#VALUE!</v>
      </c>
      <c r="M117" s="221" t="e">
        <f t="shared" ca="1" si="4"/>
        <v>#VALUE!</v>
      </c>
      <c r="N117" s="226"/>
      <c r="O117" s="221" t="str">
        <f ca="1">_xll.DBRW(Server&amp;Cube1,$F$17,$F$18,$F$19,$F$16,$C$14,$F$15,$F$14,$F$20,O$2,O$1,$C117)</f>
        <v/>
      </c>
      <c r="P117" s="226"/>
      <c r="Q117" s="240" t="str">
        <f ca="1">IF(_xll.ELCOMPN(Server&amp;$C$24,C117)=0,"YES","NO")</f>
        <v>YES</v>
      </c>
      <c r="R117" s="241">
        <v>0</v>
      </c>
      <c r="S117" s="226"/>
      <c r="T117" s="227" t="str">
        <f ca="1">_xll.DBRW(Server&amp;Cube1,$F$17,$F$18,$F$19,$F$16,$C$14,$F$15,$F$14,$F$20,T$2,$T$1,$C117)</f>
        <v/>
      </c>
      <c r="U117" s="227" t="str">
        <f ca="1">_xll.DBRW(Server&amp;Cube1,$F$17,$F$18,$F$19,$F$16,$C$14,$F$15,$F$14,$F$20,U$2,$U$1,$C117)</f>
        <v/>
      </c>
      <c r="V117" s="227" t="str">
        <f ca="1">_xll.DBRW(Server&amp;Cube1,$F$17,$F$18,$F$19,$F$16,$C$14,$F$15,$F$14,$F$20,V$2,V$1,$C117)</f>
        <v/>
      </c>
      <c r="W117" s="227" t="str">
        <f ca="1">_xll.DBRW(Server&amp;Cube1,$F$17,$F$18,$F$19,$F$16,$C$14,$F$15,$F$14,$F$20,W$2,W$1,$C117)</f>
        <v/>
      </c>
      <c r="X117" s="227" t="str">
        <f ca="1">_xll.DBRW(Server&amp;Cube1,$F$17,$F$18,$F$19,$F$16,$C$14,$F$15,$F$14,$F$20,X$2,X$1,$C117)</f>
        <v/>
      </c>
      <c r="Y117" s="227" t="str">
        <f ca="1">_xll.DBRW(Server&amp;Cube1,$F$17,$F$18,$F$19,$F$16,$C$14,$F$15,$F$14,$F$20,Y$2,Y$1,$C117)</f>
        <v/>
      </c>
      <c r="Z117" s="241"/>
      <c r="AA117" s="241"/>
      <c r="AB117" s="241"/>
      <c r="AC117" s="241"/>
      <c r="AD117" s="241"/>
      <c r="AE117" s="241"/>
      <c r="AF117" s="221" t="str">
        <f ca="1">_xll.DBRW(Server&amp;Cube1,$F$17,$F$18,$F$19,$F$16,$C$14,$F$15,$F$14,$F$20,AF$2,$AF$1,$C117)</f>
        <v/>
      </c>
      <c r="AG117" s="53"/>
      <c r="AH117" s="53"/>
      <c r="AI117" s="53"/>
      <c r="AJ117" s="53"/>
      <c r="AK117" s="53"/>
      <c r="AL117" s="53"/>
      <c r="AM117" s="53"/>
      <c r="AN117" s="53"/>
      <c r="AO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1:53" s="9" customFormat="1" ht="24.75" customHeight="1" x14ac:dyDescent="0.35">
      <c r="A118" s="181" t="e">
        <f ca="1">IF($AT$35="YES",1,IF(_xll.ELCOMPN(Server&amp;$C$24,C118)&lt;&gt;0,1,IF(OR(B118=$AZ$35,B118="ALL"),1,0)))</f>
        <v>#VALUE!</v>
      </c>
      <c r="B118" s="163" t="str">
        <f t="shared" si="6"/>
        <v>GS</v>
      </c>
      <c r="C118" s="158" t="s">
        <v>222</v>
      </c>
      <c r="E118" s="268" t="str">
        <f ca="1">_xll.DBRA(Server&amp;$C$24,$C118,$F$21)</f>
        <v>Honoraires &amp; Conseil (SG)</v>
      </c>
      <c r="F118" s="268"/>
      <c r="G118" s="268"/>
      <c r="H118" s="40"/>
      <c r="I118" s="221" t="str">
        <f ca="1">_xll.DBRW(Server&amp;Cube1,$F$17,$F$18,$F$19,$F$16,$C$14,$F$15,$F$14,$F$20,I$2,I$1,$C118)</f>
        <v/>
      </c>
      <c r="J118" s="221" t="str">
        <f ca="1">_xll.DBRW(Server&amp;Cube1,$F$17,$F$18,$F$19,$F$16,$C$14,$F$15,$F$14,$F$20,J$2,J$1,$C118)</f>
        <v/>
      </c>
      <c r="K118" s="221" t="e">
        <f ca="1">_xll.DBRW(Server&amp;Cube1,$F$17,$F$18,$F$19,$F$16,$C$14,$F$15,$F$14,$F$20,I$2,I$1,$C118) -_xll.DBRW(Server&amp;Cube1,$F$17,$F$18,$F$19,$F$16,$C$14,$F$15,$F$14,$F$20,K$2,I$1,$C118)</f>
        <v>#VALUE!</v>
      </c>
      <c r="L118" s="221" t="e">
        <f t="shared" ca="1" si="5"/>
        <v>#VALUE!</v>
      </c>
      <c r="M118" s="221" t="e">
        <f t="shared" ca="1" si="4"/>
        <v>#VALUE!</v>
      </c>
      <c r="N118" s="226"/>
      <c r="O118" s="221" t="str">
        <f ca="1">_xll.DBRW(Server&amp;Cube1,$F$17,$F$18,$F$19,$F$16,$C$14,$F$15,$F$14,$F$20,O$2,O$1,$C118)</f>
        <v/>
      </c>
      <c r="P118" s="226"/>
      <c r="Q118" s="240" t="str">
        <f ca="1">IF(_xll.ELCOMPN(Server&amp;$C$24,C118)=0,"YES","NO")</f>
        <v>YES</v>
      </c>
      <c r="R118" s="241">
        <v>0</v>
      </c>
      <c r="S118" s="226"/>
      <c r="T118" s="227" t="str">
        <f ca="1">_xll.DBRW(Server&amp;Cube1,$F$17,$F$18,$F$19,$F$16,$C$14,$F$15,$F$14,$F$20,T$2,$T$1,$C118)</f>
        <v/>
      </c>
      <c r="U118" s="227" t="str">
        <f ca="1">_xll.DBRW(Server&amp;Cube1,$F$17,$F$18,$F$19,$F$16,$C$14,$F$15,$F$14,$F$20,U$2,$U$1,$C118)</f>
        <v/>
      </c>
      <c r="V118" s="227" t="str">
        <f ca="1">_xll.DBRW(Server&amp;Cube1,$F$17,$F$18,$F$19,$F$16,$C$14,$F$15,$F$14,$F$20,V$2,V$1,$C118)</f>
        <v/>
      </c>
      <c r="W118" s="227" t="str">
        <f ca="1">_xll.DBRW(Server&amp;Cube1,$F$17,$F$18,$F$19,$F$16,$C$14,$F$15,$F$14,$F$20,W$2,W$1,$C118)</f>
        <v/>
      </c>
      <c r="X118" s="227" t="str">
        <f ca="1">_xll.DBRW(Server&amp;Cube1,$F$17,$F$18,$F$19,$F$16,$C$14,$F$15,$F$14,$F$20,X$2,X$1,$C118)</f>
        <v/>
      </c>
      <c r="Y118" s="227" t="str">
        <f ca="1">_xll.DBRW(Server&amp;Cube1,$F$17,$F$18,$F$19,$F$16,$C$14,$F$15,$F$14,$F$20,Y$2,Y$1,$C118)</f>
        <v/>
      </c>
      <c r="Z118" s="241"/>
      <c r="AA118" s="241"/>
      <c r="AB118" s="241"/>
      <c r="AC118" s="241"/>
      <c r="AD118" s="241"/>
      <c r="AE118" s="241"/>
      <c r="AF118" s="221" t="str">
        <f ca="1">_xll.DBRW(Server&amp;Cube1,$F$17,$F$18,$F$19,$F$16,$C$14,$F$15,$F$14,$F$20,AF$2,$AF$1,$C118)</f>
        <v/>
      </c>
      <c r="AG118" s="53"/>
      <c r="AH118" s="53"/>
      <c r="AI118" s="53"/>
      <c r="AJ118" s="53"/>
      <c r="AK118" s="53"/>
      <c r="AL118" s="53"/>
      <c r="AM118" s="53"/>
      <c r="AN118" s="53"/>
      <c r="AO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1:53" s="9" customFormat="1" ht="24.75" customHeight="1" x14ac:dyDescent="0.35">
      <c r="A119" s="181" t="e">
        <f ca="1">IF($AT$35="YES",1,IF(_xll.ELCOMPN(Server&amp;$C$24,C119)&lt;&gt;0,1,IF(OR(B119=$AZ$35,B119="ALL"),1,0)))</f>
        <v>#VALUE!</v>
      </c>
      <c r="B119" s="163" t="str">
        <f t="shared" si="6"/>
        <v>RD</v>
      </c>
      <c r="C119" s="158" t="s">
        <v>223</v>
      </c>
      <c r="E119" s="268" t="str">
        <f ca="1">_xll.DBRA(Server&amp;$C$24,$C119,$F$21)</f>
        <v>Honoraires &amp; Conseil (RD)</v>
      </c>
      <c r="F119" s="268"/>
      <c r="G119" s="268"/>
      <c r="H119" s="40"/>
      <c r="I119" s="221" t="str">
        <f ca="1">_xll.DBRW(Server&amp;Cube1,$F$17,$F$18,$F$19,$F$16,$C$14,$F$15,$F$14,$F$20,I$2,I$1,$C119)</f>
        <v/>
      </c>
      <c r="J119" s="221" t="str">
        <f ca="1">_xll.DBRW(Server&amp;Cube1,$F$17,$F$18,$F$19,$F$16,$C$14,$F$15,$F$14,$F$20,J$2,J$1,$C119)</f>
        <v/>
      </c>
      <c r="K119" s="221" t="e">
        <f ca="1">_xll.DBRW(Server&amp;Cube1,$F$17,$F$18,$F$19,$F$16,$C$14,$F$15,$F$14,$F$20,I$2,I$1,$C119) -_xll.DBRW(Server&amp;Cube1,$F$17,$F$18,$F$19,$F$16,$C$14,$F$15,$F$14,$F$20,K$2,I$1,$C119)</f>
        <v>#VALUE!</v>
      </c>
      <c r="L119" s="221" t="e">
        <f t="shared" ca="1" si="5"/>
        <v>#VALUE!</v>
      </c>
      <c r="M119" s="221" t="e">
        <f t="shared" ca="1" si="4"/>
        <v>#VALUE!</v>
      </c>
      <c r="N119" s="226"/>
      <c r="O119" s="221" t="str">
        <f ca="1">_xll.DBRW(Server&amp;Cube1,$F$17,$F$18,$F$19,$F$16,$C$14,$F$15,$F$14,$F$20,O$2,O$1,$C119)</f>
        <v/>
      </c>
      <c r="P119" s="226"/>
      <c r="Q119" s="240" t="str">
        <f ca="1">IF(_xll.ELCOMPN(Server&amp;$C$24,C119)=0,"YES","NO")</f>
        <v>YES</v>
      </c>
      <c r="R119" s="241">
        <v>0</v>
      </c>
      <c r="S119" s="226"/>
      <c r="T119" s="227" t="str">
        <f ca="1">_xll.DBRW(Server&amp;Cube1,$F$17,$F$18,$F$19,$F$16,$C$14,$F$15,$F$14,$F$20,T$2,$T$1,$C119)</f>
        <v/>
      </c>
      <c r="U119" s="227" t="str">
        <f ca="1">_xll.DBRW(Server&amp;Cube1,$F$17,$F$18,$F$19,$F$16,$C$14,$F$15,$F$14,$F$20,U$2,$U$1,$C119)</f>
        <v/>
      </c>
      <c r="V119" s="227" t="str">
        <f ca="1">_xll.DBRW(Server&amp;Cube1,$F$17,$F$18,$F$19,$F$16,$C$14,$F$15,$F$14,$F$20,V$2,V$1,$C119)</f>
        <v/>
      </c>
      <c r="W119" s="227" t="str">
        <f ca="1">_xll.DBRW(Server&amp;Cube1,$F$17,$F$18,$F$19,$F$16,$C$14,$F$15,$F$14,$F$20,W$2,W$1,$C119)</f>
        <v/>
      </c>
      <c r="X119" s="227" t="str">
        <f ca="1">_xll.DBRW(Server&amp;Cube1,$F$17,$F$18,$F$19,$F$16,$C$14,$F$15,$F$14,$F$20,X$2,X$1,$C119)</f>
        <v/>
      </c>
      <c r="Y119" s="227" t="str">
        <f ca="1">_xll.DBRW(Server&amp;Cube1,$F$17,$F$18,$F$19,$F$16,$C$14,$F$15,$F$14,$F$20,Y$2,Y$1,$C119)</f>
        <v/>
      </c>
      <c r="Z119" s="241"/>
      <c r="AA119" s="241"/>
      <c r="AB119" s="241"/>
      <c r="AC119" s="241"/>
      <c r="AD119" s="241"/>
      <c r="AE119" s="241"/>
      <c r="AF119" s="221" t="str">
        <f ca="1">_xll.DBRW(Server&amp;Cube1,$F$17,$F$18,$F$19,$F$16,$C$14,$F$15,$F$14,$F$20,AF$2,$AF$1,$C119)</f>
        <v/>
      </c>
      <c r="AG119" s="53"/>
      <c r="AH119" s="53"/>
      <c r="AI119" s="53"/>
      <c r="AJ119" s="53"/>
      <c r="AK119" s="53"/>
      <c r="AL119" s="53"/>
      <c r="AM119" s="53"/>
      <c r="AN119" s="53"/>
      <c r="AO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1:53" s="9" customFormat="1" ht="24.95" customHeight="1" collapsed="1" x14ac:dyDescent="0.35">
      <c r="A120" s="181">
        <f ca="1">IF($AT$35="YES",1,IF(_xll.ELCOMPN(Server&amp;$C$24,C120)&lt;&gt;0,1,IF(OR(B120=$AZ$35,B120="ALL"),1,0)))</f>
        <v>1</v>
      </c>
      <c r="B120" s="163" t="str">
        <f t="shared" si="6"/>
        <v>co</v>
      </c>
      <c r="C120" s="117" t="s">
        <v>94</v>
      </c>
      <c r="E120" s="270" t="str">
        <f ca="1">_xll.DBRA(Server&amp;$C$24,$C120,$F$21)</f>
        <v>Honoraires &amp; Conseil Abonnés</v>
      </c>
      <c r="F120" s="270"/>
      <c r="G120" s="270"/>
      <c r="H120" s="40"/>
      <c r="I120" s="221" t="str">
        <f ca="1">_xll.DBRW(Server&amp;Cube1,$F$17,$F$18,$F$19,$F$16,$C$14,$F$15,$F$14,$F$20,I$2,I$1,$C120)</f>
        <v/>
      </c>
      <c r="J120" s="221" t="str">
        <f ca="1">_xll.DBRW(Server&amp;Cube1,$F$17,$F$18,$F$19,$F$16,$C$14,$F$15,$F$14,$F$20,J$2,J$1,$C120)</f>
        <v/>
      </c>
      <c r="K120" s="221" t="e">
        <f ca="1">_xll.DBRW(Server&amp;Cube1,$F$17,$F$18,$F$19,$F$16,$C$14,$F$15,$F$14,$F$20,I$2,I$1,$C120) -_xll.DBRW(Server&amp;Cube1,$F$17,$F$18,$F$19,$F$16,$C$14,$F$15,$F$14,$F$20,K$2,I$1,$C120)</f>
        <v>#VALUE!</v>
      </c>
      <c r="L120" s="221" t="e">
        <f t="shared" ca="1" si="5"/>
        <v>#VALUE!</v>
      </c>
      <c r="M120" s="221" t="e">
        <f t="shared" ca="1" si="4"/>
        <v>#VALUE!</v>
      </c>
      <c r="N120" s="229"/>
      <c r="O120" s="229" t="str">
        <f ca="1">_xll.DBRW(Server&amp;Cube1,$F$17,$F$18,$F$19,$F$16,$C$14,$F$15,$F$14,$F$20,O$2,O$1,$C120)</f>
        <v/>
      </c>
      <c r="P120" s="229"/>
      <c r="Q120" s="240" t="str">
        <f ca="1">IF(_xll.ELCOMPN(Server&amp;$C$24,C120)=0,"YES","NO")</f>
        <v>NO</v>
      </c>
      <c r="R120" s="229"/>
      <c r="S120" s="229"/>
      <c r="T120" s="230" t="str">
        <f ca="1">_xll.DBRW(Server&amp;Cube1,$F$17,$F$18,$F$19,$F$16,$C$14,$F$15,$F$14,$F$20,T$2,$T$1,$C120)</f>
        <v/>
      </c>
      <c r="U120" s="230" t="str">
        <f ca="1">_xll.DBRW(Server&amp;Cube1,$F$17,$F$18,$F$19,$F$16,$C$14,$F$15,$F$14,$F$20,U$2,$U$1,$C120)</f>
        <v/>
      </c>
      <c r="V120" s="230" t="str">
        <f ca="1">_xll.DBRW(Server&amp;Cube1,$F$17,$F$18,$F$19,$F$16,$C$14,$F$15,$F$14,$F$20,V$2,V$1,$C120)</f>
        <v/>
      </c>
      <c r="W120" s="230" t="str">
        <f ca="1">_xll.DBRW(Server&amp;Cube1,$F$17,$F$18,$F$19,$F$16,$C$14,$F$15,$F$14,$F$20,W$2,W$1,$C120)</f>
        <v/>
      </c>
      <c r="X120" s="229" t="str">
        <f ca="1">_xll.DBRW(Server&amp;Cube1,$F$17,$F$18,$F$19,$F$16,$C$14,$F$15,$F$14,$F$20,X$2,X$1,$C120)</f>
        <v/>
      </c>
      <c r="Y120" s="229" t="str">
        <f ca="1">_xll.DBRW(Server&amp;Cube1,$F$17,$F$18,$F$19,$F$16,$C$14,$F$15,$F$14,$F$20,Y$2,Y$1,$C120)</f>
        <v/>
      </c>
      <c r="Z120" s="229" t="str">
        <f ca="1">_xll.DBRW(Server&amp;Cube1,$F$17,$F$18,$F$19,$F$16,$C$14,$F$15,$F$14,$F$20,Z$2,Z$1,$C120)</f>
        <v/>
      </c>
      <c r="AA120" s="229" t="str">
        <f ca="1">_xll.DBRW(Server&amp;Cube1,$F$17,$F$18,$F$19,$F$16,$C$14,$F$15,$F$14,$F$20,AA$2,AA$1,$C120)</f>
        <v/>
      </c>
      <c r="AB120" s="229" t="str">
        <f ca="1">_xll.DBRW(Server&amp;Cube1,$F$17,$F$18,$F$19,$F$16,$C$14,$F$15,$F$14,$F$20,AB$2,AB$1,$C120)</f>
        <v/>
      </c>
      <c r="AC120" s="229" t="str">
        <f ca="1">_xll.DBRW(Server&amp;Cube1,$F$17,$F$18,$F$19,$F$16,$C$14,$F$15,$F$14,$F$20,AC$2,AC$1,$C120)</f>
        <v/>
      </c>
      <c r="AD120" s="229" t="str">
        <f ca="1">_xll.DBRW(Server&amp;Cube1,$F$17,$F$18,$F$19,$F$16,$C$14,$F$15,$F$14,$F$20,AD$2,AD$1,$C120)</f>
        <v/>
      </c>
      <c r="AE120" s="229" t="str">
        <f ca="1">_xll.DBRW(Server&amp;Cube1,$F$17,$F$18,$F$19,$F$16,$C$14,$F$15,$F$14,$F$20,AE$2,AE$1,$C120)</f>
        <v/>
      </c>
      <c r="AF120" s="229" t="str">
        <f ca="1">_xll.DBRW(Server&amp;Cube1,$F$17,$F$18,$F$19,$F$16,$C$14,$F$15,$F$14,$F$20,AF$2,$AF$1,$C120)</f>
        <v/>
      </c>
      <c r="AG120" s="53"/>
      <c r="AH120" s="53"/>
      <c r="AI120" s="53"/>
      <c r="AJ120" s="53"/>
      <c r="AK120" s="53"/>
      <c r="AL120" s="53"/>
      <c r="AM120" s="53"/>
      <c r="AN120" s="53"/>
      <c r="AO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1:53" s="9" customFormat="1" ht="24.95" customHeight="1" x14ac:dyDescent="0.35">
      <c r="A121" s="181" t="e">
        <f ca="1">IF($AT$35="YES",1,IF(_xll.ELCOMPN(Server&amp;$C$24,C121)&lt;&gt;0,1,IF(OR(B121=$AZ$35,B121="ALL"),1,0)))</f>
        <v>#VALUE!</v>
      </c>
      <c r="B121" s="163" t="str">
        <f t="shared" si="6"/>
        <v>DS</v>
      </c>
      <c r="C121" s="158" t="s">
        <v>224</v>
      </c>
      <c r="E121" s="268" t="str">
        <f ca="1">_xll.DBRA(Server&amp;$C$24,$C121,$F$21)</f>
        <v>Honoraires &amp; Conseil Abonnés (SO)</v>
      </c>
      <c r="F121" s="268"/>
      <c r="G121" s="268"/>
      <c r="H121" s="40"/>
      <c r="I121" s="221" t="str">
        <f ca="1">_xll.DBRW(Server&amp;Cube1,$F$17,$F$18,$F$19,$F$16,$C$14,$F$15,$F$14,$F$20,I$2,I$1,$C121)</f>
        <v/>
      </c>
      <c r="J121" s="221" t="str">
        <f ca="1">_xll.DBRW(Server&amp;Cube1,$F$17,$F$18,$F$19,$F$16,$C$14,$F$15,$F$14,$F$20,J$2,J$1,$C121)</f>
        <v/>
      </c>
      <c r="K121" s="221" t="e">
        <f ca="1">_xll.DBRW(Server&amp;Cube1,$F$17,$F$18,$F$19,$F$16,$C$14,$F$15,$F$14,$F$20,I$2,I$1,$C121) -_xll.DBRW(Server&amp;Cube1,$F$17,$F$18,$F$19,$F$16,$C$14,$F$15,$F$14,$F$20,K$2,I$1,$C121)</f>
        <v>#VALUE!</v>
      </c>
      <c r="L121" s="221" t="e">
        <f t="shared" ca="1" si="5"/>
        <v>#VALUE!</v>
      </c>
      <c r="M121" s="221" t="e">
        <f t="shared" ca="1" si="4"/>
        <v>#VALUE!</v>
      </c>
      <c r="N121" s="226"/>
      <c r="O121" s="221" t="str">
        <f ca="1">_xll.DBRW(Server&amp;Cube1,$F$17,$F$18,$F$19,$F$16,$C$14,$F$15,$F$14,$F$20,O$2,O$1,$C121)</f>
        <v/>
      </c>
      <c r="P121" s="226"/>
      <c r="Q121" s="240" t="str">
        <f ca="1">IF(_xll.ELCOMPN(Server&amp;$C$24,C121)=0,"YES","NO")</f>
        <v>YES</v>
      </c>
      <c r="R121" s="241">
        <v>0</v>
      </c>
      <c r="S121" s="226"/>
      <c r="T121" s="227" t="str">
        <f ca="1">_xll.DBRW(Server&amp;Cube1,$F$17,$F$18,$F$19,$F$16,$C$14,$F$15,$F$14,$F$20,T$2,$T$1,$C121)</f>
        <v/>
      </c>
      <c r="U121" s="227" t="str">
        <f ca="1">_xll.DBRW(Server&amp;Cube1,$F$17,$F$18,$F$19,$F$16,$C$14,$F$15,$F$14,$F$20,U$2,$U$1,$C121)</f>
        <v/>
      </c>
      <c r="V121" s="227" t="str">
        <f ca="1">_xll.DBRW(Server&amp;Cube1,$F$17,$F$18,$F$19,$F$16,$C$14,$F$15,$F$14,$F$20,V$2,V$1,$C121)</f>
        <v/>
      </c>
      <c r="W121" s="227" t="str">
        <f ca="1">_xll.DBRW(Server&amp;Cube1,$F$17,$F$18,$F$19,$F$16,$C$14,$F$15,$F$14,$F$20,W$2,W$1,$C121)</f>
        <v/>
      </c>
      <c r="X121" s="227" t="str">
        <f ca="1">_xll.DBRW(Server&amp;Cube1,$F$17,$F$18,$F$19,$F$16,$C$14,$F$15,$F$14,$F$20,X$2,X$1,$C121)</f>
        <v/>
      </c>
      <c r="Y121" s="227" t="str">
        <f ca="1">_xll.DBRW(Server&amp;Cube1,$F$17,$F$18,$F$19,$F$16,$C$14,$F$15,$F$14,$F$20,Y$2,Y$1,$C121)</f>
        <v/>
      </c>
      <c r="Z121" s="241"/>
      <c r="AA121" s="241"/>
      <c r="AB121" s="241"/>
      <c r="AC121" s="241"/>
      <c r="AD121" s="241"/>
      <c r="AE121" s="241"/>
      <c r="AF121" s="221" t="str">
        <f ca="1">_xll.DBRW(Server&amp;Cube1,$F$17,$F$18,$F$19,$F$16,$C$14,$F$15,$F$14,$F$20,AF$2,$AF$1,$C121)</f>
        <v/>
      </c>
      <c r="AG121" s="53"/>
      <c r="AH121" s="53"/>
      <c r="AI121" s="53"/>
      <c r="AJ121" s="53"/>
      <c r="AK121" s="53"/>
      <c r="AL121" s="53"/>
      <c r="AM121" s="53"/>
      <c r="AN121" s="53"/>
      <c r="AO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53" s="9" customFormat="1" ht="24.95" customHeight="1" x14ac:dyDescent="0.35">
      <c r="A122" s="181" t="e">
        <f ca="1">IF($AT$35="YES",1,IF(_xll.ELCOMPN(Server&amp;$C$24,C122)&lt;&gt;0,1,IF(OR(B122=$AZ$35,B122="ALL"),1,0)))</f>
        <v>#VALUE!</v>
      </c>
      <c r="B122" s="163" t="str">
        <f t="shared" si="6"/>
        <v>BD</v>
      </c>
      <c r="C122" s="158" t="s">
        <v>225</v>
      </c>
      <c r="E122" s="268" t="str">
        <f ca="1">_xll.DBRA(Server&amp;$C$24,$C122,$F$21)</f>
        <v>Honoraires &amp; Conseil Abonnés (DC)</v>
      </c>
      <c r="F122" s="268"/>
      <c r="G122" s="268"/>
      <c r="H122" s="40"/>
      <c r="I122" s="221" t="str">
        <f ca="1">_xll.DBRW(Server&amp;Cube1,$F$17,$F$18,$F$19,$F$16,$C$14,$F$15,$F$14,$F$20,I$2,I$1,$C122)</f>
        <v/>
      </c>
      <c r="J122" s="221" t="str">
        <f ca="1">_xll.DBRW(Server&amp;Cube1,$F$17,$F$18,$F$19,$F$16,$C$14,$F$15,$F$14,$F$20,J$2,J$1,$C122)</f>
        <v/>
      </c>
      <c r="K122" s="221" t="e">
        <f ca="1">_xll.DBRW(Server&amp;Cube1,$F$17,$F$18,$F$19,$F$16,$C$14,$F$15,$F$14,$F$20,I$2,I$1,$C122) -_xll.DBRW(Server&amp;Cube1,$F$17,$F$18,$F$19,$F$16,$C$14,$F$15,$F$14,$F$20,K$2,I$1,$C122)</f>
        <v>#VALUE!</v>
      </c>
      <c r="L122" s="221" t="e">
        <f t="shared" ca="1" si="5"/>
        <v>#VALUE!</v>
      </c>
      <c r="M122" s="221" t="e">
        <f t="shared" ca="1" si="4"/>
        <v>#VALUE!</v>
      </c>
      <c r="N122" s="226"/>
      <c r="O122" s="221" t="str">
        <f ca="1">_xll.DBRW(Server&amp;Cube1,$F$17,$F$18,$F$19,$F$16,$C$14,$F$15,$F$14,$F$20,O$2,O$1,$C122)</f>
        <v/>
      </c>
      <c r="P122" s="226"/>
      <c r="Q122" s="240" t="str">
        <f ca="1">IF(_xll.ELCOMPN(Server&amp;$C$24,C122)=0,"YES","NO")</f>
        <v>YES</v>
      </c>
      <c r="R122" s="241">
        <v>0</v>
      </c>
      <c r="S122" s="226"/>
      <c r="T122" s="227" t="str">
        <f ca="1">_xll.DBRW(Server&amp;Cube1,$F$17,$F$18,$F$19,$F$16,$C$14,$F$15,$F$14,$F$20,T$2,$T$1,$C122)</f>
        <v/>
      </c>
      <c r="U122" s="227" t="str">
        <f ca="1">_xll.DBRW(Server&amp;Cube1,$F$17,$F$18,$F$19,$F$16,$C$14,$F$15,$F$14,$F$20,U$2,$U$1,$C122)</f>
        <v/>
      </c>
      <c r="V122" s="227" t="str">
        <f ca="1">_xll.DBRW(Server&amp;Cube1,$F$17,$F$18,$F$19,$F$16,$C$14,$F$15,$F$14,$F$20,V$2,V$1,$C122)</f>
        <v/>
      </c>
      <c r="W122" s="227" t="str">
        <f ca="1">_xll.DBRW(Server&amp;Cube1,$F$17,$F$18,$F$19,$F$16,$C$14,$F$15,$F$14,$F$20,W$2,W$1,$C122)</f>
        <v/>
      </c>
      <c r="X122" s="227" t="str">
        <f ca="1">_xll.DBRW(Server&amp;Cube1,$F$17,$F$18,$F$19,$F$16,$C$14,$F$15,$F$14,$F$20,X$2,X$1,$C122)</f>
        <v/>
      </c>
      <c r="Y122" s="227" t="str">
        <f ca="1">_xll.DBRW(Server&amp;Cube1,$F$17,$F$18,$F$19,$F$16,$C$14,$F$15,$F$14,$F$20,Y$2,Y$1,$C122)</f>
        <v/>
      </c>
      <c r="Z122" s="241"/>
      <c r="AA122" s="241"/>
      <c r="AB122" s="241"/>
      <c r="AC122" s="241"/>
      <c r="AD122" s="241"/>
      <c r="AE122" s="241"/>
      <c r="AF122" s="221" t="str">
        <f ca="1">_xll.DBRW(Server&amp;Cube1,$F$17,$F$18,$F$19,$F$16,$C$14,$F$15,$F$14,$F$20,AF$2,$AF$1,$C122)</f>
        <v/>
      </c>
      <c r="AG122" s="53"/>
      <c r="AH122" s="53"/>
      <c r="AI122" s="53"/>
      <c r="AJ122" s="53"/>
      <c r="AK122" s="53"/>
      <c r="AL122" s="53"/>
      <c r="AM122" s="53"/>
      <c r="AN122" s="53"/>
      <c r="AO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53" s="9" customFormat="1" ht="24.95" customHeight="1" x14ac:dyDescent="0.35">
      <c r="A123" s="181" t="e">
        <f ca="1">IF($AT$35="YES",1,IF(_xll.ELCOMPN(Server&amp;$C$24,C123)&lt;&gt;0,1,IF(OR(B123=$AZ$35,B123="ALL"),1,0)))</f>
        <v>#VALUE!</v>
      </c>
      <c r="B123" s="163" t="str">
        <f t="shared" si="6"/>
        <v>FI</v>
      </c>
      <c r="C123" s="158" t="s">
        <v>226</v>
      </c>
      <c r="E123" s="268" t="str">
        <f ca="1">_xll.DBRA(Server&amp;$C$24,$C123,$F$21)</f>
        <v>Honoraires &amp; Conseil Abonnés (DF)</v>
      </c>
      <c r="F123" s="268"/>
      <c r="G123" s="268"/>
      <c r="H123" s="40"/>
      <c r="I123" s="221" t="str">
        <f ca="1">_xll.DBRW(Server&amp;Cube1,$F$17,$F$18,$F$19,$F$16,$C$14,$F$15,$F$14,$F$20,I$2,I$1,$C123)</f>
        <v/>
      </c>
      <c r="J123" s="221" t="str">
        <f ca="1">_xll.DBRW(Server&amp;Cube1,$F$17,$F$18,$F$19,$F$16,$C$14,$F$15,$F$14,$F$20,J$2,J$1,$C123)</f>
        <v/>
      </c>
      <c r="K123" s="221" t="e">
        <f ca="1">_xll.DBRW(Server&amp;Cube1,$F$17,$F$18,$F$19,$F$16,$C$14,$F$15,$F$14,$F$20,I$2,I$1,$C123) -_xll.DBRW(Server&amp;Cube1,$F$17,$F$18,$F$19,$F$16,$C$14,$F$15,$F$14,$F$20,K$2,I$1,$C123)</f>
        <v>#VALUE!</v>
      </c>
      <c r="L123" s="221" t="e">
        <f t="shared" ca="1" si="5"/>
        <v>#VALUE!</v>
      </c>
      <c r="M123" s="221" t="e">
        <f t="shared" ca="1" si="4"/>
        <v>#VALUE!</v>
      </c>
      <c r="N123" s="226"/>
      <c r="O123" s="221" t="str">
        <f ca="1">_xll.DBRW(Server&amp;Cube1,$F$17,$F$18,$F$19,$F$16,$C$14,$F$15,$F$14,$F$20,O$2,O$1,$C123)</f>
        <v/>
      </c>
      <c r="P123" s="226"/>
      <c r="Q123" s="240" t="str">
        <f ca="1">IF(_xll.ELCOMPN(Server&amp;$C$24,C123)=0,"YES","NO")</f>
        <v>YES</v>
      </c>
      <c r="R123" s="241">
        <v>0</v>
      </c>
      <c r="S123" s="226"/>
      <c r="T123" s="227" t="str">
        <f ca="1">_xll.DBRW(Server&amp;Cube1,$F$17,$F$18,$F$19,$F$16,$C$14,$F$15,$F$14,$F$20,T$2,$T$1,$C123)</f>
        <v/>
      </c>
      <c r="U123" s="227" t="str">
        <f ca="1">_xll.DBRW(Server&amp;Cube1,$F$17,$F$18,$F$19,$F$16,$C$14,$F$15,$F$14,$F$20,U$2,$U$1,$C123)</f>
        <v/>
      </c>
      <c r="V123" s="227" t="str">
        <f ca="1">_xll.DBRW(Server&amp;Cube1,$F$17,$F$18,$F$19,$F$16,$C$14,$F$15,$F$14,$F$20,V$2,V$1,$C123)</f>
        <v/>
      </c>
      <c r="W123" s="227" t="str">
        <f ca="1">_xll.DBRW(Server&amp;Cube1,$F$17,$F$18,$F$19,$F$16,$C$14,$F$15,$F$14,$F$20,W$2,W$1,$C123)</f>
        <v/>
      </c>
      <c r="X123" s="227" t="str">
        <f ca="1">_xll.DBRW(Server&amp;Cube1,$F$17,$F$18,$F$19,$F$16,$C$14,$F$15,$F$14,$F$20,X$2,X$1,$C123)</f>
        <v/>
      </c>
      <c r="Y123" s="227" t="str">
        <f ca="1">_xll.DBRW(Server&amp;Cube1,$F$17,$F$18,$F$19,$F$16,$C$14,$F$15,$F$14,$F$20,Y$2,Y$1,$C123)</f>
        <v/>
      </c>
      <c r="Z123" s="241"/>
      <c r="AA123" s="241"/>
      <c r="AB123" s="241"/>
      <c r="AC123" s="241"/>
      <c r="AD123" s="241"/>
      <c r="AE123" s="241"/>
      <c r="AF123" s="221" t="str">
        <f ca="1">_xll.DBRW(Server&amp;Cube1,$F$17,$F$18,$F$19,$F$16,$C$14,$F$15,$F$14,$F$20,AF$2,$AF$1,$C123)</f>
        <v/>
      </c>
      <c r="AG123" s="53"/>
      <c r="AH123" s="53"/>
      <c r="AI123" s="53"/>
      <c r="AJ123" s="53"/>
      <c r="AK123" s="53"/>
      <c r="AL123" s="53"/>
      <c r="AM123" s="53"/>
      <c r="AN123" s="53"/>
      <c r="AO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1:53" s="9" customFormat="1" ht="24.95" customHeight="1" x14ac:dyDescent="0.35">
      <c r="A124" s="181" t="e">
        <f ca="1">IF($AT$35="YES",1,IF(_xll.ELCOMPN(Server&amp;$C$24,C124)&lt;&gt;0,1,IF(OR(B124=$AZ$35,B124="ALL"),1,0)))</f>
        <v>#VALUE!</v>
      </c>
      <c r="B124" s="163" t="str">
        <f t="shared" si="6"/>
        <v>IT</v>
      </c>
      <c r="C124" s="158" t="s">
        <v>227</v>
      </c>
      <c r="E124" s="268" t="str">
        <f ca="1">_xll.DBRA(Server&amp;$C$24,$C124,$F$21)</f>
        <v>Honoraires &amp; Conseil Abonnés (IT)</v>
      </c>
      <c r="F124" s="268"/>
      <c r="G124" s="268"/>
      <c r="H124" s="40"/>
      <c r="I124" s="221" t="str">
        <f ca="1">_xll.DBRW(Server&amp;Cube1,$F$17,$F$18,$F$19,$F$16,$C$14,$F$15,$F$14,$F$20,I$2,I$1,$C124)</f>
        <v/>
      </c>
      <c r="J124" s="221" t="str">
        <f ca="1">_xll.DBRW(Server&amp;Cube1,$F$17,$F$18,$F$19,$F$16,$C$14,$F$15,$F$14,$F$20,J$2,J$1,$C124)</f>
        <v/>
      </c>
      <c r="K124" s="221" t="e">
        <f ca="1">_xll.DBRW(Server&amp;Cube1,$F$17,$F$18,$F$19,$F$16,$C$14,$F$15,$F$14,$F$20,I$2,I$1,$C124) -_xll.DBRW(Server&amp;Cube1,$F$17,$F$18,$F$19,$F$16,$C$14,$F$15,$F$14,$F$20,K$2,I$1,$C124)</f>
        <v>#VALUE!</v>
      </c>
      <c r="L124" s="221" t="e">
        <f t="shared" ca="1" si="5"/>
        <v>#VALUE!</v>
      </c>
      <c r="M124" s="221" t="e">
        <f t="shared" ca="1" si="4"/>
        <v>#VALUE!</v>
      </c>
      <c r="N124" s="226"/>
      <c r="O124" s="221" t="str">
        <f ca="1">_xll.DBRW(Server&amp;Cube1,$F$17,$F$18,$F$19,$F$16,$C$14,$F$15,$F$14,$F$20,O$2,O$1,$C124)</f>
        <v/>
      </c>
      <c r="P124" s="226"/>
      <c r="Q124" s="240" t="str">
        <f ca="1">IF(_xll.ELCOMPN(Server&amp;$C$24,C124)=0,"YES","NO")</f>
        <v>YES</v>
      </c>
      <c r="R124" s="241">
        <v>0</v>
      </c>
      <c r="S124" s="226"/>
      <c r="T124" s="227" t="str">
        <f ca="1">_xll.DBRW(Server&amp;Cube1,$F$17,$F$18,$F$19,$F$16,$C$14,$F$15,$F$14,$F$20,T$2,$T$1,$C124)</f>
        <v/>
      </c>
      <c r="U124" s="227" t="str">
        <f ca="1">_xll.DBRW(Server&amp;Cube1,$F$17,$F$18,$F$19,$F$16,$C$14,$F$15,$F$14,$F$20,U$2,$U$1,$C124)</f>
        <v/>
      </c>
      <c r="V124" s="227" t="str">
        <f ca="1">_xll.DBRW(Server&amp;Cube1,$F$17,$F$18,$F$19,$F$16,$C$14,$F$15,$F$14,$F$20,V$2,V$1,$C124)</f>
        <v/>
      </c>
      <c r="W124" s="227" t="str">
        <f ca="1">_xll.DBRW(Server&amp;Cube1,$F$17,$F$18,$F$19,$F$16,$C$14,$F$15,$F$14,$F$20,W$2,W$1,$C124)</f>
        <v/>
      </c>
      <c r="X124" s="227" t="str">
        <f ca="1">_xll.DBRW(Server&amp;Cube1,$F$17,$F$18,$F$19,$F$16,$C$14,$F$15,$F$14,$F$20,X$2,X$1,$C124)</f>
        <v/>
      </c>
      <c r="Y124" s="227" t="str">
        <f ca="1">_xll.DBRW(Server&amp;Cube1,$F$17,$F$18,$F$19,$F$16,$C$14,$F$15,$F$14,$F$20,Y$2,Y$1,$C124)</f>
        <v/>
      </c>
      <c r="Z124" s="241"/>
      <c r="AA124" s="241"/>
      <c r="AB124" s="241"/>
      <c r="AC124" s="241"/>
      <c r="AD124" s="241"/>
      <c r="AE124" s="241"/>
      <c r="AF124" s="221" t="str">
        <f ca="1">_xll.DBRW(Server&amp;Cube1,$F$17,$F$18,$F$19,$F$16,$C$14,$F$15,$F$14,$F$20,AF$2,$AF$1,$C124)</f>
        <v/>
      </c>
      <c r="AG124" s="53"/>
      <c r="AH124" s="53"/>
      <c r="AI124" s="53"/>
      <c r="AJ124" s="53"/>
      <c r="AK124" s="53"/>
      <c r="AL124" s="53"/>
      <c r="AM124" s="53"/>
      <c r="AN124" s="53"/>
      <c r="AO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1:53" s="9" customFormat="1" ht="24.95" customHeight="1" x14ac:dyDescent="0.35">
      <c r="A125" s="181" t="e">
        <f ca="1">IF($AT$35="YES",1,IF(_xll.ELCOMPN(Server&amp;$C$24,C125)&lt;&gt;0,1,IF(OR(B125=$AZ$35,B125="ALL"),1,0)))</f>
        <v>#VALUE!</v>
      </c>
      <c r="B125" s="163" t="str">
        <f t="shared" si="6"/>
        <v>HR</v>
      </c>
      <c r="C125" s="158" t="s">
        <v>228</v>
      </c>
      <c r="E125" s="268" t="str">
        <f ca="1">_xll.DBRA(Server&amp;$C$24,$C125,$F$21)</f>
        <v>Honoraires &amp; Conseil Abonnés (RH)</v>
      </c>
      <c r="F125" s="268"/>
      <c r="G125" s="268"/>
      <c r="H125" s="40"/>
      <c r="I125" s="221" t="str">
        <f ca="1">_xll.DBRW(Server&amp;Cube1,$F$17,$F$18,$F$19,$F$16,$C$14,$F$15,$F$14,$F$20,I$2,I$1,$C125)</f>
        <v/>
      </c>
      <c r="J125" s="221" t="str">
        <f ca="1">_xll.DBRW(Server&amp;Cube1,$F$17,$F$18,$F$19,$F$16,$C$14,$F$15,$F$14,$F$20,J$2,J$1,$C125)</f>
        <v/>
      </c>
      <c r="K125" s="221" t="e">
        <f ca="1">_xll.DBRW(Server&amp;Cube1,$F$17,$F$18,$F$19,$F$16,$C$14,$F$15,$F$14,$F$20,I$2,I$1,$C125) -_xll.DBRW(Server&amp;Cube1,$F$17,$F$18,$F$19,$F$16,$C$14,$F$15,$F$14,$F$20,K$2,I$1,$C125)</f>
        <v>#VALUE!</v>
      </c>
      <c r="L125" s="221" t="e">
        <f t="shared" ca="1" si="5"/>
        <v>#VALUE!</v>
      </c>
      <c r="M125" s="221" t="e">
        <f t="shared" ca="1" si="4"/>
        <v>#VALUE!</v>
      </c>
      <c r="N125" s="226"/>
      <c r="O125" s="221" t="str">
        <f ca="1">_xll.DBRW(Server&amp;Cube1,$F$17,$F$18,$F$19,$F$16,$C$14,$F$15,$F$14,$F$20,O$2,O$1,$C125)</f>
        <v/>
      </c>
      <c r="P125" s="226"/>
      <c r="Q125" s="240" t="str">
        <f ca="1">IF(_xll.ELCOMPN(Server&amp;$C$24,C125)=0,"YES","NO")</f>
        <v>YES</v>
      </c>
      <c r="R125" s="241">
        <v>0</v>
      </c>
      <c r="S125" s="226"/>
      <c r="T125" s="227" t="str">
        <f ca="1">_xll.DBRW(Server&amp;Cube1,$F$17,$F$18,$F$19,$F$16,$C$14,$F$15,$F$14,$F$20,T$2,$T$1,$C125)</f>
        <v/>
      </c>
      <c r="U125" s="227" t="str">
        <f ca="1">_xll.DBRW(Server&amp;Cube1,$F$17,$F$18,$F$19,$F$16,$C$14,$F$15,$F$14,$F$20,U$2,$U$1,$C125)</f>
        <v/>
      </c>
      <c r="V125" s="227" t="str">
        <f ca="1">_xll.DBRW(Server&amp;Cube1,$F$17,$F$18,$F$19,$F$16,$C$14,$F$15,$F$14,$F$20,V$2,V$1,$C125)</f>
        <v/>
      </c>
      <c r="W125" s="227" t="str">
        <f ca="1">_xll.DBRW(Server&amp;Cube1,$F$17,$F$18,$F$19,$F$16,$C$14,$F$15,$F$14,$F$20,W$2,W$1,$C125)</f>
        <v/>
      </c>
      <c r="X125" s="227" t="str">
        <f ca="1">_xll.DBRW(Server&amp;Cube1,$F$17,$F$18,$F$19,$F$16,$C$14,$F$15,$F$14,$F$20,X$2,X$1,$C125)</f>
        <v/>
      </c>
      <c r="Y125" s="227" t="str">
        <f ca="1">_xll.DBRW(Server&amp;Cube1,$F$17,$F$18,$F$19,$F$16,$C$14,$F$15,$F$14,$F$20,Y$2,Y$1,$C125)</f>
        <v/>
      </c>
      <c r="Z125" s="241"/>
      <c r="AA125" s="241"/>
      <c r="AB125" s="241"/>
      <c r="AC125" s="241"/>
      <c r="AD125" s="241"/>
      <c r="AE125" s="241"/>
      <c r="AF125" s="221" t="str">
        <f ca="1">_xll.DBRW(Server&amp;Cube1,$F$17,$F$18,$F$19,$F$16,$C$14,$F$15,$F$14,$F$20,AF$2,$AF$1,$C125)</f>
        <v/>
      </c>
      <c r="AG125" s="53"/>
      <c r="AH125" s="53"/>
      <c r="AI125" s="53"/>
      <c r="AJ125" s="53"/>
      <c r="AK125" s="53"/>
      <c r="AL125" s="53"/>
      <c r="AM125" s="53"/>
      <c r="AN125" s="53"/>
      <c r="AO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1:53" s="9" customFormat="1" ht="24.95" customHeight="1" x14ac:dyDescent="0.35">
      <c r="A126" s="181" t="e">
        <f ca="1">IF($AT$35="YES",1,IF(_xll.ELCOMPN(Server&amp;$C$24,C126)&lt;&gt;0,1,IF(OR(B126=$AZ$35,B126="ALL"),1,0)))</f>
        <v>#VALUE!</v>
      </c>
      <c r="B126" s="163" t="str">
        <f t="shared" si="6"/>
        <v>GM</v>
      </c>
      <c r="C126" s="158" t="s">
        <v>229</v>
      </c>
      <c r="E126" s="268" t="str">
        <f ca="1">_xll.DBRA(Server&amp;$C$24,$C126,$F$21)</f>
        <v>Honoraires &amp; Conseil Abonnés (DG)</v>
      </c>
      <c r="F126" s="268"/>
      <c r="G126" s="268"/>
      <c r="H126" s="40"/>
      <c r="I126" s="221" t="str">
        <f ca="1">_xll.DBRW(Server&amp;Cube1,$F$17,$F$18,$F$19,$F$16,$C$14,$F$15,$F$14,$F$20,I$2,I$1,$C126)</f>
        <v/>
      </c>
      <c r="J126" s="221" t="str">
        <f ca="1">_xll.DBRW(Server&amp;Cube1,$F$17,$F$18,$F$19,$F$16,$C$14,$F$15,$F$14,$F$20,J$2,J$1,$C126)</f>
        <v/>
      </c>
      <c r="K126" s="221" t="e">
        <f ca="1">_xll.DBRW(Server&amp;Cube1,$F$17,$F$18,$F$19,$F$16,$C$14,$F$15,$F$14,$F$20,I$2,I$1,$C126) -_xll.DBRW(Server&amp;Cube1,$F$17,$F$18,$F$19,$F$16,$C$14,$F$15,$F$14,$F$20,K$2,I$1,$C126)</f>
        <v>#VALUE!</v>
      </c>
      <c r="L126" s="221" t="e">
        <f t="shared" ca="1" si="5"/>
        <v>#VALUE!</v>
      </c>
      <c r="M126" s="221" t="e">
        <f t="shared" ca="1" si="4"/>
        <v>#VALUE!</v>
      </c>
      <c r="N126" s="226"/>
      <c r="O126" s="221" t="str">
        <f ca="1">_xll.DBRW(Server&amp;Cube1,$F$17,$F$18,$F$19,$F$16,$C$14,$F$15,$F$14,$F$20,O$2,O$1,$C126)</f>
        <v/>
      </c>
      <c r="P126" s="226"/>
      <c r="Q126" s="240" t="str">
        <f ca="1">IF(_xll.ELCOMPN(Server&amp;$C$24,C126)=0,"YES","NO")</f>
        <v>YES</v>
      </c>
      <c r="R126" s="241">
        <v>0</v>
      </c>
      <c r="S126" s="226"/>
      <c r="T126" s="227" t="str">
        <f ca="1">_xll.DBRW(Server&amp;Cube1,$F$17,$F$18,$F$19,$F$16,$C$14,$F$15,$F$14,$F$20,T$2,$T$1,$C126)</f>
        <v/>
      </c>
      <c r="U126" s="227" t="str">
        <f ca="1">_xll.DBRW(Server&amp;Cube1,$F$17,$F$18,$F$19,$F$16,$C$14,$F$15,$F$14,$F$20,U$2,$U$1,$C126)</f>
        <v/>
      </c>
      <c r="V126" s="227" t="str">
        <f ca="1">_xll.DBRW(Server&amp;Cube1,$F$17,$F$18,$F$19,$F$16,$C$14,$F$15,$F$14,$F$20,V$2,V$1,$C126)</f>
        <v/>
      </c>
      <c r="W126" s="227" t="str">
        <f ca="1">_xll.DBRW(Server&amp;Cube1,$F$17,$F$18,$F$19,$F$16,$C$14,$F$15,$F$14,$F$20,W$2,W$1,$C126)</f>
        <v/>
      </c>
      <c r="X126" s="227" t="str">
        <f ca="1">_xll.DBRW(Server&amp;Cube1,$F$17,$F$18,$F$19,$F$16,$C$14,$F$15,$F$14,$F$20,X$2,X$1,$C126)</f>
        <v/>
      </c>
      <c r="Y126" s="227" t="str">
        <f ca="1">_xll.DBRW(Server&amp;Cube1,$F$17,$F$18,$F$19,$F$16,$C$14,$F$15,$F$14,$F$20,Y$2,Y$1,$C126)</f>
        <v/>
      </c>
      <c r="Z126" s="241"/>
      <c r="AA126" s="241"/>
      <c r="AB126" s="241"/>
      <c r="AC126" s="241"/>
      <c r="AD126" s="241"/>
      <c r="AE126" s="241"/>
      <c r="AF126" s="221" t="str">
        <f ca="1">_xll.DBRW(Server&amp;Cube1,$F$17,$F$18,$F$19,$F$16,$C$14,$F$15,$F$14,$F$20,AF$2,$AF$1,$C126)</f>
        <v/>
      </c>
      <c r="AG126" s="53"/>
      <c r="AH126" s="53"/>
      <c r="AI126" s="53"/>
      <c r="AJ126" s="53"/>
      <c r="AK126" s="53"/>
      <c r="AL126" s="53"/>
      <c r="AM126" s="53"/>
      <c r="AN126" s="53"/>
      <c r="AO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1:53" s="9" customFormat="1" ht="24.95" customHeight="1" x14ac:dyDescent="0.35">
      <c r="A127" s="181" t="e">
        <f ca="1">IF($AT$35="YES",1,IF(_xll.ELCOMPN(Server&amp;$C$24,C127)&lt;&gt;0,1,IF(OR(B127=$AZ$35,B127="ALL"),1,0)))</f>
        <v>#VALUE!</v>
      </c>
      <c r="B127" s="163" t="str">
        <f t="shared" si="6"/>
        <v>IA</v>
      </c>
      <c r="C127" s="158" t="s">
        <v>230</v>
      </c>
      <c r="E127" s="268" t="str">
        <f ca="1">_xll.DBRA(Server&amp;$C$24,$C127,$F$21)</f>
        <v>Honoraires &amp; Conseil Abonnés (AI)</v>
      </c>
      <c r="F127" s="268"/>
      <c r="G127" s="268"/>
      <c r="H127" s="40"/>
      <c r="I127" s="221" t="str">
        <f ca="1">_xll.DBRW(Server&amp;Cube1,$F$17,$F$18,$F$19,$F$16,$C$14,$F$15,$F$14,$F$20,I$2,I$1,$C127)</f>
        <v/>
      </c>
      <c r="J127" s="221" t="str">
        <f ca="1">_xll.DBRW(Server&amp;Cube1,$F$17,$F$18,$F$19,$F$16,$C$14,$F$15,$F$14,$F$20,J$2,J$1,$C127)</f>
        <v/>
      </c>
      <c r="K127" s="221" t="e">
        <f ca="1">_xll.DBRW(Server&amp;Cube1,$F$17,$F$18,$F$19,$F$16,$C$14,$F$15,$F$14,$F$20,I$2,I$1,$C127) -_xll.DBRW(Server&amp;Cube1,$F$17,$F$18,$F$19,$F$16,$C$14,$F$15,$F$14,$F$20,K$2,I$1,$C127)</f>
        <v>#VALUE!</v>
      </c>
      <c r="L127" s="221" t="e">
        <f t="shared" ca="1" si="5"/>
        <v>#VALUE!</v>
      </c>
      <c r="M127" s="221" t="e">
        <f t="shared" ca="1" si="4"/>
        <v>#VALUE!</v>
      </c>
      <c r="N127" s="226"/>
      <c r="O127" s="221" t="str">
        <f ca="1">_xll.DBRW(Server&amp;Cube1,$F$17,$F$18,$F$19,$F$16,$C$14,$F$15,$F$14,$F$20,O$2,O$1,$C127)</f>
        <v/>
      </c>
      <c r="P127" s="226"/>
      <c r="Q127" s="240" t="str">
        <f ca="1">IF(_xll.ELCOMPN(Server&amp;$C$24,C127)=0,"YES","NO")</f>
        <v>YES</v>
      </c>
      <c r="R127" s="241">
        <v>0</v>
      </c>
      <c r="S127" s="226"/>
      <c r="T127" s="227" t="str">
        <f ca="1">_xll.DBRW(Server&amp;Cube1,$F$17,$F$18,$F$19,$F$16,$C$14,$F$15,$F$14,$F$20,T$2,$T$1,$C127)</f>
        <v/>
      </c>
      <c r="U127" s="227" t="str">
        <f ca="1">_xll.DBRW(Server&amp;Cube1,$F$17,$F$18,$F$19,$F$16,$C$14,$F$15,$F$14,$F$20,U$2,$U$1,$C127)</f>
        <v/>
      </c>
      <c r="V127" s="227" t="str">
        <f ca="1">_xll.DBRW(Server&amp;Cube1,$F$17,$F$18,$F$19,$F$16,$C$14,$F$15,$F$14,$F$20,V$2,V$1,$C127)</f>
        <v/>
      </c>
      <c r="W127" s="227" t="str">
        <f ca="1">_xll.DBRW(Server&amp;Cube1,$F$17,$F$18,$F$19,$F$16,$C$14,$F$15,$F$14,$F$20,W$2,W$1,$C127)</f>
        <v/>
      </c>
      <c r="X127" s="227" t="str">
        <f ca="1">_xll.DBRW(Server&amp;Cube1,$F$17,$F$18,$F$19,$F$16,$C$14,$F$15,$F$14,$F$20,X$2,X$1,$C127)</f>
        <v/>
      </c>
      <c r="Y127" s="227" t="str">
        <f ca="1">_xll.DBRW(Server&amp;Cube1,$F$17,$F$18,$F$19,$F$16,$C$14,$F$15,$F$14,$F$20,Y$2,Y$1,$C127)</f>
        <v/>
      </c>
      <c r="Z127" s="241"/>
      <c r="AA127" s="241"/>
      <c r="AB127" s="241"/>
      <c r="AC127" s="241"/>
      <c r="AD127" s="241"/>
      <c r="AE127" s="241"/>
      <c r="AF127" s="221" t="str">
        <f ca="1">_xll.DBRW(Server&amp;Cube1,$F$17,$F$18,$F$19,$F$16,$C$14,$F$15,$F$14,$F$20,AF$2,$AF$1,$C127)</f>
        <v/>
      </c>
      <c r="AG127" s="53"/>
      <c r="AH127" s="53"/>
      <c r="AI127" s="53"/>
      <c r="AJ127" s="53"/>
      <c r="AK127" s="53"/>
      <c r="AL127" s="53"/>
      <c r="AM127" s="53"/>
      <c r="AN127" s="53"/>
      <c r="AO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1:53" s="9" customFormat="1" ht="24.95" customHeight="1" x14ac:dyDescent="0.35">
      <c r="A128" s="181" t="e">
        <f ca="1">IF($AT$35="YES",1,IF(_xll.ELCOMPN(Server&amp;$C$24,C128)&lt;&gt;0,1,IF(OR(B128=$AZ$35,B128="ALL"),1,0)))</f>
        <v>#VALUE!</v>
      </c>
      <c r="B128" s="163" t="str">
        <f t="shared" si="6"/>
        <v>LE</v>
      </c>
      <c r="C128" s="158" t="s">
        <v>231</v>
      </c>
      <c r="E128" s="268" t="str">
        <f ca="1">_xll.DBRA(Server&amp;$C$24,$C128,$F$21)</f>
        <v>Honoraires &amp; Conseil Abonnés (JU)</v>
      </c>
      <c r="F128" s="268"/>
      <c r="G128" s="268"/>
      <c r="H128" s="40"/>
      <c r="I128" s="221" t="str">
        <f ca="1">_xll.DBRW(Server&amp;Cube1,$F$17,$F$18,$F$19,$F$16,$C$14,$F$15,$F$14,$F$20,I$2,I$1,$C128)</f>
        <v/>
      </c>
      <c r="J128" s="221" t="str">
        <f ca="1">_xll.DBRW(Server&amp;Cube1,$F$17,$F$18,$F$19,$F$16,$C$14,$F$15,$F$14,$F$20,J$2,J$1,$C128)</f>
        <v/>
      </c>
      <c r="K128" s="221" t="e">
        <f ca="1">_xll.DBRW(Server&amp;Cube1,$F$17,$F$18,$F$19,$F$16,$C$14,$F$15,$F$14,$F$20,I$2,I$1,$C128) -_xll.DBRW(Server&amp;Cube1,$F$17,$F$18,$F$19,$F$16,$C$14,$F$15,$F$14,$F$20,K$2,I$1,$C128)</f>
        <v>#VALUE!</v>
      </c>
      <c r="L128" s="221" t="e">
        <f t="shared" ca="1" si="5"/>
        <v>#VALUE!</v>
      </c>
      <c r="M128" s="221" t="e">
        <f t="shared" ca="1" si="4"/>
        <v>#VALUE!</v>
      </c>
      <c r="N128" s="226"/>
      <c r="O128" s="221" t="str">
        <f ca="1">_xll.DBRW(Server&amp;Cube1,$F$17,$F$18,$F$19,$F$16,$C$14,$F$15,$F$14,$F$20,O$2,O$1,$C128)</f>
        <v/>
      </c>
      <c r="P128" s="226"/>
      <c r="Q128" s="240" t="str">
        <f ca="1">IF(_xll.ELCOMPN(Server&amp;$C$24,C128)=0,"YES","NO")</f>
        <v>YES</v>
      </c>
      <c r="R128" s="241">
        <v>0</v>
      </c>
      <c r="S128" s="226"/>
      <c r="T128" s="227" t="str">
        <f ca="1">_xll.DBRW(Server&amp;Cube1,$F$17,$F$18,$F$19,$F$16,$C$14,$F$15,$F$14,$F$20,T$2,$T$1,$C128)</f>
        <v/>
      </c>
      <c r="U128" s="227" t="str">
        <f ca="1">_xll.DBRW(Server&amp;Cube1,$F$17,$F$18,$F$19,$F$16,$C$14,$F$15,$F$14,$F$20,U$2,$U$1,$C128)</f>
        <v/>
      </c>
      <c r="V128" s="227" t="str">
        <f ca="1">_xll.DBRW(Server&amp;Cube1,$F$17,$F$18,$F$19,$F$16,$C$14,$F$15,$F$14,$F$20,V$2,V$1,$C128)</f>
        <v/>
      </c>
      <c r="W128" s="227" t="str">
        <f ca="1">_xll.DBRW(Server&amp;Cube1,$F$17,$F$18,$F$19,$F$16,$C$14,$F$15,$F$14,$F$20,W$2,W$1,$C128)</f>
        <v/>
      </c>
      <c r="X128" s="227" t="str">
        <f ca="1">_xll.DBRW(Server&amp;Cube1,$F$17,$F$18,$F$19,$F$16,$C$14,$F$15,$F$14,$F$20,X$2,X$1,$C128)</f>
        <v/>
      </c>
      <c r="Y128" s="227" t="str">
        <f ca="1">_xll.DBRW(Server&amp;Cube1,$F$17,$F$18,$F$19,$F$16,$C$14,$F$15,$F$14,$F$20,Y$2,Y$1,$C128)</f>
        <v/>
      </c>
      <c r="Z128" s="241"/>
      <c r="AA128" s="241"/>
      <c r="AB128" s="241"/>
      <c r="AC128" s="241"/>
      <c r="AD128" s="241"/>
      <c r="AE128" s="241"/>
      <c r="AF128" s="221" t="str">
        <f ca="1">_xll.DBRW(Server&amp;Cube1,$F$17,$F$18,$F$19,$F$16,$C$14,$F$15,$F$14,$F$20,AF$2,$AF$1,$C128)</f>
        <v/>
      </c>
      <c r="AG128" s="53"/>
      <c r="AH128" s="53"/>
      <c r="AI128" s="53"/>
      <c r="AJ128" s="53"/>
      <c r="AK128" s="53"/>
      <c r="AL128" s="53"/>
      <c r="AM128" s="53"/>
      <c r="AN128" s="53"/>
      <c r="AO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1:53" s="9" customFormat="1" ht="24.95" customHeight="1" x14ac:dyDescent="0.35">
      <c r="A129" s="181" t="e">
        <f ca="1">IF($AT$35="YES",1,IF(_xll.ELCOMPN(Server&amp;$C$24,C129)&lt;&gt;0,1,IF(OR(B129=$AZ$35,B129="ALL"),1,0)))</f>
        <v>#VALUE!</v>
      </c>
      <c r="B129" s="163" t="str">
        <f t="shared" si="6"/>
        <v>RM</v>
      </c>
      <c r="C129" s="158" t="s">
        <v>232</v>
      </c>
      <c r="E129" s="268" t="str">
        <f ca="1">_xll.DBRA(Server&amp;$C$24,$C129,$F$21)</f>
        <v>Honoraires &amp; Conseil Abonnés (GR)</v>
      </c>
      <c r="F129" s="268"/>
      <c r="G129" s="268"/>
      <c r="H129" s="40"/>
      <c r="I129" s="221" t="str">
        <f ca="1">_xll.DBRW(Server&amp;Cube1,$F$17,$F$18,$F$19,$F$16,$C$14,$F$15,$F$14,$F$20,I$2,I$1,$C129)</f>
        <v/>
      </c>
      <c r="J129" s="221" t="str">
        <f ca="1">_xll.DBRW(Server&amp;Cube1,$F$17,$F$18,$F$19,$F$16,$C$14,$F$15,$F$14,$F$20,J$2,J$1,$C129)</f>
        <v/>
      </c>
      <c r="K129" s="221" t="e">
        <f ca="1">_xll.DBRW(Server&amp;Cube1,$F$17,$F$18,$F$19,$F$16,$C$14,$F$15,$F$14,$F$20,I$2,I$1,$C129) -_xll.DBRW(Server&amp;Cube1,$F$17,$F$18,$F$19,$F$16,$C$14,$F$15,$F$14,$F$20,K$2,I$1,$C129)</f>
        <v>#VALUE!</v>
      </c>
      <c r="L129" s="221" t="e">
        <f t="shared" ca="1" si="5"/>
        <v>#VALUE!</v>
      </c>
      <c r="M129" s="221" t="e">
        <f t="shared" ca="1" si="4"/>
        <v>#VALUE!</v>
      </c>
      <c r="N129" s="226"/>
      <c r="O129" s="221" t="str">
        <f ca="1">_xll.DBRW(Server&amp;Cube1,$F$17,$F$18,$F$19,$F$16,$C$14,$F$15,$F$14,$F$20,O$2,O$1,$C129)</f>
        <v/>
      </c>
      <c r="P129" s="226"/>
      <c r="Q129" s="240" t="str">
        <f ca="1">IF(_xll.ELCOMPN(Server&amp;$C$24,C129)=0,"YES","NO")</f>
        <v>YES</v>
      </c>
      <c r="R129" s="241">
        <v>0</v>
      </c>
      <c r="S129" s="226"/>
      <c r="T129" s="227" t="str">
        <f ca="1">_xll.DBRW(Server&amp;Cube1,$F$17,$F$18,$F$19,$F$16,$C$14,$F$15,$F$14,$F$20,T$2,$T$1,$C129)</f>
        <v/>
      </c>
      <c r="U129" s="227" t="str">
        <f ca="1">_xll.DBRW(Server&amp;Cube1,$F$17,$F$18,$F$19,$F$16,$C$14,$F$15,$F$14,$F$20,U$2,$U$1,$C129)</f>
        <v/>
      </c>
      <c r="V129" s="227" t="str">
        <f ca="1">_xll.DBRW(Server&amp;Cube1,$F$17,$F$18,$F$19,$F$16,$C$14,$F$15,$F$14,$F$20,V$2,V$1,$C129)</f>
        <v/>
      </c>
      <c r="W129" s="227" t="str">
        <f ca="1">_xll.DBRW(Server&amp;Cube1,$F$17,$F$18,$F$19,$F$16,$C$14,$F$15,$F$14,$F$20,W$2,W$1,$C129)</f>
        <v/>
      </c>
      <c r="X129" s="227" t="str">
        <f ca="1">_xll.DBRW(Server&amp;Cube1,$F$17,$F$18,$F$19,$F$16,$C$14,$F$15,$F$14,$F$20,X$2,X$1,$C129)</f>
        <v/>
      </c>
      <c r="Y129" s="227" t="str">
        <f ca="1">_xll.DBRW(Server&amp;Cube1,$F$17,$F$18,$F$19,$F$16,$C$14,$F$15,$F$14,$F$20,Y$2,Y$1,$C129)</f>
        <v/>
      </c>
      <c r="Z129" s="241"/>
      <c r="AA129" s="241"/>
      <c r="AB129" s="241"/>
      <c r="AC129" s="241"/>
      <c r="AD129" s="241"/>
      <c r="AE129" s="241"/>
      <c r="AF129" s="221" t="str">
        <f ca="1">_xll.DBRW(Server&amp;Cube1,$F$17,$F$18,$F$19,$F$16,$C$14,$F$15,$F$14,$F$20,AF$2,$AF$1,$C129)</f>
        <v/>
      </c>
      <c r="AG129" s="53"/>
      <c r="AH129" s="53"/>
      <c r="AI129" s="53"/>
      <c r="AJ129" s="53"/>
      <c r="AK129" s="53"/>
      <c r="AL129" s="53"/>
      <c r="AM129" s="53"/>
      <c r="AN129" s="53"/>
      <c r="AO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1:53" s="9" customFormat="1" ht="24.95" customHeight="1" x14ac:dyDescent="0.35">
      <c r="A130" s="181" t="e">
        <f ca="1">IF($AT$35="YES",1,IF(_xll.ELCOMPN(Server&amp;$C$24,C130)&lt;&gt;0,1,IF(OR(B130=$AZ$35,B130="ALL"),1,0)))</f>
        <v>#VALUE!</v>
      </c>
      <c r="B130" s="163" t="str">
        <f t="shared" si="6"/>
        <v>PU</v>
      </c>
      <c r="C130" s="158" t="s">
        <v>233</v>
      </c>
      <c r="E130" s="268" t="str">
        <f ca="1">_xll.DBRA(Server&amp;$C$24,$C130,$F$21)</f>
        <v>Honoraires &amp; Conseil Abonnés (AC)</v>
      </c>
      <c r="F130" s="268"/>
      <c r="G130" s="268"/>
      <c r="H130" s="40"/>
      <c r="I130" s="221" t="str">
        <f ca="1">_xll.DBRW(Server&amp;Cube1,$F$17,$F$18,$F$19,$F$16,$C$14,$F$15,$F$14,$F$20,I$2,I$1,$C130)</f>
        <v/>
      </c>
      <c r="J130" s="221" t="str">
        <f ca="1">_xll.DBRW(Server&amp;Cube1,$F$17,$F$18,$F$19,$F$16,$C$14,$F$15,$F$14,$F$20,J$2,J$1,$C130)</f>
        <v/>
      </c>
      <c r="K130" s="221" t="e">
        <f ca="1">_xll.DBRW(Server&amp;Cube1,$F$17,$F$18,$F$19,$F$16,$C$14,$F$15,$F$14,$F$20,I$2,I$1,$C130) -_xll.DBRW(Server&amp;Cube1,$F$17,$F$18,$F$19,$F$16,$C$14,$F$15,$F$14,$F$20,K$2,I$1,$C130)</f>
        <v>#VALUE!</v>
      </c>
      <c r="L130" s="221" t="e">
        <f t="shared" ca="1" si="5"/>
        <v>#VALUE!</v>
      </c>
      <c r="M130" s="221" t="e">
        <f t="shared" ca="1" si="4"/>
        <v>#VALUE!</v>
      </c>
      <c r="N130" s="226"/>
      <c r="O130" s="221" t="str">
        <f ca="1">_xll.DBRW(Server&amp;Cube1,$F$17,$F$18,$F$19,$F$16,$C$14,$F$15,$F$14,$F$20,O$2,O$1,$C130)</f>
        <v/>
      </c>
      <c r="P130" s="226"/>
      <c r="Q130" s="240" t="str">
        <f ca="1">IF(_xll.ELCOMPN(Server&amp;$C$24,C130)=0,"YES","NO")</f>
        <v>YES</v>
      </c>
      <c r="R130" s="241">
        <v>0</v>
      </c>
      <c r="S130" s="226"/>
      <c r="T130" s="227" t="str">
        <f ca="1">_xll.DBRW(Server&amp;Cube1,$F$17,$F$18,$F$19,$F$16,$C$14,$F$15,$F$14,$F$20,T$2,$T$1,$C130)</f>
        <v/>
      </c>
      <c r="U130" s="227" t="str">
        <f ca="1">_xll.DBRW(Server&amp;Cube1,$F$17,$F$18,$F$19,$F$16,$C$14,$F$15,$F$14,$F$20,U$2,$U$1,$C130)</f>
        <v/>
      </c>
      <c r="V130" s="227" t="str">
        <f ca="1">_xll.DBRW(Server&amp;Cube1,$F$17,$F$18,$F$19,$F$16,$C$14,$F$15,$F$14,$F$20,V$2,V$1,$C130)</f>
        <v/>
      </c>
      <c r="W130" s="227" t="str">
        <f ca="1">_xll.DBRW(Server&amp;Cube1,$F$17,$F$18,$F$19,$F$16,$C$14,$F$15,$F$14,$F$20,W$2,W$1,$C130)</f>
        <v/>
      </c>
      <c r="X130" s="227" t="str">
        <f ca="1">_xll.DBRW(Server&amp;Cube1,$F$17,$F$18,$F$19,$F$16,$C$14,$F$15,$F$14,$F$20,X$2,X$1,$C130)</f>
        <v/>
      </c>
      <c r="Y130" s="227" t="str">
        <f ca="1">_xll.DBRW(Server&amp;Cube1,$F$17,$F$18,$F$19,$F$16,$C$14,$F$15,$F$14,$F$20,Y$2,Y$1,$C130)</f>
        <v/>
      </c>
      <c r="Z130" s="241"/>
      <c r="AA130" s="241"/>
      <c r="AB130" s="241"/>
      <c r="AC130" s="241"/>
      <c r="AD130" s="241"/>
      <c r="AE130" s="241"/>
      <c r="AF130" s="221" t="str">
        <f ca="1">_xll.DBRW(Server&amp;Cube1,$F$17,$F$18,$F$19,$F$16,$C$14,$F$15,$F$14,$F$20,AF$2,$AF$1,$C130)</f>
        <v/>
      </c>
      <c r="AG130" s="53"/>
      <c r="AH130" s="53"/>
      <c r="AI130" s="53"/>
      <c r="AJ130" s="53"/>
      <c r="AK130" s="53"/>
      <c r="AL130" s="53"/>
      <c r="AM130" s="53"/>
      <c r="AN130" s="53"/>
      <c r="AO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1:53" s="9" customFormat="1" ht="24.95" customHeight="1" x14ac:dyDescent="0.35">
      <c r="A131" s="181" t="e">
        <f ca="1">IF($AT$35="YES",1,IF(_xll.ELCOMPN(Server&amp;$C$24,C131)&lt;&gt;0,1,IF(OR(B131=$AZ$35,B131="ALL"),1,0)))</f>
        <v>#VALUE!</v>
      </c>
      <c r="B131" s="163" t="str">
        <f t="shared" si="6"/>
        <v>CO</v>
      </c>
      <c r="C131" s="158" t="s">
        <v>234</v>
      </c>
      <c r="E131" s="268" t="str">
        <f ca="1">_xll.DBRA(Server&amp;$C$24,$C131,$F$21)</f>
        <v>Honoraires &amp; Conseil Abonnés (CO)</v>
      </c>
      <c r="F131" s="268"/>
      <c r="G131" s="268"/>
      <c r="H131" s="40"/>
      <c r="I131" s="221" t="str">
        <f ca="1">_xll.DBRW(Server&amp;Cube1,$F$17,$F$18,$F$19,$F$16,$C$14,$F$15,$F$14,$F$20,I$2,I$1,$C131)</f>
        <v/>
      </c>
      <c r="J131" s="221" t="str">
        <f ca="1">_xll.DBRW(Server&amp;Cube1,$F$17,$F$18,$F$19,$F$16,$C$14,$F$15,$F$14,$F$20,J$2,J$1,$C131)</f>
        <v/>
      </c>
      <c r="K131" s="221" t="e">
        <f ca="1">_xll.DBRW(Server&amp;Cube1,$F$17,$F$18,$F$19,$F$16,$C$14,$F$15,$F$14,$F$20,I$2,I$1,$C131) -_xll.DBRW(Server&amp;Cube1,$F$17,$F$18,$F$19,$F$16,$C$14,$F$15,$F$14,$F$20,K$2,I$1,$C131)</f>
        <v>#VALUE!</v>
      </c>
      <c r="L131" s="221" t="e">
        <f t="shared" ca="1" si="5"/>
        <v>#VALUE!</v>
      </c>
      <c r="M131" s="221" t="e">
        <f t="shared" ca="1" si="4"/>
        <v>#VALUE!</v>
      </c>
      <c r="N131" s="226"/>
      <c r="O131" s="221" t="str">
        <f ca="1">_xll.DBRW(Server&amp;Cube1,$F$17,$F$18,$F$19,$F$16,$C$14,$F$15,$F$14,$F$20,O$2,O$1,$C131)</f>
        <v/>
      </c>
      <c r="P131" s="226"/>
      <c r="Q131" s="240" t="str">
        <f ca="1">IF(_xll.ELCOMPN(Server&amp;$C$24,C131)=0,"YES","NO")</f>
        <v>YES</v>
      </c>
      <c r="R131" s="241">
        <v>0</v>
      </c>
      <c r="S131" s="226"/>
      <c r="T131" s="227" t="str">
        <f ca="1">_xll.DBRW(Server&amp;Cube1,$F$17,$F$18,$F$19,$F$16,$C$14,$F$15,$F$14,$F$20,T$2,$T$1,$C131)</f>
        <v/>
      </c>
      <c r="U131" s="227" t="str">
        <f ca="1">_xll.DBRW(Server&amp;Cube1,$F$17,$F$18,$F$19,$F$16,$C$14,$F$15,$F$14,$F$20,U$2,$U$1,$C131)</f>
        <v/>
      </c>
      <c r="V131" s="227" t="str">
        <f ca="1">_xll.DBRW(Server&amp;Cube1,$F$17,$F$18,$F$19,$F$16,$C$14,$F$15,$F$14,$F$20,V$2,V$1,$C131)</f>
        <v/>
      </c>
      <c r="W131" s="227" t="str">
        <f ca="1">_xll.DBRW(Server&amp;Cube1,$F$17,$F$18,$F$19,$F$16,$C$14,$F$15,$F$14,$F$20,W$2,W$1,$C131)</f>
        <v/>
      </c>
      <c r="X131" s="227" t="str">
        <f ca="1">_xll.DBRW(Server&amp;Cube1,$F$17,$F$18,$F$19,$F$16,$C$14,$F$15,$F$14,$F$20,X$2,X$1,$C131)</f>
        <v/>
      </c>
      <c r="Y131" s="227" t="str">
        <f ca="1">_xll.DBRW(Server&amp;Cube1,$F$17,$F$18,$F$19,$F$16,$C$14,$F$15,$F$14,$F$20,Y$2,Y$1,$C131)</f>
        <v/>
      </c>
      <c r="Z131" s="241"/>
      <c r="AA131" s="241"/>
      <c r="AB131" s="241"/>
      <c r="AC131" s="241"/>
      <c r="AD131" s="241"/>
      <c r="AE131" s="241"/>
      <c r="AF131" s="221" t="str">
        <f ca="1">_xll.DBRW(Server&amp;Cube1,$F$17,$F$18,$F$19,$F$16,$C$14,$F$15,$F$14,$F$20,AF$2,$AF$1,$C131)</f>
        <v/>
      </c>
      <c r="AG131" s="53"/>
      <c r="AH131" s="53"/>
      <c r="AI131" s="53"/>
      <c r="AJ131" s="53"/>
      <c r="AK131" s="53"/>
      <c r="AL131" s="53"/>
      <c r="AM131" s="53"/>
      <c r="AN131" s="53"/>
      <c r="AO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1:53" s="9" customFormat="1" ht="24.95" customHeight="1" x14ac:dyDescent="0.35">
      <c r="A132" s="181" t="e">
        <f ca="1">IF($AT$35="YES",1,IF(_xll.ELCOMPN(Server&amp;$C$24,C132)&lt;&gt;0,1,IF(OR(B132=$AZ$35,B132="ALL"),1,0)))</f>
        <v>#VALUE!</v>
      </c>
      <c r="B132" s="163" t="str">
        <f t="shared" si="6"/>
        <v>GS</v>
      </c>
      <c r="C132" s="158" t="s">
        <v>235</v>
      </c>
      <c r="E132" s="268" t="str">
        <f ca="1">_xll.DBRA(Server&amp;$C$24,$C132,$F$21)</f>
        <v>Honoraires &amp; Conseil Abonnés (SG)</v>
      </c>
      <c r="F132" s="268"/>
      <c r="G132" s="268"/>
      <c r="H132" s="40"/>
      <c r="I132" s="221" t="str">
        <f ca="1">_xll.DBRW(Server&amp;Cube1,$F$17,$F$18,$F$19,$F$16,$C$14,$F$15,$F$14,$F$20,I$2,I$1,$C132)</f>
        <v/>
      </c>
      <c r="J132" s="221" t="str">
        <f ca="1">_xll.DBRW(Server&amp;Cube1,$F$17,$F$18,$F$19,$F$16,$C$14,$F$15,$F$14,$F$20,J$2,J$1,$C132)</f>
        <v/>
      </c>
      <c r="K132" s="221" t="e">
        <f ca="1">_xll.DBRW(Server&amp;Cube1,$F$17,$F$18,$F$19,$F$16,$C$14,$F$15,$F$14,$F$20,I$2,I$1,$C132) -_xll.DBRW(Server&amp;Cube1,$F$17,$F$18,$F$19,$F$16,$C$14,$F$15,$F$14,$F$20,K$2,I$1,$C132)</f>
        <v>#VALUE!</v>
      </c>
      <c r="L132" s="221" t="e">
        <f t="shared" ca="1" si="5"/>
        <v>#VALUE!</v>
      </c>
      <c r="M132" s="221" t="e">
        <f t="shared" ca="1" si="4"/>
        <v>#VALUE!</v>
      </c>
      <c r="N132" s="226"/>
      <c r="O132" s="221" t="str">
        <f ca="1">_xll.DBRW(Server&amp;Cube1,$F$17,$F$18,$F$19,$F$16,$C$14,$F$15,$F$14,$F$20,O$2,O$1,$C132)</f>
        <v/>
      </c>
      <c r="P132" s="226"/>
      <c r="Q132" s="240" t="str">
        <f ca="1">IF(_xll.ELCOMPN(Server&amp;$C$24,C132)=0,"YES","NO")</f>
        <v>YES</v>
      </c>
      <c r="R132" s="241">
        <v>0</v>
      </c>
      <c r="S132" s="226"/>
      <c r="T132" s="227" t="str">
        <f ca="1">_xll.DBRW(Server&amp;Cube1,$F$17,$F$18,$F$19,$F$16,$C$14,$F$15,$F$14,$F$20,T$2,$T$1,$C132)</f>
        <v/>
      </c>
      <c r="U132" s="227" t="str">
        <f ca="1">_xll.DBRW(Server&amp;Cube1,$F$17,$F$18,$F$19,$F$16,$C$14,$F$15,$F$14,$F$20,U$2,$U$1,$C132)</f>
        <v/>
      </c>
      <c r="V132" s="227" t="str">
        <f ca="1">_xll.DBRW(Server&amp;Cube1,$F$17,$F$18,$F$19,$F$16,$C$14,$F$15,$F$14,$F$20,V$2,V$1,$C132)</f>
        <v/>
      </c>
      <c r="W132" s="227" t="str">
        <f ca="1">_xll.DBRW(Server&amp;Cube1,$F$17,$F$18,$F$19,$F$16,$C$14,$F$15,$F$14,$F$20,W$2,W$1,$C132)</f>
        <v/>
      </c>
      <c r="X132" s="227" t="str">
        <f ca="1">_xll.DBRW(Server&amp;Cube1,$F$17,$F$18,$F$19,$F$16,$C$14,$F$15,$F$14,$F$20,X$2,X$1,$C132)</f>
        <v/>
      </c>
      <c r="Y132" s="227" t="str">
        <f ca="1">_xll.DBRW(Server&amp;Cube1,$F$17,$F$18,$F$19,$F$16,$C$14,$F$15,$F$14,$F$20,Y$2,Y$1,$C132)</f>
        <v/>
      </c>
      <c r="Z132" s="241"/>
      <c r="AA132" s="241"/>
      <c r="AB132" s="241"/>
      <c r="AC132" s="241"/>
      <c r="AD132" s="241"/>
      <c r="AE132" s="241"/>
      <c r="AF132" s="221" t="str">
        <f ca="1">_xll.DBRW(Server&amp;Cube1,$F$17,$F$18,$F$19,$F$16,$C$14,$F$15,$F$14,$F$20,AF$2,$AF$1,$C132)</f>
        <v/>
      </c>
      <c r="AG132" s="53"/>
      <c r="AH132" s="53"/>
      <c r="AI132" s="53"/>
      <c r="AJ132" s="53"/>
      <c r="AK132" s="53"/>
      <c r="AL132" s="53"/>
      <c r="AM132" s="53"/>
      <c r="AN132" s="53"/>
      <c r="AO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1:53" s="9" customFormat="1" ht="24.95" customHeight="1" x14ac:dyDescent="0.35">
      <c r="A133" s="181" t="e">
        <f ca="1">IF($AT$35="YES",1,IF(_xll.ELCOMPN(Server&amp;$C$24,C133)&lt;&gt;0,1,IF(OR(B133=$AZ$35,B133="ALL"),1,0)))</f>
        <v>#VALUE!</v>
      </c>
      <c r="B133" s="163" t="str">
        <f t="shared" si="6"/>
        <v>RD</v>
      </c>
      <c r="C133" s="158" t="s">
        <v>236</v>
      </c>
      <c r="E133" s="268" t="str">
        <f ca="1">_xll.DBRA(Server&amp;$C$24,$C133,$F$21)</f>
        <v>Honoraires &amp; Conseil Abonnés (RD)</v>
      </c>
      <c r="F133" s="268"/>
      <c r="G133" s="268"/>
      <c r="H133" s="40"/>
      <c r="I133" s="221" t="str">
        <f ca="1">_xll.DBRW(Server&amp;Cube1,$F$17,$F$18,$F$19,$F$16,$C$14,$F$15,$F$14,$F$20,I$2,I$1,$C133)</f>
        <v/>
      </c>
      <c r="J133" s="221" t="str">
        <f ca="1">_xll.DBRW(Server&amp;Cube1,$F$17,$F$18,$F$19,$F$16,$C$14,$F$15,$F$14,$F$20,J$2,J$1,$C133)</f>
        <v/>
      </c>
      <c r="K133" s="221" t="e">
        <f ca="1">_xll.DBRW(Server&amp;Cube1,$F$17,$F$18,$F$19,$F$16,$C$14,$F$15,$F$14,$F$20,I$2,I$1,$C133) -_xll.DBRW(Server&amp;Cube1,$F$17,$F$18,$F$19,$F$16,$C$14,$F$15,$F$14,$F$20,K$2,I$1,$C133)</f>
        <v>#VALUE!</v>
      </c>
      <c r="L133" s="221" t="e">
        <f t="shared" ca="1" si="5"/>
        <v>#VALUE!</v>
      </c>
      <c r="M133" s="221" t="e">
        <f t="shared" ca="1" si="4"/>
        <v>#VALUE!</v>
      </c>
      <c r="N133" s="226"/>
      <c r="O133" s="221" t="str">
        <f ca="1">_xll.DBRW(Server&amp;Cube1,$F$17,$F$18,$F$19,$F$16,$C$14,$F$15,$F$14,$F$20,O$2,O$1,$C133)</f>
        <v/>
      </c>
      <c r="P133" s="226"/>
      <c r="Q133" s="240" t="str">
        <f ca="1">IF(_xll.ELCOMPN(Server&amp;$C$24,C133)=0,"YES","NO")</f>
        <v>YES</v>
      </c>
      <c r="R133" s="241">
        <v>0</v>
      </c>
      <c r="S133" s="226"/>
      <c r="T133" s="227" t="str">
        <f ca="1">_xll.DBRW(Server&amp;Cube1,$F$17,$F$18,$F$19,$F$16,$C$14,$F$15,$F$14,$F$20,T$2,$T$1,$C133)</f>
        <v/>
      </c>
      <c r="U133" s="227" t="str">
        <f ca="1">_xll.DBRW(Server&amp;Cube1,$F$17,$F$18,$F$19,$F$16,$C$14,$F$15,$F$14,$F$20,U$2,$U$1,$C133)</f>
        <v/>
      </c>
      <c r="V133" s="227" t="str">
        <f ca="1">_xll.DBRW(Server&amp;Cube1,$F$17,$F$18,$F$19,$F$16,$C$14,$F$15,$F$14,$F$20,V$2,V$1,$C133)</f>
        <v/>
      </c>
      <c r="W133" s="227" t="str">
        <f ca="1">_xll.DBRW(Server&amp;Cube1,$F$17,$F$18,$F$19,$F$16,$C$14,$F$15,$F$14,$F$20,W$2,W$1,$C133)</f>
        <v/>
      </c>
      <c r="X133" s="227" t="str">
        <f ca="1">_xll.DBRW(Server&amp;Cube1,$F$17,$F$18,$F$19,$F$16,$C$14,$F$15,$F$14,$F$20,X$2,X$1,$C133)</f>
        <v/>
      </c>
      <c r="Y133" s="227" t="str">
        <f ca="1">_xll.DBRW(Server&amp;Cube1,$F$17,$F$18,$F$19,$F$16,$C$14,$F$15,$F$14,$F$20,Y$2,Y$1,$C133)</f>
        <v/>
      </c>
      <c r="Z133" s="241"/>
      <c r="AA133" s="241"/>
      <c r="AB133" s="241"/>
      <c r="AC133" s="241"/>
      <c r="AD133" s="241"/>
      <c r="AE133" s="241"/>
      <c r="AF133" s="221" t="str">
        <f ca="1">_xll.DBRW(Server&amp;Cube1,$F$17,$F$18,$F$19,$F$16,$C$14,$F$15,$F$14,$F$20,AF$2,$AF$1,$C133)</f>
        <v/>
      </c>
      <c r="AG133" s="53"/>
      <c r="AH133" s="53"/>
      <c r="AI133" s="53"/>
      <c r="AJ133" s="53"/>
      <c r="AK133" s="53"/>
      <c r="AL133" s="53"/>
      <c r="AM133" s="53"/>
      <c r="AN133" s="53"/>
      <c r="AO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1:53" s="9" customFormat="1" ht="24.95" customHeight="1" collapsed="1" x14ac:dyDescent="0.35">
      <c r="A134" s="181">
        <f ca="1">IF($AT$35="YES",1,IF(_xll.ELCOMPN(Server&amp;$C$24,C134)&lt;&gt;0,1,IF(OR(B134=$AZ$35,B134="ALL"),1,0)))</f>
        <v>1</v>
      </c>
      <c r="B134" s="163" t="str">
        <f t="shared" si="6"/>
        <v>sp</v>
      </c>
      <c r="C134" s="117" t="s">
        <v>95</v>
      </c>
      <c r="E134" s="270" t="str">
        <f ca="1">_xll.DBRA(Server&amp;$C$24,$C134,$F$21)</f>
        <v>Publication, Sponsoring, cadeaux, Publicité et promotion</v>
      </c>
      <c r="F134" s="270"/>
      <c r="G134" s="270"/>
      <c r="H134" s="40"/>
      <c r="I134" s="221" t="str">
        <f ca="1">_xll.DBRW(Server&amp;Cube1,$F$17,$F$18,$F$19,$F$16,$C$14,$F$15,$F$14,$F$20,I$2,I$1,$C134)</f>
        <v/>
      </c>
      <c r="J134" s="221" t="str">
        <f ca="1">_xll.DBRW(Server&amp;Cube1,$F$17,$F$18,$F$19,$F$16,$C$14,$F$15,$F$14,$F$20,J$2,J$1,$C134)</f>
        <v/>
      </c>
      <c r="K134" s="221" t="e">
        <f ca="1">_xll.DBRW(Server&amp;Cube1,$F$17,$F$18,$F$19,$F$16,$C$14,$F$15,$F$14,$F$20,I$2,I$1,$C134) -_xll.DBRW(Server&amp;Cube1,$F$17,$F$18,$F$19,$F$16,$C$14,$F$15,$F$14,$F$20,K$2,I$1,$C134)</f>
        <v>#VALUE!</v>
      </c>
      <c r="L134" s="221" t="e">
        <f t="shared" ca="1" si="5"/>
        <v>#VALUE!</v>
      </c>
      <c r="M134" s="221" t="e">
        <f t="shared" ca="1" si="4"/>
        <v>#VALUE!</v>
      </c>
      <c r="N134" s="229"/>
      <c r="O134" s="229" t="str">
        <f ca="1">_xll.DBRW(Server&amp;Cube1,$F$17,$F$18,$F$19,$F$16,$C$14,$F$15,$F$14,$F$20,O$2,O$1,$C134)</f>
        <v/>
      </c>
      <c r="P134" s="229"/>
      <c r="Q134" s="240" t="str">
        <f ca="1">IF(_xll.ELCOMPN(Server&amp;$C$24,C134)=0,"YES","NO")</f>
        <v>NO</v>
      </c>
      <c r="R134" s="229"/>
      <c r="S134" s="229"/>
      <c r="T134" s="230" t="str">
        <f ca="1">_xll.DBRW(Server&amp;Cube1,$F$17,$F$18,$F$19,$F$16,$C$14,$F$15,$F$14,$F$20,T$2,$T$1,$C134)</f>
        <v/>
      </c>
      <c r="U134" s="230" t="str">
        <f ca="1">_xll.DBRW(Server&amp;Cube1,$F$17,$F$18,$F$19,$F$16,$C$14,$F$15,$F$14,$F$20,U$2,$U$1,$C134)</f>
        <v/>
      </c>
      <c r="V134" s="230" t="str">
        <f ca="1">_xll.DBRW(Server&amp;Cube1,$F$17,$F$18,$F$19,$F$16,$C$14,$F$15,$F$14,$F$20,V$2,V$1,$C134)</f>
        <v/>
      </c>
      <c r="W134" s="230" t="str">
        <f ca="1">_xll.DBRW(Server&amp;Cube1,$F$17,$F$18,$F$19,$F$16,$C$14,$F$15,$F$14,$F$20,W$2,W$1,$C134)</f>
        <v/>
      </c>
      <c r="X134" s="229" t="str">
        <f ca="1">_xll.DBRW(Server&amp;Cube1,$F$17,$F$18,$F$19,$F$16,$C$14,$F$15,$F$14,$F$20,X$2,X$1,$C134)</f>
        <v/>
      </c>
      <c r="Y134" s="229" t="str">
        <f ca="1">_xll.DBRW(Server&amp;Cube1,$F$17,$F$18,$F$19,$F$16,$C$14,$F$15,$F$14,$F$20,Y$2,Y$1,$C134)</f>
        <v/>
      </c>
      <c r="Z134" s="229" t="str">
        <f ca="1">_xll.DBRW(Server&amp;Cube1,$F$17,$F$18,$F$19,$F$16,$C$14,$F$15,$F$14,$F$20,Z$2,Z$1,$C134)</f>
        <v/>
      </c>
      <c r="AA134" s="229" t="str">
        <f ca="1">_xll.DBRW(Server&amp;Cube1,$F$17,$F$18,$F$19,$F$16,$C$14,$F$15,$F$14,$F$20,AA$2,AA$1,$C134)</f>
        <v/>
      </c>
      <c r="AB134" s="229" t="str">
        <f ca="1">_xll.DBRW(Server&amp;Cube1,$F$17,$F$18,$F$19,$F$16,$C$14,$F$15,$F$14,$F$20,AB$2,AB$1,$C134)</f>
        <v/>
      </c>
      <c r="AC134" s="229" t="str">
        <f ca="1">_xll.DBRW(Server&amp;Cube1,$F$17,$F$18,$F$19,$F$16,$C$14,$F$15,$F$14,$F$20,AC$2,AC$1,$C134)</f>
        <v/>
      </c>
      <c r="AD134" s="229" t="str">
        <f ca="1">_xll.DBRW(Server&amp;Cube1,$F$17,$F$18,$F$19,$F$16,$C$14,$F$15,$F$14,$F$20,AD$2,AD$1,$C134)</f>
        <v/>
      </c>
      <c r="AE134" s="229" t="str">
        <f ca="1">_xll.DBRW(Server&amp;Cube1,$F$17,$F$18,$F$19,$F$16,$C$14,$F$15,$F$14,$F$20,AE$2,AE$1,$C134)</f>
        <v/>
      </c>
      <c r="AF134" s="229" t="str">
        <f ca="1">_xll.DBRW(Server&amp;Cube1,$F$17,$F$18,$F$19,$F$16,$C$14,$F$15,$F$14,$F$20,AF$2,$AF$1,$C134)</f>
        <v/>
      </c>
      <c r="AG134" s="53"/>
      <c r="AH134" s="53"/>
      <c r="AI134" s="53"/>
      <c r="AJ134" s="53"/>
      <c r="AK134" s="53"/>
      <c r="AL134" s="53"/>
      <c r="AM134" s="53"/>
      <c r="AN134" s="53"/>
      <c r="AO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1:53" s="9" customFormat="1" ht="24.95" customHeight="1" x14ac:dyDescent="0.35">
      <c r="A135" s="181" t="e">
        <f ca="1">IF($AT$35="YES",1,IF(_xll.ELCOMPN(Server&amp;$C$24,C135)&lt;&gt;0,1,IF(OR(B135=$AZ$35,B135="ALL"),1,0)))</f>
        <v>#VALUE!</v>
      </c>
      <c r="B135" s="163" t="str">
        <f t="shared" si="6"/>
        <v>DS</v>
      </c>
      <c r="C135" s="158" t="s">
        <v>237</v>
      </c>
      <c r="E135" s="268" t="str">
        <f ca="1">_xll.DBRA(Server&amp;$C$24,$C135,$F$21)</f>
        <v>Publication, Sponsoring, cadeaux, Publicité et promotion (SO)</v>
      </c>
      <c r="F135" s="268"/>
      <c r="G135" s="268"/>
      <c r="H135" s="40"/>
      <c r="I135" s="221" t="str">
        <f ca="1">_xll.DBRW(Server&amp;Cube1,$F$17,$F$18,$F$19,$F$16,$C$14,$F$15,$F$14,$F$20,I$2,I$1,$C135)</f>
        <v/>
      </c>
      <c r="J135" s="221" t="str">
        <f ca="1">_xll.DBRW(Server&amp;Cube1,$F$17,$F$18,$F$19,$F$16,$C$14,$F$15,$F$14,$F$20,J$2,J$1,$C135)</f>
        <v/>
      </c>
      <c r="K135" s="221" t="e">
        <f ca="1">_xll.DBRW(Server&amp;Cube1,$F$17,$F$18,$F$19,$F$16,$C$14,$F$15,$F$14,$F$20,I$2,I$1,$C135) -_xll.DBRW(Server&amp;Cube1,$F$17,$F$18,$F$19,$F$16,$C$14,$F$15,$F$14,$F$20,K$2,I$1,$C135)</f>
        <v>#VALUE!</v>
      </c>
      <c r="L135" s="221" t="e">
        <f t="shared" ca="1" si="5"/>
        <v>#VALUE!</v>
      </c>
      <c r="M135" s="221" t="e">
        <f t="shared" ca="1" si="4"/>
        <v>#VALUE!</v>
      </c>
      <c r="N135" s="226"/>
      <c r="O135" s="221" t="str">
        <f ca="1">_xll.DBRW(Server&amp;Cube1,$F$17,$F$18,$F$19,$F$16,$C$14,$F$15,$F$14,$F$20,O$2,O$1,$C135)</f>
        <v/>
      </c>
      <c r="P135" s="226"/>
      <c r="Q135" s="240" t="str">
        <f ca="1">IF(_xll.ELCOMPN(Server&amp;$C$24,C135)=0,"YES","NO")</f>
        <v>YES</v>
      </c>
      <c r="R135" s="241">
        <v>0</v>
      </c>
      <c r="S135" s="226"/>
      <c r="T135" s="227" t="str">
        <f ca="1">_xll.DBRW(Server&amp;Cube1,$F$17,$F$18,$F$19,$F$16,$C$14,$F$15,$F$14,$F$20,T$2,$T$1,$C135)</f>
        <v/>
      </c>
      <c r="U135" s="227" t="str">
        <f ca="1">_xll.DBRW(Server&amp;Cube1,$F$17,$F$18,$F$19,$F$16,$C$14,$F$15,$F$14,$F$20,U$2,$U$1,$C135)</f>
        <v/>
      </c>
      <c r="V135" s="227" t="str">
        <f ca="1">_xll.DBRW(Server&amp;Cube1,$F$17,$F$18,$F$19,$F$16,$C$14,$F$15,$F$14,$F$20,V$2,V$1,$C135)</f>
        <v/>
      </c>
      <c r="W135" s="227" t="str">
        <f ca="1">_xll.DBRW(Server&amp;Cube1,$F$17,$F$18,$F$19,$F$16,$C$14,$F$15,$F$14,$F$20,W$2,W$1,$C135)</f>
        <v/>
      </c>
      <c r="X135" s="227" t="str">
        <f ca="1">_xll.DBRW(Server&amp;Cube1,$F$17,$F$18,$F$19,$F$16,$C$14,$F$15,$F$14,$F$20,X$2,X$1,$C135)</f>
        <v/>
      </c>
      <c r="Y135" s="227" t="str">
        <f ca="1">_xll.DBRW(Server&amp;Cube1,$F$17,$F$18,$F$19,$F$16,$C$14,$F$15,$F$14,$F$20,Y$2,Y$1,$C135)</f>
        <v/>
      </c>
      <c r="Z135" s="241"/>
      <c r="AA135" s="241"/>
      <c r="AB135" s="241"/>
      <c r="AC135" s="241"/>
      <c r="AD135" s="241"/>
      <c r="AE135" s="241"/>
      <c r="AF135" s="221" t="str">
        <f ca="1">_xll.DBRW(Server&amp;Cube1,$F$17,$F$18,$F$19,$F$16,$C$14,$F$15,$F$14,$F$20,AF$2,$AF$1,$C135)</f>
        <v/>
      </c>
      <c r="AG135" s="53"/>
      <c r="AH135" s="53"/>
      <c r="AI135" s="53"/>
      <c r="AJ135" s="53"/>
      <c r="AK135" s="53"/>
      <c r="AL135" s="53"/>
      <c r="AM135" s="53"/>
      <c r="AN135" s="53"/>
      <c r="AO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1:53" s="9" customFormat="1" ht="24.95" customHeight="1" x14ac:dyDescent="0.35">
      <c r="A136" s="181" t="e">
        <f ca="1">IF($AT$35="YES",1,IF(_xll.ELCOMPN(Server&amp;$C$24,C136)&lt;&gt;0,1,IF(OR(B136=$AZ$35,B136="ALL"),1,0)))</f>
        <v>#VALUE!</v>
      </c>
      <c r="B136" s="163" t="str">
        <f t="shared" si="6"/>
        <v>BD</v>
      </c>
      <c r="C136" s="158" t="s">
        <v>238</v>
      </c>
      <c r="E136" s="268" t="str">
        <f ca="1">_xll.DBRA(Server&amp;$C$24,$C136,$F$21)</f>
        <v>Publication, Sponsoring, cadeaux, Publicité et promotion (DC)</v>
      </c>
      <c r="F136" s="268"/>
      <c r="G136" s="268"/>
      <c r="H136" s="40"/>
      <c r="I136" s="221" t="str">
        <f ca="1">_xll.DBRW(Server&amp;Cube1,$F$17,$F$18,$F$19,$F$16,$C$14,$F$15,$F$14,$F$20,I$2,I$1,$C136)</f>
        <v/>
      </c>
      <c r="J136" s="221" t="str">
        <f ca="1">_xll.DBRW(Server&amp;Cube1,$F$17,$F$18,$F$19,$F$16,$C$14,$F$15,$F$14,$F$20,J$2,J$1,$C136)</f>
        <v/>
      </c>
      <c r="K136" s="221" t="e">
        <f ca="1">_xll.DBRW(Server&amp;Cube1,$F$17,$F$18,$F$19,$F$16,$C$14,$F$15,$F$14,$F$20,I$2,I$1,$C136) -_xll.DBRW(Server&amp;Cube1,$F$17,$F$18,$F$19,$F$16,$C$14,$F$15,$F$14,$F$20,K$2,I$1,$C136)</f>
        <v>#VALUE!</v>
      </c>
      <c r="L136" s="221" t="e">
        <f t="shared" ca="1" si="5"/>
        <v>#VALUE!</v>
      </c>
      <c r="M136" s="221" t="e">
        <f t="shared" ca="1" si="4"/>
        <v>#VALUE!</v>
      </c>
      <c r="N136" s="226"/>
      <c r="O136" s="221" t="str">
        <f ca="1">_xll.DBRW(Server&amp;Cube1,$F$17,$F$18,$F$19,$F$16,$C$14,$F$15,$F$14,$F$20,O$2,O$1,$C136)</f>
        <v/>
      </c>
      <c r="P136" s="226"/>
      <c r="Q136" s="240" t="str">
        <f ca="1">IF(_xll.ELCOMPN(Server&amp;$C$24,C136)=0,"YES","NO")</f>
        <v>YES</v>
      </c>
      <c r="R136" s="241">
        <v>0</v>
      </c>
      <c r="S136" s="226"/>
      <c r="T136" s="227" t="str">
        <f ca="1">_xll.DBRW(Server&amp;Cube1,$F$17,$F$18,$F$19,$F$16,$C$14,$F$15,$F$14,$F$20,T$2,$T$1,$C136)</f>
        <v/>
      </c>
      <c r="U136" s="227" t="str">
        <f ca="1">_xll.DBRW(Server&amp;Cube1,$F$17,$F$18,$F$19,$F$16,$C$14,$F$15,$F$14,$F$20,U$2,$U$1,$C136)</f>
        <v/>
      </c>
      <c r="V136" s="227" t="str">
        <f ca="1">_xll.DBRW(Server&amp;Cube1,$F$17,$F$18,$F$19,$F$16,$C$14,$F$15,$F$14,$F$20,V$2,V$1,$C136)</f>
        <v/>
      </c>
      <c r="W136" s="227" t="str">
        <f ca="1">_xll.DBRW(Server&amp;Cube1,$F$17,$F$18,$F$19,$F$16,$C$14,$F$15,$F$14,$F$20,W$2,W$1,$C136)</f>
        <v/>
      </c>
      <c r="X136" s="227" t="str">
        <f ca="1">_xll.DBRW(Server&amp;Cube1,$F$17,$F$18,$F$19,$F$16,$C$14,$F$15,$F$14,$F$20,X$2,X$1,$C136)</f>
        <v/>
      </c>
      <c r="Y136" s="227" t="str">
        <f ca="1">_xll.DBRW(Server&amp;Cube1,$F$17,$F$18,$F$19,$F$16,$C$14,$F$15,$F$14,$F$20,Y$2,Y$1,$C136)</f>
        <v/>
      </c>
      <c r="Z136" s="241"/>
      <c r="AA136" s="241"/>
      <c r="AB136" s="241"/>
      <c r="AC136" s="241"/>
      <c r="AD136" s="241"/>
      <c r="AE136" s="241"/>
      <c r="AF136" s="221" t="str">
        <f ca="1">_xll.DBRW(Server&amp;Cube1,$F$17,$F$18,$F$19,$F$16,$C$14,$F$15,$F$14,$F$20,AF$2,$AF$1,$C136)</f>
        <v/>
      </c>
      <c r="AG136" s="53"/>
      <c r="AH136" s="53"/>
      <c r="AI136" s="53"/>
      <c r="AJ136" s="53"/>
      <c r="AK136" s="53"/>
      <c r="AL136" s="53"/>
      <c r="AM136" s="53"/>
      <c r="AN136" s="53"/>
      <c r="AO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1:53" s="9" customFormat="1" ht="24.95" customHeight="1" x14ac:dyDescent="0.35">
      <c r="A137" s="181" t="e">
        <f ca="1">IF($AT$35="YES",1,IF(_xll.ELCOMPN(Server&amp;$C$24,C137)&lt;&gt;0,1,IF(OR(B137=$AZ$35,B137="ALL"),1,0)))</f>
        <v>#VALUE!</v>
      </c>
      <c r="B137" s="163" t="str">
        <f t="shared" si="6"/>
        <v>FI</v>
      </c>
      <c r="C137" s="158" t="s">
        <v>239</v>
      </c>
      <c r="E137" s="268" t="str">
        <f ca="1">_xll.DBRA(Server&amp;$C$24,$C137,$F$21)</f>
        <v>Publication, Sponsoring, cadeaux, Publicité et promotion (DF)</v>
      </c>
      <c r="F137" s="268"/>
      <c r="G137" s="268"/>
      <c r="H137" s="40"/>
      <c r="I137" s="221" t="str">
        <f ca="1">_xll.DBRW(Server&amp;Cube1,$F$17,$F$18,$F$19,$F$16,$C$14,$F$15,$F$14,$F$20,I$2,I$1,$C137)</f>
        <v/>
      </c>
      <c r="J137" s="221" t="str">
        <f ca="1">_xll.DBRW(Server&amp;Cube1,$F$17,$F$18,$F$19,$F$16,$C$14,$F$15,$F$14,$F$20,J$2,J$1,$C137)</f>
        <v/>
      </c>
      <c r="K137" s="221" t="e">
        <f ca="1">_xll.DBRW(Server&amp;Cube1,$F$17,$F$18,$F$19,$F$16,$C$14,$F$15,$F$14,$F$20,I$2,I$1,$C137) -_xll.DBRW(Server&amp;Cube1,$F$17,$F$18,$F$19,$F$16,$C$14,$F$15,$F$14,$F$20,K$2,I$1,$C137)</f>
        <v>#VALUE!</v>
      </c>
      <c r="L137" s="221" t="e">
        <f t="shared" ca="1" si="5"/>
        <v>#VALUE!</v>
      </c>
      <c r="M137" s="221" t="e">
        <f t="shared" ca="1" si="4"/>
        <v>#VALUE!</v>
      </c>
      <c r="N137" s="226"/>
      <c r="O137" s="221" t="str">
        <f ca="1">_xll.DBRW(Server&amp;Cube1,$F$17,$F$18,$F$19,$F$16,$C$14,$F$15,$F$14,$F$20,O$2,O$1,$C137)</f>
        <v/>
      </c>
      <c r="P137" s="226"/>
      <c r="Q137" s="240" t="str">
        <f ca="1">IF(_xll.ELCOMPN(Server&amp;$C$24,C137)=0,"YES","NO")</f>
        <v>YES</v>
      </c>
      <c r="R137" s="241">
        <v>0</v>
      </c>
      <c r="S137" s="226"/>
      <c r="T137" s="227" t="str">
        <f ca="1">_xll.DBRW(Server&amp;Cube1,$F$17,$F$18,$F$19,$F$16,$C$14,$F$15,$F$14,$F$20,T$2,$T$1,$C137)</f>
        <v/>
      </c>
      <c r="U137" s="227" t="str">
        <f ca="1">_xll.DBRW(Server&amp;Cube1,$F$17,$F$18,$F$19,$F$16,$C$14,$F$15,$F$14,$F$20,U$2,$U$1,$C137)</f>
        <v/>
      </c>
      <c r="V137" s="227" t="str">
        <f ca="1">_xll.DBRW(Server&amp;Cube1,$F$17,$F$18,$F$19,$F$16,$C$14,$F$15,$F$14,$F$20,V$2,V$1,$C137)</f>
        <v/>
      </c>
      <c r="W137" s="227" t="str">
        <f ca="1">_xll.DBRW(Server&amp;Cube1,$F$17,$F$18,$F$19,$F$16,$C$14,$F$15,$F$14,$F$20,W$2,W$1,$C137)</f>
        <v/>
      </c>
      <c r="X137" s="227" t="str">
        <f ca="1">_xll.DBRW(Server&amp;Cube1,$F$17,$F$18,$F$19,$F$16,$C$14,$F$15,$F$14,$F$20,X$2,X$1,$C137)</f>
        <v/>
      </c>
      <c r="Y137" s="227" t="str">
        <f ca="1">_xll.DBRW(Server&amp;Cube1,$F$17,$F$18,$F$19,$F$16,$C$14,$F$15,$F$14,$F$20,Y$2,Y$1,$C137)</f>
        <v/>
      </c>
      <c r="Z137" s="241"/>
      <c r="AA137" s="241"/>
      <c r="AB137" s="241"/>
      <c r="AC137" s="241"/>
      <c r="AD137" s="241"/>
      <c r="AE137" s="241"/>
      <c r="AF137" s="221" t="str">
        <f ca="1">_xll.DBRW(Server&amp;Cube1,$F$17,$F$18,$F$19,$F$16,$C$14,$F$15,$F$14,$F$20,AF$2,$AF$1,$C137)</f>
        <v/>
      </c>
      <c r="AG137" s="53"/>
      <c r="AH137" s="53"/>
      <c r="AI137" s="53"/>
      <c r="AJ137" s="53"/>
      <c r="AK137" s="53"/>
      <c r="AL137" s="53"/>
      <c r="AM137" s="53"/>
      <c r="AN137" s="53"/>
      <c r="AO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1:53" s="9" customFormat="1" ht="24.95" customHeight="1" x14ac:dyDescent="0.35">
      <c r="A138" s="181" t="e">
        <f ca="1">IF($AT$35="YES",1,IF(_xll.ELCOMPN(Server&amp;$C$24,C138)&lt;&gt;0,1,IF(OR(B138=$AZ$35,B138="ALL"),1,0)))</f>
        <v>#VALUE!</v>
      </c>
      <c r="B138" s="163" t="str">
        <f t="shared" si="6"/>
        <v>IT</v>
      </c>
      <c r="C138" s="158" t="s">
        <v>240</v>
      </c>
      <c r="E138" s="268" t="str">
        <f ca="1">_xll.DBRA(Server&amp;$C$24,$C138,$F$21)</f>
        <v>Publication, Sponsoring, cadeaux, Publicité et promotion (IT)</v>
      </c>
      <c r="F138" s="268"/>
      <c r="G138" s="268"/>
      <c r="H138" s="40"/>
      <c r="I138" s="221" t="str">
        <f ca="1">_xll.DBRW(Server&amp;Cube1,$F$17,$F$18,$F$19,$F$16,$C$14,$F$15,$F$14,$F$20,I$2,I$1,$C138)</f>
        <v/>
      </c>
      <c r="J138" s="221" t="str">
        <f ca="1">_xll.DBRW(Server&amp;Cube1,$F$17,$F$18,$F$19,$F$16,$C$14,$F$15,$F$14,$F$20,J$2,J$1,$C138)</f>
        <v/>
      </c>
      <c r="K138" s="221" t="e">
        <f ca="1">_xll.DBRW(Server&amp;Cube1,$F$17,$F$18,$F$19,$F$16,$C$14,$F$15,$F$14,$F$20,I$2,I$1,$C138) -_xll.DBRW(Server&amp;Cube1,$F$17,$F$18,$F$19,$F$16,$C$14,$F$15,$F$14,$F$20,K$2,I$1,$C138)</f>
        <v>#VALUE!</v>
      </c>
      <c r="L138" s="221" t="e">
        <f t="shared" ca="1" si="5"/>
        <v>#VALUE!</v>
      </c>
      <c r="M138" s="221" t="e">
        <f t="shared" ca="1" si="4"/>
        <v>#VALUE!</v>
      </c>
      <c r="N138" s="226"/>
      <c r="O138" s="221" t="str">
        <f ca="1">_xll.DBRW(Server&amp;Cube1,$F$17,$F$18,$F$19,$F$16,$C$14,$F$15,$F$14,$F$20,O$2,O$1,$C138)</f>
        <v/>
      </c>
      <c r="P138" s="226"/>
      <c r="Q138" s="240" t="str">
        <f ca="1">IF(_xll.ELCOMPN(Server&amp;$C$24,C138)=0,"YES","NO")</f>
        <v>YES</v>
      </c>
      <c r="R138" s="241">
        <v>0</v>
      </c>
      <c r="S138" s="226"/>
      <c r="T138" s="227" t="str">
        <f ca="1">_xll.DBRW(Server&amp;Cube1,$F$17,$F$18,$F$19,$F$16,$C$14,$F$15,$F$14,$F$20,T$2,$T$1,$C138)</f>
        <v/>
      </c>
      <c r="U138" s="227" t="str">
        <f ca="1">_xll.DBRW(Server&amp;Cube1,$F$17,$F$18,$F$19,$F$16,$C$14,$F$15,$F$14,$F$20,U$2,$U$1,$C138)</f>
        <v/>
      </c>
      <c r="V138" s="227" t="str">
        <f ca="1">_xll.DBRW(Server&amp;Cube1,$F$17,$F$18,$F$19,$F$16,$C$14,$F$15,$F$14,$F$20,V$2,V$1,$C138)</f>
        <v/>
      </c>
      <c r="W138" s="227" t="str">
        <f ca="1">_xll.DBRW(Server&amp;Cube1,$F$17,$F$18,$F$19,$F$16,$C$14,$F$15,$F$14,$F$20,W$2,W$1,$C138)</f>
        <v/>
      </c>
      <c r="X138" s="227" t="str">
        <f ca="1">_xll.DBRW(Server&amp;Cube1,$F$17,$F$18,$F$19,$F$16,$C$14,$F$15,$F$14,$F$20,X$2,X$1,$C138)</f>
        <v/>
      </c>
      <c r="Y138" s="227" t="str">
        <f ca="1">_xll.DBRW(Server&amp;Cube1,$F$17,$F$18,$F$19,$F$16,$C$14,$F$15,$F$14,$F$20,Y$2,Y$1,$C138)</f>
        <v/>
      </c>
      <c r="Z138" s="241"/>
      <c r="AA138" s="241"/>
      <c r="AB138" s="241"/>
      <c r="AC138" s="241"/>
      <c r="AD138" s="241"/>
      <c r="AE138" s="241"/>
      <c r="AF138" s="221" t="str">
        <f ca="1">_xll.DBRW(Server&amp;Cube1,$F$17,$F$18,$F$19,$F$16,$C$14,$F$15,$F$14,$F$20,AF$2,$AF$1,$C138)</f>
        <v/>
      </c>
      <c r="AG138" s="53"/>
      <c r="AH138" s="53"/>
      <c r="AI138" s="53"/>
      <c r="AJ138" s="53"/>
      <c r="AK138" s="53"/>
      <c r="AL138" s="53"/>
      <c r="AM138" s="53"/>
      <c r="AN138" s="53"/>
      <c r="AO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1:53" s="9" customFormat="1" ht="24.95" customHeight="1" x14ac:dyDescent="0.35">
      <c r="A139" s="181" t="e">
        <f ca="1">IF($AT$35="YES",1,IF(_xll.ELCOMPN(Server&amp;$C$24,C139)&lt;&gt;0,1,IF(OR(B139=$AZ$35,B139="ALL"),1,0)))</f>
        <v>#VALUE!</v>
      </c>
      <c r="B139" s="163" t="str">
        <f t="shared" si="6"/>
        <v>HR</v>
      </c>
      <c r="C139" s="158" t="s">
        <v>241</v>
      </c>
      <c r="E139" s="268" t="str">
        <f ca="1">_xll.DBRA(Server&amp;$C$24,$C139,$F$21)</f>
        <v>Publication, Sponsoring, cadeaux, Publicité et promotion (RH)</v>
      </c>
      <c r="F139" s="268"/>
      <c r="G139" s="268"/>
      <c r="H139" s="40"/>
      <c r="I139" s="221" t="str">
        <f ca="1">_xll.DBRW(Server&amp;Cube1,$F$17,$F$18,$F$19,$F$16,$C$14,$F$15,$F$14,$F$20,I$2,I$1,$C139)</f>
        <v/>
      </c>
      <c r="J139" s="221" t="str">
        <f ca="1">_xll.DBRW(Server&amp;Cube1,$F$17,$F$18,$F$19,$F$16,$C$14,$F$15,$F$14,$F$20,J$2,J$1,$C139)</f>
        <v/>
      </c>
      <c r="K139" s="221" t="e">
        <f ca="1">_xll.DBRW(Server&amp;Cube1,$F$17,$F$18,$F$19,$F$16,$C$14,$F$15,$F$14,$F$20,I$2,I$1,$C139) -_xll.DBRW(Server&amp;Cube1,$F$17,$F$18,$F$19,$F$16,$C$14,$F$15,$F$14,$F$20,K$2,I$1,$C139)</f>
        <v>#VALUE!</v>
      </c>
      <c r="L139" s="221" t="e">
        <f t="shared" ca="1" si="5"/>
        <v>#VALUE!</v>
      </c>
      <c r="M139" s="221" t="e">
        <f t="shared" ca="1" si="4"/>
        <v>#VALUE!</v>
      </c>
      <c r="N139" s="226"/>
      <c r="O139" s="221" t="str">
        <f ca="1">_xll.DBRW(Server&amp;Cube1,$F$17,$F$18,$F$19,$F$16,$C$14,$F$15,$F$14,$F$20,O$2,O$1,$C139)</f>
        <v/>
      </c>
      <c r="P139" s="226"/>
      <c r="Q139" s="240" t="str">
        <f ca="1">IF(_xll.ELCOMPN(Server&amp;$C$24,C139)=0,"YES","NO")</f>
        <v>YES</v>
      </c>
      <c r="R139" s="241">
        <v>0</v>
      </c>
      <c r="S139" s="226"/>
      <c r="T139" s="227" t="str">
        <f ca="1">_xll.DBRW(Server&amp;Cube1,$F$17,$F$18,$F$19,$F$16,$C$14,$F$15,$F$14,$F$20,T$2,$T$1,$C139)</f>
        <v/>
      </c>
      <c r="U139" s="227" t="str">
        <f ca="1">_xll.DBRW(Server&amp;Cube1,$F$17,$F$18,$F$19,$F$16,$C$14,$F$15,$F$14,$F$20,U$2,$U$1,$C139)</f>
        <v/>
      </c>
      <c r="V139" s="227" t="str">
        <f ca="1">_xll.DBRW(Server&amp;Cube1,$F$17,$F$18,$F$19,$F$16,$C$14,$F$15,$F$14,$F$20,V$2,V$1,$C139)</f>
        <v/>
      </c>
      <c r="W139" s="227" t="str">
        <f ca="1">_xll.DBRW(Server&amp;Cube1,$F$17,$F$18,$F$19,$F$16,$C$14,$F$15,$F$14,$F$20,W$2,W$1,$C139)</f>
        <v/>
      </c>
      <c r="X139" s="227" t="str">
        <f ca="1">_xll.DBRW(Server&amp;Cube1,$F$17,$F$18,$F$19,$F$16,$C$14,$F$15,$F$14,$F$20,X$2,X$1,$C139)</f>
        <v/>
      </c>
      <c r="Y139" s="227" t="str">
        <f ca="1">_xll.DBRW(Server&amp;Cube1,$F$17,$F$18,$F$19,$F$16,$C$14,$F$15,$F$14,$F$20,Y$2,Y$1,$C139)</f>
        <v/>
      </c>
      <c r="Z139" s="241"/>
      <c r="AA139" s="241"/>
      <c r="AB139" s="241"/>
      <c r="AC139" s="241"/>
      <c r="AD139" s="241"/>
      <c r="AE139" s="241"/>
      <c r="AF139" s="221" t="str">
        <f ca="1">_xll.DBRW(Server&amp;Cube1,$F$17,$F$18,$F$19,$F$16,$C$14,$F$15,$F$14,$F$20,AF$2,$AF$1,$C139)</f>
        <v/>
      </c>
      <c r="AG139" s="53"/>
      <c r="AH139" s="53"/>
      <c r="AI139" s="53"/>
      <c r="AJ139" s="53"/>
      <c r="AK139" s="53"/>
      <c r="AL139" s="53"/>
      <c r="AM139" s="53"/>
      <c r="AN139" s="53"/>
      <c r="AO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1:53" s="9" customFormat="1" ht="24.95" customHeight="1" x14ac:dyDescent="0.35">
      <c r="A140" s="181" t="e">
        <f ca="1">IF($AT$35="YES",1,IF(_xll.ELCOMPN(Server&amp;$C$24,C140)&lt;&gt;0,1,IF(OR(B140=$AZ$35,B140="ALL"),1,0)))</f>
        <v>#VALUE!</v>
      </c>
      <c r="B140" s="163" t="str">
        <f t="shared" si="6"/>
        <v>GM</v>
      </c>
      <c r="C140" s="158" t="s">
        <v>242</v>
      </c>
      <c r="E140" s="268" t="str">
        <f ca="1">_xll.DBRA(Server&amp;$C$24,$C140,$F$21)</f>
        <v>Publication, Sponsoring, cadeaux, Publicité et promotion (DG)</v>
      </c>
      <c r="F140" s="268"/>
      <c r="G140" s="268"/>
      <c r="H140" s="40"/>
      <c r="I140" s="221" t="str">
        <f ca="1">_xll.DBRW(Server&amp;Cube1,$F$17,$F$18,$F$19,$F$16,$C$14,$F$15,$F$14,$F$20,I$2,I$1,$C140)</f>
        <v/>
      </c>
      <c r="J140" s="221" t="str">
        <f ca="1">_xll.DBRW(Server&amp;Cube1,$F$17,$F$18,$F$19,$F$16,$C$14,$F$15,$F$14,$F$20,J$2,J$1,$C140)</f>
        <v/>
      </c>
      <c r="K140" s="221" t="e">
        <f ca="1">_xll.DBRW(Server&amp;Cube1,$F$17,$F$18,$F$19,$F$16,$C$14,$F$15,$F$14,$F$20,I$2,I$1,$C140) -_xll.DBRW(Server&amp;Cube1,$F$17,$F$18,$F$19,$F$16,$C$14,$F$15,$F$14,$F$20,K$2,I$1,$C140)</f>
        <v>#VALUE!</v>
      </c>
      <c r="L140" s="221" t="e">
        <f t="shared" ca="1" si="5"/>
        <v>#VALUE!</v>
      </c>
      <c r="M140" s="221" t="e">
        <f t="shared" ca="1" si="4"/>
        <v>#VALUE!</v>
      </c>
      <c r="N140" s="226"/>
      <c r="O140" s="221" t="str">
        <f ca="1">_xll.DBRW(Server&amp;Cube1,$F$17,$F$18,$F$19,$F$16,$C$14,$F$15,$F$14,$F$20,O$2,O$1,$C140)</f>
        <v/>
      </c>
      <c r="P140" s="226"/>
      <c r="Q140" s="240" t="str">
        <f ca="1">IF(_xll.ELCOMPN(Server&amp;$C$24,C140)=0,"YES","NO")</f>
        <v>YES</v>
      </c>
      <c r="R140" s="241">
        <v>0</v>
      </c>
      <c r="S140" s="226"/>
      <c r="T140" s="227" t="str">
        <f ca="1">_xll.DBRW(Server&amp;Cube1,$F$17,$F$18,$F$19,$F$16,$C$14,$F$15,$F$14,$F$20,T$2,$T$1,$C140)</f>
        <v/>
      </c>
      <c r="U140" s="227" t="str">
        <f ca="1">_xll.DBRW(Server&amp;Cube1,$F$17,$F$18,$F$19,$F$16,$C$14,$F$15,$F$14,$F$20,U$2,$U$1,$C140)</f>
        <v/>
      </c>
      <c r="V140" s="227" t="str">
        <f ca="1">_xll.DBRW(Server&amp;Cube1,$F$17,$F$18,$F$19,$F$16,$C$14,$F$15,$F$14,$F$20,V$2,V$1,$C140)</f>
        <v/>
      </c>
      <c r="W140" s="227" t="str">
        <f ca="1">_xll.DBRW(Server&amp;Cube1,$F$17,$F$18,$F$19,$F$16,$C$14,$F$15,$F$14,$F$20,W$2,W$1,$C140)</f>
        <v/>
      </c>
      <c r="X140" s="227" t="str">
        <f ca="1">_xll.DBRW(Server&amp;Cube1,$F$17,$F$18,$F$19,$F$16,$C$14,$F$15,$F$14,$F$20,X$2,X$1,$C140)</f>
        <v/>
      </c>
      <c r="Y140" s="227" t="str">
        <f ca="1">_xll.DBRW(Server&amp;Cube1,$F$17,$F$18,$F$19,$F$16,$C$14,$F$15,$F$14,$F$20,Y$2,Y$1,$C140)</f>
        <v/>
      </c>
      <c r="Z140" s="241"/>
      <c r="AA140" s="241"/>
      <c r="AB140" s="241"/>
      <c r="AC140" s="241"/>
      <c r="AD140" s="241"/>
      <c r="AE140" s="241"/>
      <c r="AF140" s="221" t="str">
        <f ca="1">_xll.DBRW(Server&amp;Cube1,$F$17,$F$18,$F$19,$F$16,$C$14,$F$15,$F$14,$F$20,AF$2,$AF$1,$C140)</f>
        <v/>
      </c>
      <c r="AG140" s="53"/>
      <c r="AH140" s="53"/>
      <c r="AI140" s="53"/>
      <c r="AJ140" s="53"/>
      <c r="AK140" s="53"/>
      <c r="AL140" s="53"/>
      <c r="AM140" s="53"/>
      <c r="AN140" s="53"/>
      <c r="AO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1:53" s="9" customFormat="1" ht="24.95" customHeight="1" x14ac:dyDescent="0.35">
      <c r="A141" s="181" t="e">
        <f ca="1">IF($AT$35="YES",1,IF(_xll.ELCOMPN(Server&amp;$C$24,C141)&lt;&gt;0,1,IF(OR(B141=$AZ$35,B141="ALL"),1,0)))</f>
        <v>#VALUE!</v>
      </c>
      <c r="B141" s="163" t="str">
        <f t="shared" si="6"/>
        <v>IA</v>
      </c>
      <c r="C141" s="158" t="s">
        <v>243</v>
      </c>
      <c r="E141" s="268" t="str">
        <f ca="1">_xll.DBRA(Server&amp;$C$24,$C141,$F$21)</f>
        <v>Publication, Sponsoring, cadeaux, Publicité et promotion (AI)</v>
      </c>
      <c r="F141" s="268"/>
      <c r="G141" s="268"/>
      <c r="H141" s="40"/>
      <c r="I141" s="221" t="str">
        <f ca="1">_xll.DBRW(Server&amp;Cube1,$F$17,$F$18,$F$19,$F$16,$C$14,$F$15,$F$14,$F$20,I$2,I$1,$C141)</f>
        <v/>
      </c>
      <c r="J141" s="221" t="str">
        <f ca="1">_xll.DBRW(Server&amp;Cube1,$F$17,$F$18,$F$19,$F$16,$C$14,$F$15,$F$14,$F$20,J$2,J$1,$C141)</f>
        <v/>
      </c>
      <c r="K141" s="221" t="e">
        <f ca="1">_xll.DBRW(Server&amp;Cube1,$F$17,$F$18,$F$19,$F$16,$C$14,$F$15,$F$14,$F$20,I$2,I$1,$C141) -_xll.DBRW(Server&amp;Cube1,$F$17,$F$18,$F$19,$F$16,$C$14,$F$15,$F$14,$F$20,K$2,I$1,$C141)</f>
        <v>#VALUE!</v>
      </c>
      <c r="L141" s="221" t="e">
        <f t="shared" ca="1" si="5"/>
        <v>#VALUE!</v>
      </c>
      <c r="M141" s="221" t="e">
        <f t="shared" ca="1" si="4"/>
        <v>#VALUE!</v>
      </c>
      <c r="N141" s="226"/>
      <c r="O141" s="221" t="str">
        <f ca="1">_xll.DBRW(Server&amp;Cube1,$F$17,$F$18,$F$19,$F$16,$C$14,$F$15,$F$14,$F$20,O$2,O$1,$C141)</f>
        <v/>
      </c>
      <c r="P141" s="226"/>
      <c r="Q141" s="240" t="str">
        <f ca="1">IF(_xll.ELCOMPN(Server&amp;$C$24,C141)=0,"YES","NO")</f>
        <v>YES</v>
      </c>
      <c r="R141" s="241">
        <v>0</v>
      </c>
      <c r="S141" s="226"/>
      <c r="T141" s="227" t="str">
        <f ca="1">_xll.DBRW(Server&amp;Cube1,$F$17,$F$18,$F$19,$F$16,$C$14,$F$15,$F$14,$F$20,T$2,$T$1,$C141)</f>
        <v/>
      </c>
      <c r="U141" s="227" t="str">
        <f ca="1">_xll.DBRW(Server&amp;Cube1,$F$17,$F$18,$F$19,$F$16,$C$14,$F$15,$F$14,$F$20,U$2,$U$1,$C141)</f>
        <v/>
      </c>
      <c r="V141" s="227" t="str">
        <f ca="1">_xll.DBRW(Server&amp;Cube1,$F$17,$F$18,$F$19,$F$16,$C$14,$F$15,$F$14,$F$20,V$2,V$1,$C141)</f>
        <v/>
      </c>
      <c r="W141" s="227" t="str">
        <f ca="1">_xll.DBRW(Server&amp;Cube1,$F$17,$F$18,$F$19,$F$16,$C$14,$F$15,$F$14,$F$20,W$2,W$1,$C141)</f>
        <v/>
      </c>
      <c r="X141" s="227" t="str">
        <f ca="1">_xll.DBRW(Server&amp;Cube1,$F$17,$F$18,$F$19,$F$16,$C$14,$F$15,$F$14,$F$20,X$2,X$1,$C141)</f>
        <v/>
      </c>
      <c r="Y141" s="227" t="str">
        <f ca="1">_xll.DBRW(Server&amp;Cube1,$F$17,$F$18,$F$19,$F$16,$C$14,$F$15,$F$14,$F$20,Y$2,Y$1,$C141)</f>
        <v/>
      </c>
      <c r="Z141" s="241"/>
      <c r="AA141" s="241"/>
      <c r="AB141" s="241"/>
      <c r="AC141" s="241"/>
      <c r="AD141" s="241"/>
      <c r="AE141" s="241"/>
      <c r="AF141" s="221" t="str">
        <f ca="1">_xll.DBRW(Server&amp;Cube1,$F$17,$F$18,$F$19,$F$16,$C$14,$F$15,$F$14,$F$20,AF$2,$AF$1,$C141)</f>
        <v/>
      </c>
      <c r="AG141" s="53"/>
      <c r="AH141" s="53"/>
      <c r="AI141" s="53"/>
      <c r="AJ141" s="53"/>
      <c r="AK141" s="53"/>
      <c r="AL141" s="53"/>
      <c r="AM141" s="53"/>
      <c r="AN141" s="53"/>
      <c r="AO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1:53" s="9" customFormat="1" ht="24.95" customHeight="1" x14ac:dyDescent="0.35">
      <c r="A142" s="181" t="e">
        <f ca="1">IF($AT$35="YES",1,IF(_xll.ELCOMPN(Server&amp;$C$24,C142)&lt;&gt;0,1,IF(OR(B142=$AZ$35,B142="ALL"),1,0)))</f>
        <v>#VALUE!</v>
      </c>
      <c r="B142" s="163" t="str">
        <f t="shared" si="6"/>
        <v>LE</v>
      </c>
      <c r="C142" s="158" t="s">
        <v>244</v>
      </c>
      <c r="E142" s="268" t="str">
        <f ca="1">_xll.DBRA(Server&amp;$C$24,$C142,$F$21)</f>
        <v>Publication, Sponsoring, cadeaux, Publicité et promotion (JU)</v>
      </c>
      <c r="F142" s="268"/>
      <c r="G142" s="268"/>
      <c r="H142" s="40"/>
      <c r="I142" s="221" t="str">
        <f ca="1">_xll.DBRW(Server&amp;Cube1,$F$17,$F$18,$F$19,$F$16,$C$14,$F$15,$F$14,$F$20,I$2,I$1,$C142)</f>
        <v/>
      </c>
      <c r="J142" s="221" t="str">
        <f ca="1">_xll.DBRW(Server&amp;Cube1,$F$17,$F$18,$F$19,$F$16,$C$14,$F$15,$F$14,$F$20,J$2,J$1,$C142)</f>
        <v/>
      </c>
      <c r="K142" s="221" t="e">
        <f ca="1">_xll.DBRW(Server&amp;Cube1,$F$17,$F$18,$F$19,$F$16,$C$14,$F$15,$F$14,$F$20,I$2,I$1,$C142) -_xll.DBRW(Server&amp;Cube1,$F$17,$F$18,$F$19,$F$16,$C$14,$F$15,$F$14,$F$20,K$2,I$1,$C142)</f>
        <v>#VALUE!</v>
      </c>
      <c r="L142" s="221" t="e">
        <f t="shared" ca="1" si="5"/>
        <v>#VALUE!</v>
      </c>
      <c r="M142" s="221" t="e">
        <f t="shared" ca="1" si="4"/>
        <v>#VALUE!</v>
      </c>
      <c r="N142" s="226"/>
      <c r="O142" s="221" t="str">
        <f ca="1">_xll.DBRW(Server&amp;Cube1,$F$17,$F$18,$F$19,$F$16,$C$14,$F$15,$F$14,$F$20,O$2,O$1,$C142)</f>
        <v/>
      </c>
      <c r="P142" s="226"/>
      <c r="Q142" s="240" t="str">
        <f ca="1">IF(_xll.ELCOMPN(Server&amp;$C$24,C142)=0,"YES","NO")</f>
        <v>YES</v>
      </c>
      <c r="R142" s="241">
        <v>0</v>
      </c>
      <c r="S142" s="226"/>
      <c r="T142" s="227" t="str">
        <f ca="1">_xll.DBRW(Server&amp;Cube1,$F$17,$F$18,$F$19,$F$16,$C$14,$F$15,$F$14,$F$20,T$2,$T$1,$C142)</f>
        <v/>
      </c>
      <c r="U142" s="227" t="str">
        <f ca="1">_xll.DBRW(Server&amp;Cube1,$F$17,$F$18,$F$19,$F$16,$C$14,$F$15,$F$14,$F$20,U$2,$U$1,$C142)</f>
        <v/>
      </c>
      <c r="V142" s="227" t="str">
        <f ca="1">_xll.DBRW(Server&amp;Cube1,$F$17,$F$18,$F$19,$F$16,$C$14,$F$15,$F$14,$F$20,V$2,V$1,$C142)</f>
        <v/>
      </c>
      <c r="W142" s="227" t="str">
        <f ca="1">_xll.DBRW(Server&amp;Cube1,$F$17,$F$18,$F$19,$F$16,$C$14,$F$15,$F$14,$F$20,W$2,W$1,$C142)</f>
        <v/>
      </c>
      <c r="X142" s="227" t="str">
        <f ca="1">_xll.DBRW(Server&amp;Cube1,$F$17,$F$18,$F$19,$F$16,$C$14,$F$15,$F$14,$F$20,X$2,X$1,$C142)</f>
        <v/>
      </c>
      <c r="Y142" s="227" t="str">
        <f ca="1">_xll.DBRW(Server&amp;Cube1,$F$17,$F$18,$F$19,$F$16,$C$14,$F$15,$F$14,$F$20,Y$2,Y$1,$C142)</f>
        <v/>
      </c>
      <c r="Z142" s="241"/>
      <c r="AA142" s="241"/>
      <c r="AB142" s="241"/>
      <c r="AC142" s="241"/>
      <c r="AD142" s="241"/>
      <c r="AE142" s="241"/>
      <c r="AF142" s="221" t="str">
        <f ca="1">_xll.DBRW(Server&amp;Cube1,$F$17,$F$18,$F$19,$F$16,$C$14,$F$15,$F$14,$F$20,AF$2,$AF$1,$C142)</f>
        <v/>
      </c>
      <c r="AG142" s="53"/>
      <c r="AH142" s="53"/>
      <c r="AI142" s="53"/>
      <c r="AJ142" s="53"/>
      <c r="AK142" s="53"/>
      <c r="AL142" s="53"/>
      <c r="AM142" s="53"/>
      <c r="AN142" s="53"/>
      <c r="AO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1:53" s="9" customFormat="1" ht="24.95" customHeight="1" x14ac:dyDescent="0.35">
      <c r="A143" s="181" t="e">
        <f ca="1">IF($AT$35="YES",1,IF(_xll.ELCOMPN(Server&amp;$C$24,C143)&lt;&gt;0,1,IF(OR(B143=$AZ$35,B143="ALL"),1,0)))</f>
        <v>#VALUE!</v>
      </c>
      <c r="B143" s="163" t="str">
        <f t="shared" si="6"/>
        <v>RM</v>
      </c>
      <c r="C143" s="158" t="s">
        <v>245</v>
      </c>
      <c r="E143" s="268" t="str">
        <f ca="1">_xll.DBRA(Server&amp;$C$24,$C143,$F$21)</f>
        <v>Publication, Sponsoring, cadeaux, Publicité et promotion (GR)</v>
      </c>
      <c r="F143" s="268"/>
      <c r="G143" s="268"/>
      <c r="H143" s="40"/>
      <c r="I143" s="221" t="str">
        <f ca="1">_xll.DBRW(Server&amp;Cube1,$F$17,$F$18,$F$19,$F$16,$C$14,$F$15,$F$14,$F$20,I$2,I$1,$C143)</f>
        <v/>
      </c>
      <c r="J143" s="221" t="str">
        <f ca="1">_xll.DBRW(Server&amp;Cube1,$F$17,$F$18,$F$19,$F$16,$C$14,$F$15,$F$14,$F$20,J$2,J$1,$C143)</f>
        <v/>
      </c>
      <c r="K143" s="221" t="e">
        <f ca="1">_xll.DBRW(Server&amp;Cube1,$F$17,$F$18,$F$19,$F$16,$C$14,$F$15,$F$14,$F$20,I$2,I$1,$C143) -_xll.DBRW(Server&amp;Cube1,$F$17,$F$18,$F$19,$F$16,$C$14,$F$15,$F$14,$F$20,K$2,I$1,$C143)</f>
        <v>#VALUE!</v>
      </c>
      <c r="L143" s="221" t="e">
        <f t="shared" ca="1" si="5"/>
        <v>#VALUE!</v>
      </c>
      <c r="M143" s="221" t="e">
        <f t="shared" ca="1" si="4"/>
        <v>#VALUE!</v>
      </c>
      <c r="N143" s="226"/>
      <c r="O143" s="221" t="str">
        <f ca="1">_xll.DBRW(Server&amp;Cube1,$F$17,$F$18,$F$19,$F$16,$C$14,$F$15,$F$14,$F$20,O$2,O$1,$C143)</f>
        <v/>
      </c>
      <c r="P143" s="226"/>
      <c r="Q143" s="240" t="str">
        <f ca="1">IF(_xll.ELCOMPN(Server&amp;$C$24,C143)=0,"YES","NO")</f>
        <v>YES</v>
      </c>
      <c r="R143" s="241">
        <v>0</v>
      </c>
      <c r="S143" s="226"/>
      <c r="T143" s="227" t="str">
        <f ca="1">_xll.DBRW(Server&amp;Cube1,$F$17,$F$18,$F$19,$F$16,$C$14,$F$15,$F$14,$F$20,T$2,$T$1,$C143)</f>
        <v/>
      </c>
      <c r="U143" s="227" t="str">
        <f ca="1">_xll.DBRW(Server&amp;Cube1,$F$17,$F$18,$F$19,$F$16,$C$14,$F$15,$F$14,$F$20,U$2,$U$1,$C143)</f>
        <v/>
      </c>
      <c r="V143" s="227" t="str">
        <f ca="1">_xll.DBRW(Server&amp;Cube1,$F$17,$F$18,$F$19,$F$16,$C$14,$F$15,$F$14,$F$20,V$2,V$1,$C143)</f>
        <v/>
      </c>
      <c r="W143" s="227" t="str">
        <f ca="1">_xll.DBRW(Server&amp;Cube1,$F$17,$F$18,$F$19,$F$16,$C$14,$F$15,$F$14,$F$20,W$2,W$1,$C143)</f>
        <v/>
      </c>
      <c r="X143" s="227" t="str">
        <f ca="1">_xll.DBRW(Server&amp;Cube1,$F$17,$F$18,$F$19,$F$16,$C$14,$F$15,$F$14,$F$20,X$2,X$1,$C143)</f>
        <v/>
      </c>
      <c r="Y143" s="227" t="str">
        <f ca="1">_xll.DBRW(Server&amp;Cube1,$F$17,$F$18,$F$19,$F$16,$C$14,$F$15,$F$14,$F$20,Y$2,Y$1,$C143)</f>
        <v/>
      </c>
      <c r="Z143" s="241"/>
      <c r="AA143" s="241"/>
      <c r="AB143" s="241"/>
      <c r="AC143" s="241"/>
      <c r="AD143" s="241"/>
      <c r="AE143" s="241"/>
      <c r="AF143" s="221" t="str">
        <f ca="1">_xll.DBRW(Server&amp;Cube1,$F$17,$F$18,$F$19,$F$16,$C$14,$F$15,$F$14,$F$20,AF$2,$AF$1,$C143)</f>
        <v/>
      </c>
      <c r="AG143" s="53"/>
      <c r="AH143" s="53"/>
      <c r="AI143" s="53"/>
      <c r="AJ143" s="53"/>
      <c r="AK143" s="53"/>
      <c r="AL143" s="53"/>
      <c r="AM143" s="53"/>
      <c r="AN143" s="53"/>
      <c r="AO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1:53" s="9" customFormat="1" ht="24.95" customHeight="1" x14ac:dyDescent="0.35">
      <c r="A144" s="181" t="e">
        <f ca="1">IF($AT$35="YES",1,IF(_xll.ELCOMPN(Server&amp;$C$24,C144)&lt;&gt;0,1,IF(OR(B144=$AZ$35,B144="ALL"),1,0)))</f>
        <v>#VALUE!</v>
      </c>
      <c r="B144" s="163" t="str">
        <f t="shared" si="6"/>
        <v>PU</v>
      </c>
      <c r="C144" s="158" t="s">
        <v>246</v>
      </c>
      <c r="E144" s="268" t="str">
        <f ca="1">_xll.DBRA(Server&amp;$C$24,$C144,$F$21)</f>
        <v>Publication, Sponsoring, cadeaux, Publicité et promotion (AC)</v>
      </c>
      <c r="F144" s="268"/>
      <c r="G144" s="268"/>
      <c r="H144" s="40"/>
      <c r="I144" s="221" t="str">
        <f ca="1">_xll.DBRW(Server&amp;Cube1,$F$17,$F$18,$F$19,$F$16,$C$14,$F$15,$F$14,$F$20,I$2,I$1,$C144)</f>
        <v/>
      </c>
      <c r="J144" s="221" t="str">
        <f ca="1">_xll.DBRW(Server&amp;Cube1,$F$17,$F$18,$F$19,$F$16,$C$14,$F$15,$F$14,$F$20,J$2,J$1,$C144)</f>
        <v/>
      </c>
      <c r="K144" s="221" t="e">
        <f ca="1">_xll.DBRW(Server&amp;Cube1,$F$17,$F$18,$F$19,$F$16,$C$14,$F$15,$F$14,$F$20,I$2,I$1,$C144) -_xll.DBRW(Server&amp;Cube1,$F$17,$F$18,$F$19,$F$16,$C$14,$F$15,$F$14,$F$20,K$2,I$1,$C144)</f>
        <v>#VALUE!</v>
      </c>
      <c r="L144" s="221" t="e">
        <f t="shared" ca="1" si="5"/>
        <v>#VALUE!</v>
      </c>
      <c r="M144" s="221" t="e">
        <f t="shared" ca="1" si="4"/>
        <v>#VALUE!</v>
      </c>
      <c r="N144" s="226"/>
      <c r="O144" s="221" t="str">
        <f ca="1">_xll.DBRW(Server&amp;Cube1,$F$17,$F$18,$F$19,$F$16,$C$14,$F$15,$F$14,$F$20,O$2,O$1,$C144)</f>
        <v/>
      </c>
      <c r="P144" s="226"/>
      <c r="Q144" s="240" t="str">
        <f ca="1">IF(_xll.ELCOMPN(Server&amp;$C$24,C144)=0,"YES","NO")</f>
        <v>YES</v>
      </c>
      <c r="R144" s="241">
        <v>0</v>
      </c>
      <c r="S144" s="226"/>
      <c r="T144" s="227" t="str">
        <f ca="1">_xll.DBRW(Server&amp;Cube1,$F$17,$F$18,$F$19,$F$16,$C$14,$F$15,$F$14,$F$20,T$2,$T$1,$C144)</f>
        <v/>
      </c>
      <c r="U144" s="227" t="str">
        <f ca="1">_xll.DBRW(Server&amp;Cube1,$F$17,$F$18,$F$19,$F$16,$C$14,$F$15,$F$14,$F$20,U$2,$U$1,$C144)</f>
        <v/>
      </c>
      <c r="V144" s="227" t="str">
        <f ca="1">_xll.DBRW(Server&amp;Cube1,$F$17,$F$18,$F$19,$F$16,$C$14,$F$15,$F$14,$F$20,V$2,V$1,$C144)</f>
        <v/>
      </c>
      <c r="W144" s="227" t="str">
        <f ca="1">_xll.DBRW(Server&amp;Cube1,$F$17,$F$18,$F$19,$F$16,$C$14,$F$15,$F$14,$F$20,W$2,W$1,$C144)</f>
        <v/>
      </c>
      <c r="X144" s="227" t="str">
        <f ca="1">_xll.DBRW(Server&amp;Cube1,$F$17,$F$18,$F$19,$F$16,$C$14,$F$15,$F$14,$F$20,X$2,X$1,$C144)</f>
        <v/>
      </c>
      <c r="Y144" s="227" t="str">
        <f ca="1">_xll.DBRW(Server&amp;Cube1,$F$17,$F$18,$F$19,$F$16,$C$14,$F$15,$F$14,$F$20,Y$2,Y$1,$C144)</f>
        <v/>
      </c>
      <c r="Z144" s="241"/>
      <c r="AA144" s="241"/>
      <c r="AB144" s="241"/>
      <c r="AC144" s="241"/>
      <c r="AD144" s="241"/>
      <c r="AE144" s="241"/>
      <c r="AF144" s="221" t="str">
        <f ca="1">_xll.DBRW(Server&amp;Cube1,$F$17,$F$18,$F$19,$F$16,$C$14,$F$15,$F$14,$F$20,AF$2,$AF$1,$C144)</f>
        <v/>
      </c>
      <c r="AG144" s="53"/>
      <c r="AH144" s="53"/>
      <c r="AI144" s="53"/>
      <c r="AJ144" s="53"/>
      <c r="AK144" s="53"/>
      <c r="AL144" s="53"/>
      <c r="AM144" s="53"/>
      <c r="AN144" s="53"/>
      <c r="AO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1:53" s="9" customFormat="1" ht="24.95" customHeight="1" x14ac:dyDescent="0.35">
      <c r="A145" s="181" t="e">
        <f ca="1">IF($AT$35="YES",1,IF(_xll.ELCOMPN(Server&amp;$C$24,C145)&lt;&gt;0,1,IF(OR(B145=$AZ$35,B145="ALL"),1,0)))</f>
        <v>#VALUE!</v>
      </c>
      <c r="B145" s="163" t="str">
        <f t="shared" si="6"/>
        <v>CO</v>
      </c>
      <c r="C145" s="158" t="s">
        <v>247</v>
      </c>
      <c r="E145" s="268" t="str">
        <f ca="1">_xll.DBRA(Server&amp;$C$24,$C145,$F$21)</f>
        <v>Publication, Sponsoring, cadeaux, Publicité et promotion (CO)</v>
      </c>
      <c r="F145" s="268"/>
      <c r="G145" s="268"/>
      <c r="H145" s="40"/>
      <c r="I145" s="221" t="str">
        <f ca="1">_xll.DBRW(Server&amp;Cube1,$F$17,$F$18,$F$19,$F$16,$C$14,$F$15,$F$14,$F$20,I$2,I$1,$C145)</f>
        <v/>
      </c>
      <c r="J145" s="221" t="str">
        <f ca="1">_xll.DBRW(Server&amp;Cube1,$F$17,$F$18,$F$19,$F$16,$C$14,$F$15,$F$14,$F$20,J$2,J$1,$C145)</f>
        <v/>
      </c>
      <c r="K145" s="221" t="e">
        <f ca="1">_xll.DBRW(Server&amp;Cube1,$F$17,$F$18,$F$19,$F$16,$C$14,$F$15,$F$14,$F$20,I$2,I$1,$C145) -_xll.DBRW(Server&amp;Cube1,$F$17,$F$18,$F$19,$F$16,$C$14,$F$15,$F$14,$F$20,K$2,I$1,$C145)</f>
        <v>#VALUE!</v>
      </c>
      <c r="L145" s="221" t="e">
        <f t="shared" ca="1" si="5"/>
        <v>#VALUE!</v>
      </c>
      <c r="M145" s="221" t="e">
        <f t="shared" ca="1" si="4"/>
        <v>#VALUE!</v>
      </c>
      <c r="N145" s="226"/>
      <c r="O145" s="221" t="str">
        <f ca="1">_xll.DBRW(Server&amp;Cube1,$F$17,$F$18,$F$19,$F$16,$C$14,$F$15,$F$14,$F$20,O$2,O$1,$C145)</f>
        <v/>
      </c>
      <c r="P145" s="226"/>
      <c r="Q145" s="240" t="str">
        <f ca="1">IF(_xll.ELCOMPN(Server&amp;$C$24,C145)=0,"YES","NO")</f>
        <v>YES</v>
      </c>
      <c r="R145" s="241">
        <v>0</v>
      </c>
      <c r="S145" s="226"/>
      <c r="T145" s="227" t="str">
        <f ca="1">_xll.DBRW(Server&amp;Cube1,$F$17,$F$18,$F$19,$F$16,$C$14,$F$15,$F$14,$F$20,T$2,$T$1,$C145)</f>
        <v/>
      </c>
      <c r="U145" s="227" t="str">
        <f ca="1">_xll.DBRW(Server&amp;Cube1,$F$17,$F$18,$F$19,$F$16,$C$14,$F$15,$F$14,$F$20,U$2,$U$1,$C145)</f>
        <v/>
      </c>
      <c r="V145" s="227" t="str">
        <f ca="1">_xll.DBRW(Server&amp;Cube1,$F$17,$F$18,$F$19,$F$16,$C$14,$F$15,$F$14,$F$20,V$2,V$1,$C145)</f>
        <v/>
      </c>
      <c r="W145" s="227" t="str">
        <f ca="1">_xll.DBRW(Server&amp;Cube1,$F$17,$F$18,$F$19,$F$16,$C$14,$F$15,$F$14,$F$20,W$2,W$1,$C145)</f>
        <v/>
      </c>
      <c r="X145" s="227" t="str">
        <f ca="1">_xll.DBRW(Server&amp;Cube1,$F$17,$F$18,$F$19,$F$16,$C$14,$F$15,$F$14,$F$20,X$2,X$1,$C145)</f>
        <v/>
      </c>
      <c r="Y145" s="227" t="str">
        <f ca="1">_xll.DBRW(Server&amp;Cube1,$F$17,$F$18,$F$19,$F$16,$C$14,$F$15,$F$14,$F$20,Y$2,Y$1,$C145)</f>
        <v/>
      </c>
      <c r="Z145" s="241"/>
      <c r="AA145" s="241"/>
      <c r="AB145" s="241"/>
      <c r="AC145" s="241"/>
      <c r="AD145" s="241"/>
      <c r="AE145" s="241"/>
      <c r="AF145" s="221" t="str">
        <f ca="1">_xll.DBRW(Server&amp;Cube1,$F$17,$F$18,$F$19,$F$16,$C$14,$F$15,$F$14,$F$20,AF$2,$AF$1,$C145)</f>
        <v/>
      </c>
      <c r="AG145" s="53"/>
      <c r="AH145" s="53"/>
      <c r="AI145" s="53"/>
      <c r="AJ145" s="53"/>
      <c r="AK145" s="53"/>
      <c r="AL145" s="53"/>
      <c r="AM145" s="53"/>
      <c r="AN145" s="53"/>
      <c r="AO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1:53" s="9" customFormat="1" ht="24.95" customHeight="1" x14ac:dyDescent="0.35">
      <c r="A146" s="181" t="e">
        <f ca="1">IF($AT$35="YES",1,IF(_xll.ELCOMPN(Server&amp;$C$24,C146)&lt;&gt;0,1,IF(OR(B146=$AZ$35,B146="ALL"),1,0)))</f>
        <v>#VALUE!</v>
      </c>
      <c r="B146" s="163" t="str">
        <f t="shared" si="6"/>
        <v>GS</v>
      </c>
      <c r="C146" s="158" t="s">
        <v>248</v>
      </c>
      <c r="E146" s="268" t="str">
        <f ca="1">_xll.DBRA(Server&amp;$C$24,$C146,$F$21)</f>
        <v>Publication, Sponsoring, cadeaux, Publicité et promotion (SG)</v>
      </c>
      <c r="F146" s="268"/>
      <c r="G146" s="268"/>
      <c r="H146" s="40"/>
      <c r="I146" s="221" t="str">
        <f ca="1">_xll.DBRW(Server&amp;Cube1,$F$17,$F$18,$F$19,$F$16,$C$14,$F$15,$F$14,$F$20,I$2,I$1,$C146)</f>
        <v/>
      </c>
      <c r="J146" s="221" t="str">
        <f ca="1">_xll.DBRW(Server&amp;Cube1,$F$17,$F$18,$F$19,$F$16,$C$14,$F$15,$F$14,$F$20,J$2,J$1,$C146)</f>
        <v/>
      </c>
      <c r="K146" s="221" t="e">
        <f ca="1">_xll.DBRW(Server&amp;Cube1,$F$17,$F$18,$F$19,$F$16,$C$14,$F$15,$F$14,$F$20,I$2,I$1,$C146) -_xll.DBRW(Server&amp;Cube1,$F$17,$F$18,$F$19,$F$16,$C$14,$F$15,$F$14,$F$20,K$2,I$1,$C146)</f>
        <v>#VALUE!</v>
      </c>
      <c r="L146" s="221" t="e">
        <f t="shared" ca="1" si="5"/>
        <v>#VALUE!</v>
      </c>
      <c r="M146" s="221" t="e">
        <f t="shared" ca="1" si="4"/>
        <v>#VALUE!</v>
      </c>
      <c r="N146" s="226"/>
      <c r="O146" s="221" t="str">
        <f ca="1">_xll.DBRW(Server&amp;Cube1,$F$17,$F$18,$F$19,$F$16,$C$14,$F$15,$F$14,$F$20,O$2,O$1,$C146)</f>
        <v/>
      </c>
      <c r="P146" s="226"/>
      <c r="Q146" s="240" t="str">
        <f ca="1">IF(_xll.ELCOMPN(Server&amp;$C$24,C146)=0,"YES","NO")</f>
        <v>YES</v>
      </c>
      <c r="R146" s="241">
        <v>0</v>
      </c>
      <c r="S146" s="226"/>
      <c r="T146" s="227" t="str">
        <f ca="1">_xll.DBRW(Server&amp;Cube1,$F$17,$F$18,$F$19,$F$16,$C$14,$F$15,$F$14,$F$20,T$2,$T$1,$C146)</f>
        <v/>
      </c>
      <c r="U146" s="227" t="str">
        <f ca="1">_xll.DBRW(Server&amp;Cube1,$F$17,$F$18,$F$19,$F$16,$C$14,$F$15,$F$14,$F$20,U$2,$U$1,$C146)</f>
        <v/>
      </c>
      <c r="V146" s="227" t="str">
        <f ca="1">_xll.DBRW(Server&amp;Cube1,$F$17,$F$18,$F$19,$F$16,$C$14,$F$15,$F$14,$F$20,V$2,V$1,$C146)</f>
        <v/>
      </c>
      <c r="W146" s="227" t="str">
        <f ca="1">_xll.DBRW(Server&amp;Cube1,$F$17,$F$18,$F$19,$F$16,$C$14,$F$15,$F$14,$F$20,W$2,W$1,$C146)</f>
        <v/>
      </c>
      <c r="X146" s="227" t="str">
        <f ca="1">_xll.DBRW(Server&amp;Cube1,$F$17,$F$18,$F$19,$F$16,$C$14,$F$15,$F$14,$F$20,X$2,X$1,$C146)</f>
        <v/>
      </c>
      <c r="Y146" s="227" t="str">
        <f ca="1">_xll.DBRW(Server&amp;Cube1,$F$17,$F$18,$F$19,$F$16,$C$14,$F$15,$F$14,$F$20,Y$2,Y$1,$C146)</f>
        <v/>
      </c>
      <c r="Z146" s="241"/>
      <c r="AA146" s="241"/>
      <c r="AB146" s="241"/>
      <c r="AC146" s="241"/>
      <c r="AD146" s="241"/>
      <c r="AE146" s="241"/>
      <c r="AF146" s="221" t="str">
        <f ca="1">_xll.DBRW(Server&amp;Cube1,$F$17,$F$18,$F$19,$F$16,$C$14,$F$15,$F$14,$F$20,AF$2,$AF$1,$C146)</f>
        <v/>
      </c>
      <c r="AG146" s="53"/>
      <c r="AH146" s="53"/>
      <c r="AI146" s="53"/>
      <c r="AJ146" s="53"/>
      <c r="AK146" s="53"/>
      <c r="AL146" s="53"/>
      <c r="AM146" s="53"/>
      <c r="AN146" s="53"/>
      <c r="AO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1:53" s="9" customFormat="1" ht="24.95" customHeight="1" x14ac:dyDescent="0.35">
      <c r="A147" s="181" t="e">
        <f ca="1">IF($AT$35="YES",1,IF(_xll.ELCOMPN(Server&amp;$C$24,C147)&lt;&gt;0,1,IF(OR(B147=$AZ$35,B147="ALL"),1,0)))</f>
        <v>#VALUE!</v>
      </c>
      <c r="B147" s="163" t="str">
        <f t="shared" si="6"/>
        <v>RD</v>
      </c>
      <c r="C147" s="158" t="s">
        <v>249</v>
      </c>
      <c r="E147" s="268" t="str">
        <f ca="1">_xll.DBRA(Server&amp;$C$24,$C147,$F$21)</f>
        <v>Publication, Sponsoring, cadeaux, Publicité et promotion (RD)</v>
      </c>
      <c r="F147" s="268"/>
      <c r="G147" s="268"/>
      <c r="H147" s="40"/>
      <c r="I147" s="221" t="str">
        <f ca="1">_xll.DBRW(Server&amp;Cube1,$F$17,$F$18,$F$19,$F$16,$C$14,$F$15,$F$14,$F$20,I$2,I$1,$C147)</f>
        <v/>
      </c>
      <c r="J147" s="221" t="str">
        <f ca="1">_xll.DBRW(Server&amp;Cube1,$F$17,$F$18,$F$19,$F$16,$C$14,$F$15,$F$14,$F$20,J$2,J$1,$C147)</f>
        <v/>
      </c>
      <c r="K147" s="221" t="e">
        <f ca="1">_xll.DBRW(Server&amp;Cube1,$F$17,$F$18,$F$19,$F$16,$C$14,$F$15,$F$14,$F$20,I$2,I$1,$C147) -_xll.DBRW(Server&amp;Cube1,$F$17,$F$18,$F$19,$F$16,$C$14,$F$15,$F$14,$F$20,K$2,I$1,$C147)</f>
        <v>#VALUE!</v>
      </c>
      <c r="L147" s="221" t="e">
        <f t="shared" ca="1" si="5"/>
        <v>#VALUE!</v>
      </c>
      <c r="M147" s="221" t="e">
        <f t="shared" ca="1" si="4"/>
        <v>#VALUE!</v>
      </c>
      <c r="N147" s="226"/>
      <c r="O147" s="221" t="str">
        <f ca="1">_xll.DBRW(Server&amp;Cube1,$F$17,$F$18,$F$19,$F$16,$C$14,$F$15,$F$14,$F$20,O$2,O$1,$C147)</f>
        <v/>
      </c>
      <c r="P147" s="226"/>
      <c r="Q147" s="240" t="str">
        <f ca="1">IF(_xll.ELCOMPN(Server&amp;$C$24,C147)=0,"YES","NO")</f>
        <v>YES</v>
      </c>
      <c r="R147" s="241">
        <v>0</v>
      </c>
      <c r="S147" s="226"/>
      <c r="T147" s="227" t="str">
        <f ca="1">_xll.DBRW(Server&amp;Cube1,$F$17,$F$18,$F$19,$F$16,$C$14,$F$15,$F$14,$F$20,T$2,$T$1,$C147)</f>
        <v/>
      </c>
      <c r="U147" s="227" t="str">
        <f ca="1">_xll.DBRW(Server&amp;Cube1,$F$17,$F$18,$F$19,$F$16,$C$14,$F$15,$F$14,$F$20,U$2,$U$1,$C147)</f>
        <v/>
      </c>
      <c r="V147" s="227" t="str">
        <f ca="1">_xll.DBRW(Server&amp;Cube1,$F$17,$F$18,$F$19,$F$16,$C$14,$F$15,$F$14,$F$20,V$2,V$1,$C147)</f>
        <v/>
      </c>
      <c r="W147" s="227" t="str">
        <f ca="1">_xll.DBRW(Server&amp;Cube1,$F$17,$F$18,$F$19,$F$16,$C$14,$F$15,$F$14,$F$20,W$2,W$1,$C147)</f>
        <v/>
      </c>
      <c r="X147" s="227" t="str">
        <f ca="1">_xll.DBRW(Server&amp;Cube1,$F$17,$F$18,$F$19,$F$16,$C$14,$F$15,$F$14,$F$20,X$2,X$1,$C147)</f>
        <v/>
      </c>
      <c r="Y147" s="227" t="str">
        <f ca="1">_xll.DBRW(Server&amp;Cube1,$F$17,$F$18,$F$19,$F$16,$C$14,$F$15,$F$14,$F$20,Y$2,Y$1,$C147)</f>
        <v/>
      </c>
      <c r="Z147" s="241"/>
      <c r="AA147" s="241"/>
      <c r="AB147" s="241"/>
      <c r="AC147" s="241"/>
      <c r="AD147" s="241"/>
      <c r="AE147" s="241"/>
      <c r="AF147" s="221" t="str">
        <f ca="1">_xll.DBRW(Server&amp;Cube1,$F$17,$F$18,$F$19,$F$16,$C$14,$F$15,$F$14,$F$20,AF$2,$AF$1,$C147)</f>
        <v/>
      </c>
      <c r="AG147" s="53"/>
      <c r="AH147" s="53"/>
      <c r="AI147" s="53"/>
      <c r="AJ147" s="53"/>
      <c r="AK147" s="53"/>
      <c r="AL147" s="53"/>
      <c r="AM147" s="53"/>
      <c r="AN147" s="53"/>
      <c r="AO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1:53" ht="18.75" customHeight="1" collapsed="1" x14ac:dyDescent="0.3">
      <c r="A148" s="181">
        <f ca="1">IF($AT$35="YES",1,IF(_xll.ELCOMPN(Server&amp;$C$24,C148)&lt;&gt;0,1,IF(OR(B148=$AZ$35,B148="ALL"),1,0)))</f>
        <v>1</v>
      </c>
      <c r="B148" s="163" t="str">
        <f t="shared" si="6"/>
        <v>se</v>
      </c>
      <c r="C148" s="117" t="s">
        <v>96</v>
      </c>
      <c r="D148" s="24"/>
      <c r="E148" s="270" t="str">
        <f ca="1">_xll.DBRA(Server&amp;$C$24,$C148,$F$21)</f>
        <v>Réception, Séminaires</v>
      </c>
      <c r="F148" s="270"/>
      <c r="G148" s="270"/>
      <c r="H148" s="43"/>
      <c r="I148" s="221" t="str">
        <f ca="1">_xll.DBRW(Server&amp;Cube1,$F$17,$F$18,$F$19,$F$16,$C$14,$F$15,$F$14,$F$20,I$2,I$1,$C148)</f>
        <v/>
      </c>
      <c r="J148" s="221" t="str">
        <f ca="1">_xll.DBRW(Server&amp;Cube1,$F$17,$F$18,$F$19,$F$16,$C$14,$F$15,$F$14,$F$20,J$2,J$1,$C148)</f>
        <v/>
      </c>
      <c r="K148" s="221" t="e">
        <f ca="1">_xll.DBRW(Server&amp;Cube1,$F$17,$F$18,$F$19,$F$16,$C$14,$F$15,$F$14,$F$20,I$2,I$1,$C148) -_xll.DBRW(Server&amp;Cube1,$F$17,$F$18,$F$19,$F$16,$C$14,$F$15,$F$14,$F$20,K$2,I$1,$C148)</f>
        <v>#VALUE!</v>
      </c>
      <c r="L148" s="221" t="e">
        <f t="shared" ca="1" si="5"/>
        <v>#VALUE!</v>
      </c>
      <c r="M148" s="221" t="e">
        <f t="shared" ca="1" si="4"/>
        <v>#VALUE!</v>
      </c>
      <c r="N148" s="229"/>
      <c r="O148" s="229" t="str">
        <f ca="1">_xll.DBRW(Server&amp;Cube1,$F$17,$F$18,$F$19,$F$16,$C$14,$F$15,$F$14,$F$20,O$2,O$1,$C148)</f>
        <v/>
      </c>
      <c r="P148" s="229"/>
      <c r="Q148" s="240" t="str">
        <f ca="1">IF(_xll.ELCOMPN(Server&amp;$C$24,C148)=0,"YES","NO")</f>
        <v>NO</v>
      </c>
      <c r="R148" s="229"/>
      <c r="S148" s="229"/>
      <c r="T148" s="230" t="str">
        <f ca="1">_xll.DBRW(Server&amp;Cube1,$F$17,$F$18,$F$19,$F$16,$C$14,$F$15,$F$14,$F$20,T$2,$T$1,$C148)</f>
        <v/>
      </c>
      <c r="U148" s="230" t="str">
        <f ca="1">_xll.DBRW(Server&amp;Cube1,$F$17,$F$18,$F$19,$F$16,$C$14,$F$15,$F$14,$F$20,U$2,$U$1,$C148)</f>
        <v/>
      </c>
      <c r="V148" s="230" t="str">
        <f ca="1">_xll.DBRW(Server&amp;Cube1,$F$17,$F$18,$F$19,$F$16,$C$14,$F$15,$F$14,$F$20,V$2,V$1,$C148)</f>
        <v/>
      </c>
      <c r="W148" s="230" t="str">
        <f ca="1">_xll.DBRW(Server&amp;Cube1,$F$17,$F$18,$F$19,$F$16,$C$14,$F$15,$F$14,$F$20,W$2,W$1,$C148)</f>
        <v/>
      </c>
      <c r="X148" s="229" t="str">
        <f ca="1">_xll.DBRW(Server&amp;Cube1,$F$17,$F$18,$F$19,$F$16,$C$14,$F$15,$F$14,$F$20,X$2,X$1,$C148)</f>
        <v/>
      </c>
      <c r="Y148" s="229" t="str">
        <f ca="1">_xll.DBRW(Server&amp;Cube1,$F$17,$F$18,$F$19,$F$16,$C$14,$F$15,$F$14,$F$20,Y$2,Y$1,$C148)</f>
        <v/>
      </c>
      <c r="Z148" s="229" t="str">
        <f ca="1">_xll.DBRW(Server&amp;Cube1,$F$17,$F$18,$F$19,$F$16,$C$14,$F$15,$F$14,$F$20,Z$2,Z$1,$C148)</f>
        <v/>
      </c>
      <c r="AA148" s="229" t="str">
        <f ca="1">_xll.DBRW(Server&amp;Cube1,$F$17,$F$18,$F$19,$F$16,$C$14,$F$15,$F$14,$F$20,AA$2,AA$1,$C148)</f>
        <v/>
      </c>
      <c r="AB148" s="229" t="str">
        <f ca="1">_xll.DBRW(Server&amp;Cube1,$F$17,$F$18,$F$19,$F$16,$C$14,$F$15,$F$14,$F$20,AB$2,AB$1,$C148)</f>
        <v/>
      </c>
      <c r="AC148" s="229" t="str">
        <f ca="1">_xll.DBRW(Server&amp;Cube1,$F$17,$F$18,$F$19,$F$16,$C$14,$F$15,$F$14,$F$20,AC$2,AC$1,$C148)</f>
        <v/>
      </c>
      <c r="AD148" s="229" t="str">
        <f ca="1">_xll.DBRW(Server&amp;Cube1,$F$17,$F$18,$F$19,$F$16,$C$14,$F$15,$F$14,$F$20,AD$2,AD$1,$C148)</f>
        <v/>
      </c>
      <c r="AE148" s="229" t="str">
        <f ca="1">_xll.DBRW(Server&amp;Cube1,$F$17,$F$18,$F$19,$F$16,$C$14,$F$15,$F$14,$F$20,AE$2,AE$1,$C148)</f>
        <v/>
      </c>
      <c r="AF148" s="229" t="str">
        <f ca="1">_xll.DBRW(Server&amp;Cube1,$F$17,$F$18,$F$19,$F$16,$C$14,$F$15,$F$14,$F$20,AF$2,$AF$1,$C148)</f>
        <v/>
      </c>
      <c r="AP148" s="1"/>
    </row>
    <row r="149" spans="1:53" ht="18.75" customHeight="1" x14ac:dyDescent="0.3">
      <c r="A149" s="181" t="e">
        <f ca="1">IF($AT$35="YES",1,IF(_xll.ELCOMPN(Server&amp;$C$24,C149)&lt;&gt;0,1,IF(OR(B149=$AZ$35,B149="ALL"),1,0)))</f>
        <v>#VALUE!</v>
      </c>
      <c r="B149" s="163" t="str">
        <f t="shared" si="6"/>
        <v>DS</v>
      </c>
      <c r="C149" s="158" t="s">
        <v>250</v>
      </c>
      <c r="D149" s="24"/>
      <c r="E149" s="268" t="str">
        <f ca="1">_xll.DBRA(Server&amp;$C$24,$C149,$F$21)</f>
        <v>Réception, Séminaires (SO)</v>
      </c>
      <c r="F149" s="268"/>
      <c r="G149" s="268"/>
      <c r="H149" s="43"/>
      <c r="I149" s="221" t="str">
        <f ca="1">_xll.DBRW(Server&amp;Cube1,$F$17,$F$18,$F$19,$F$16,$C$14,$F$15,$F$14,$F$20,I$2,I$1,$C149)</f>
        <v/>
      </c>
      <c r="J149" s="221" t="str">
        <f ca="1">_xll.DBRW(Server&amp;Cube1,$F$17,$F$18,$F$19,$F$16,$C$14,$F$15,$F$14,$F$20,J$2,J$1,$C149)</f>
        <v/>
      </c>
      <c r="K149" s="221" t="e">
        <f ca="1">_xll.DBRW(Server&amp;Cube1,$F$17,$F$18,$F$19,$F$16,$C$14,$F$15,$F$14,$F$20,I$2,I$1,$C149) -_xll.DBRW(Server&amp;Cube1,$F$17,$F$18,$F$19,$F$16,$C$14,$F$15,$F$14,$F$20,K$2,I$1,$C149)</f>
        <v>#VALUE!</v>
      </c>
      <c r="L149" s="221" t="e">
        <f t="shared" ca="1" si="5"/>
        <v>#VALUE!</v>
      </c>
      <c r="M149" s="221" t="e">
        <f t="shared" ca="1" si="4"/>
        <v>#VALUE!</v>
      </c>
      <c r="N149" s="226"/>
      <c r="O149" s="221" t="str">
        <f ca="1">_xll.DBRW(Server&amp;Cube1,$F$17,$F$18,$F$19,$F$16,$C$14,$F$15,$F$14,$F$20,O$2,O$1,$C149)</f>
        <v/>
      </c>
      <c r="P149" s="226"/>
      <c r="Q149" s="240" t="str">
        <f ca="1">IF(_xll.ELCOMPN(Server&amp;$C$24,C149)=0,"YES","NO")</f>
        <v>YES</v>
      </c>
      <c r="R149" s="241">
        <v>0</v>
      </c>
      <c r="S149" s="226"/>
      <c r="T149" s="227" t="str">
        <f ca="1">_xll.DBRW(Server&amp;Cube1,$F$17,$F$18,$F$19,$F$16,$C$14,$F$15,$F$14,$F$20,T$2,$T$1,$C149)</f>
        <v/>
      </c>
      <c r="U149" s="227" t="str">
        <f ca="1">_xll.DBRW(Server&amp;Cube1,$F$17,$F$18,$F$19,$F$16,$C$14,$F$15,$F$14,$F$20,U$2,$U$1,$C149)</f>
        <v/>
      </c>
      <c r="V149" s="227" t="str">
        <f ca="1">_xll.DBRW(Server&amp;Cube1,$F$17,$F$18,$F$19,$F$16,$C$14,$F$15,$F$14,$F$20,V$2,V$1,$C149)</f>
        <v/>
      </c>
      <c r="W149" s="227" t="str">
        <f ca="1">_xll.DBRW(Server&amp;Cube1,$F$17,$F$18,$F$19,$F$16,$C$14,$F$15,$F$14,$F$20,W$2,W$1,$C149)</f>
        <v/>
      </c>
      <c r="X149" s="227" t="str">
        <f ca="1">_xll.DBRW(Server&amp;Cube1,$F$17,$F$18,$F$19,$F$16,$C$14,$F$15,$F$14,$F$20,X$2,X$1,$C149)</f>
        <v/>
      </c>
      <c r="Y149" s="227" t="str">
        <f ca="1">_xll.DBRW(Server&amp;Cube1,$F$17,$F$18,$F$19,$F$16,$C$14,$F$15,$F$14,$F$20,Y$2,Y$1,$C149)</f>
        <v/>
      </c>
      <c r="Z149" s="241"/>
      <c r="AA149" s="241"/>
      <c r="AB149" s="241"/>
      <c r="AC149" s="241"/>
      <c r="AD149" s="241"/>
      <c r="AE149" s="241"/>
      <c r="AF149" s="221" t="str">
        <f ca="1">_xll.DBRW(Server&amp;Cube1,$F$17,$F$18,$F$19,$F$16,$C$14,$F$15,$F$14,$F$20,AF$2,$AF$1,$C149)</f>
        <v/>
      </c>
      <c r="AG149" s="53"/>
      <c r="AH149" s="53"/>
      <c r="AI149" s="53"/>
      <c r="AJ149" s="53"/>
      <c r="AK149" s="53"/>
      <c r="AL149" s="53"/>
      <c r="AM149" s="53"/>
      <c r="AN149" s="53"/>
      <c r="AO149" s="53"/>
      <c r="AP149" s="1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</row>
    <row r="150" spans="1:53" ht="18.75" customHeight="1" x14ac:dyDescent="0.3">
      <c r="A150" s="181" t="e">
        <f ca="1">IF($AT$35="YES",1,IF(_xll.ELCOMPN(Server&amp;$C$24,C150)&lt;&gt;0,1,IF(OR(B150=$AZ$35,B150="ALL"),1,0)))</f>
        <v>#VALUE!</v>
      </c>
      <c r="B150" s="163" t="str">
        <f t="shared" si="6"/>
        <v>BD</v>
      </c>
      <c r="C150" s="158" t="s">
        <v>251</v>
      </c>
      <c r="D150" s="24"/>
      <c r="E150" s="268" t="str">
        <f ca="1">_xll.DBRA(Server&amp;$C$24,$C150,$F$21)</f>
        <v>Réception, Séminaires (DC)</v>
      </c>
      <c r="F150" s="268"/>
      <c r="G150" s="268"/>
      <c r="H150" s="43"/>
      <c r="I150" s="221" t="str">
        <f ca="1">_xll.DBRW(Server&amp;Cube1,$F$17,$F$18,$F$19,$F$16,$C$14,$F$15,$F$14,$F$20,I$2,I$1,$C150)</f>
        <v/>
      </c>
      <c r="J150" s="221" t="str">
        <f ca="1">_xll.DBRW(Server&amp;Cube1,$F$17,$F$18,$F$19,$F$16,$C$14,$F$15,$F$14,$F$20,J$2,J$1,$C150)</f>
        <v/>
      </c>
      <c r="K150" s="221" t="e">
        <f ca="1">_xll.DBRW(Server&amp;Cube1,$F$17,$F$18,$F$19,$F$16,$C$14,$F$15,$F$14,$F$20,I$2,I$1,$C150) -_xll.DBRW(Server&amp;Cube1,$F$17,$F$18,$F$19,$F$16,$C$14,$F$15,$F$14,$F$20,K$2,I$1,$C150)</f>
        <v>#VALUE!</v>
      </c>
      <c r="L150" s="221" t="e">
        <f t="shared" ca="1" si="5"/>
        <v>#VALUE!</v>
      </c>
      <c r="M150" s="221" t="e">
        <f t="shared" ca="1" si="4"/>
        <v>#VALUE!</v>
      </c>
      <c r="N150" s="226"/>
      <c r="O150" s="221" t="str">
        <f ca="1">_xll.DBRW(Server&amp;Cube1,$F$17,$F$18,$F$19,$F$16,$C$14,$F$15,$F$14,$F$20,O$2,O$1,$C150)</f>
        <v/>
      </c>
      <c r="P150" s="226"/>
      <c r="Q150" s="240" t="str">
        <f ca="1">IF(_xll.ELCOMPN(Server&amp;$C$24,C150)=0,"YES","NO")</f>
        <v>YES</v>
      </c>
      <c r="R150" s="241">
        <v>0</v>
      </c>
      <c r="S150" s="226"/>
      <c r="T150" s="227" t="str">
        <f ca="1">_xll.DBRW(Server&amp;Cube1,$F$17,$F$18,$F$19,$F$16,$C$14,$F$15,$F$14,$F$20,T$2,$T$1,$C150)</f>
        <v/>
      </c>
      <c r="U150" s="227" t="str">
        <f ca="1">_xll.DBRW(Server&amp;Cube1,$F$17,$F$18,$F$19,$F$16,$C$14,$F$15,$F$14,$F$20,U$2,$U$1,$C150)</f>
        <v/>
      </c>
      <c r="V150" s="227" t="str">
        <f ca="1">_xll.DBRW(Server&amp;Cube1,$F$17,$F$18,$F$19,$F$16,$C$14,$F$15,$F$14,$F$20,V$2,V$1,$C150)</f>
        <v/>
      </c>
      <c r="W150" s="227" t="str">
        <f ca="1">_xll.DBRW(Server&amp;Cube1,$F$17,$F$18,$F$19,$F$16,$C$14,$F$15,$F$14,$F$20,W$2,W$1,$C150)</f>
        <v/>
      </c>
      <c r="X150" s="227" t="str">
        <f ca="1">_xll.DBRW(Server&amp;Cube1,$F$17,$F$18,$F$19,$F$16,$C$14,$F$15,$F$14,$F$20,X$2,X$1,$C150)</f>
        <v/>
      </c>
      <c r="Y150" s="227" t="str">
        <f ca="1">_xll.DBRW(Server&amp;Cube1,$F$17,$F$18,$F$19,$F$16,$C$14,$F$15,$F$14,$F$20,Y$2,Y$1,$C150)</f>
        <v/>
      </c>
      <c r="Z150" s="241"/>
      <c r="AA150" s="241"/>
      <c r="AB150" s="241"/>
      <c r="AC150" s="241"/>
      <c r="AD150" s="241"/>
      <c r="AE150" s="241"/>
      <c r="AF150" s="221" t="str">
        <f ca="1">_xll.DBRW(Server&amp;Cube1,$F$17,$F$18,$F$19,$F$16,$C$14,$F$15,$F$14,$F$20,AF$2,$AF$1,$C150)</f>
        <v/>
      </c>
      <c r="AG150" s="53"/>
      <c r="AH150" s="53"/>
      <c r="AI150" s="53"/>
      <c r="AJ150" s="53"/>
      <c r="AK150" s="53"/>
      <c r="AL150" s="53"/>
      <c r="AM150" s="53"/>
      <c r="AN150" s="53"/>
      <c r="AO150" s="53"/>
      <c r="AP150" s="1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</row>
    <row r="151" spans="1:53" ht="18.75" customHeight="1" x14ac:dyDescent="0.3">
      <c r="A151" s="181" t="e">
        <f ca="1">IF($AT$35="YES",1,IF(_xll.ELCOMPN(Server&amp;$C$24,C151)&lt;&gt;0,1,IF(OR(B151=$AZ$35,B151="ALL"),1,0)))</f>
        <v>#VALUE!</v>
      </c>
      <c r="B151" s="163" t="str">
        <f t="shared" si="6"/>
        <v>FI</v>
      </c>
      <c r="C151" s="158" t="s">
        <v>252</v>
      </c>
      <c r="D151" s="24"/>
      <c r="E151" s="268" t="str">
        <f ca="1">_xll.DBRA(Server&amp;$C$24,$C151,$F$21)</f>
        <v>Réception, Séminaires (DF)</v>
      </c>
      <c r="F151" s="268"/>
      <c r="G151" s="268"/>
      <c r="H151" s="43"/>
      <c r="I151" s="221" t="str">
        <f ca="1">_xll.DBRW(Server&amp;Cube1,$F$17,$F$18,$F$19,$F$16,$C$14,$F$15,$F$14,$F$20,I$2,I$1,$C151)</f>
        <v/>
      </c>
      <c r="J151" s="221" t="str">
        <f ca="1">_xll.DBRW(Server&amp;Cube1,$F$17,$F$18,$F$19,$F$16,$C$14,$F$15,$F$14,$F$20,J$2,J$1,$C151)</f>
        <v/>
      </c>
      <c r="K151" s="221" t="e">
        <f ca="1">_xll.DBRW(Server&amp;Cube1,$F$17,$F$18,$F$19,$F$16,$C$14,$F$15,$F$14,$F$20,I$2,I$1,$C151) -_xll.DBRW(Server&amp;Cube1,$F$17,$F$18,$F$19,$F$16,$C$14,$F$15,$F$14,$F$20,K$2,I$1,$C151)</f>
        <v>#VALUE!</v>
      </c>
      <c r="L151" s="221" t="e">
        <f t="shared" ca="1" si="5"/>
        <v>#VALUE!</v>
      </c>
      <c r="M151" s="221" t="e">
        <f t="shared" ca="1" si="4"/>
        <v>#VALUE!</v>
      </c>
      <c r="N151" s="226"/>
      <c r="O151" s="221" t="str">
        <f ca="1">_xll.DBRW(Server&amp;Cube1,$F$17,$F$18,$F$19,$F$16,$C$14,$F$15,$F$14,$F$20,O$2,O$1,$C151)</f>
        <v/>
      </c>
      <c r="P151" s="226"/>
      <c r="Q151" s="240" t="str">
        <f ca="1">IF(_xll.ELCOMPN(Server&amp;$C$24,C151)=0,"YES","NO")</f>
        <v>YES</v>
      </c>
      <c r="R151" s="241">
        <v>0</v>
      </c>
      <c r="S151" s="226"/>
      <c r="T151" s="227" t="str">
        <f ca="1">_xll.DBRW(Server&amp;Cube1,$F$17,$F$18,$F$19,$F$16,$C$14,$F$15,$F$14,$F$20,T$2,$T$1,$C151)</f>
        <v/>
      </c>
      <c r="U151" s="227" t="str">
        <f ca="1">_xll.DBRW(Server&amp;Cube1,$F$17,$F$18,$F$19,$F$16,$C$14,$F$15,$F$14,$F$20,U$2,$U$1,$C151)</f>
        <v/>
      </c>
      <c r="V151" s="227" t="str">
        <f ca="1">_xll.DBRW(Server&amp;Cube1,$F$17,$F$18,$F$19,$F$16,$C$14,$F$15,$F$14,$F$20,V$2,V$1,$C151)</f>
        <v/>
      </c>
      <c r="W151" s="227" t="str">
        <f ca="1">_xll.DBRW(Server&amp;Cube1,$F$17,$F$18,$F$19,$F$16,$C$14,$F$15,$F$14,$F$20,W$2,W$1,$C151)</f>
        <v/>
      </c>
      <c r="X151" s="227" t="str">
        <f ca="1">_xll.DBRW(Server&amp;Cube1,$F$17,$F$18,$F$19,$F$16,$C$14,$F$15,$F$14,$F$20,X$2,X$1,$C151)</f>
        <v/>
      </c>
      <c r="Y151" s="227" t="str">
        <f ca="1">_xll.DBRW(Server&amp;Cube1,$F$17,$F$18,$F$19,$F$16,$C$14,$F$15,$F$14,$F$20,Y$2,Y$1,$C151)</f>
        <v/>
      </c>
      <c r="Z151" s="241"/>
      <c r="AA151" s="241"/>
      <c r="AB151" s="241"/>
      <c r="AC151" s="241"/>
      <c r="AD151" s="241"/>
      <c r="AE151" s="241"/>
      <c r="AF151" s="221" t="str">
        <f ca="1">_xll.DBRW(Server&amp;Cube1,$F$17,$F$18,$F$19,$F$16,$C$14,$F$15,$F$14,$F$20,AF$2,$AF$1,$C151)</f>
        <v/>
      </c>
      <c r="AG151" s="53"/>
      <c r="AH151" s="53"/>
      <c r="AI151" s="53"/>
      <c r="AJ151" s="53"/>
      <c r="AK151" s="53"/>
      <c r="AL151" s="53"/>
      <c r="AM151" s="53"/>
      <c r="AN151" s="53"/>
      <c r="AO151" s="53"/>
      <c r="AP151" s="1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</row>
    <row r="152" spans="1:53" ht="18.75" customHeight="1" x14ac:dyDescent="0.3">
      <c r="A152" s="181" t="e">
        <f ca="1">IF($AT$35="YES",1,IF(_xll.ELCOMPN(Server&amp;$C$24,C152)&lt;&gt;0,1,IF(OR(B152=$AZ$35,B152="ALL"),1,0)))</f>
        <v>#VALUE!</v>
      </c>
      <c r="B152" s="163" t="str">
        <f t="shared" si="6"/>
        <v>IT</v>
      </c>
      <c r="C152" s="158" t="s">
        <v>253</v>
      </c>
      <c r="D152" s="24"/>
      <c r="E152" s="268" t="str">
        <f ca="1">_xll.DBRA(Server&amp;$C$24,$C152,$F$21)</f>
        <v>Réception, Séminaires (IT)</v>
      </c>
      <c r="F152" s="268"/>
      <c r="G152" s="268"/>
      <c r="H152" s="43"/>
      <c r="I152" s="221" t="str">
        <f ca="1">_xll.DBRW(Server&amp;Cube1,$F$17,$F$18,$F$19,$F$16,$C$14,$F$15,$F$14,$F$20,I$2,I$1,$C152)</f>
        <v/>
      </c>
      <c r="J152" s="221" t="str">
        <f ca="1">_xll.DBRW(Server&amp;Cube1,$F$17,$F$18,$F$19,$F$16,$C$14,$F$15,$F$14,$F$20,J$2,J$1,$C152)</f>
        <v/>
      </c>
      <c r="K152" s="221" t="e">
        <f ca="1">_xll.DBRW(Server&amp;Cube1,$F$17,$F$18,$F$19,$F$16,$C$14,$F$15,$F$14,$F$20,I$2,I$1,$C152) -_xll.DBRW(Server&amp;Cube1,$F$17,$F$18,$F$19,$F$16,$C$14,$F$15,$F$14,$F$20,K$2,I$1,$C152)</f>
        <v>#VALUE!</v>
      </c>
      <c r="L152" s="221" t="e">
        <f t="shared" ca="1" si="5"/>
        <v>#VALUE!</v>
      </c>
      <c r="M152" s="221" t="e">
        <f t="shared" ca="1" si="4"/>
        <v>#VALUE!</v>
      </c>
      <c r="N152" s="226"/>
      <c r="O152" s="221" t="str">
        <f ca="1">_xll.DBRW(Server&amp;Cube1,$F$17,$F$18,$F$19,$F$16,$C$14,$F$15,$F$14,$F$20,O$2,O$1,$C152)</f>
        <v/>
      </c>
      <c r="P152" s="226"/>
      <c r="Q152" s="240" t="str">
        <f ca="1">IF(_xll.ELCOMPN(Server&amp;$C$24,C152)=0,"YES","NO")</f>
        <v>YES</v>
      </c>
      <c r="R152" s="241">
        <v>0</v>
      </c>
      <c r="S152" s="226"/>
      <c r="T152" s="227" t="str">
        <f ca="1">_xll.DBRW(Server&amp;Cube1,$F$17,$F$18,$F$19,$F$16,$C$14,$F$15,$F$14,$F$20,T$2,$T$1,$C152)</f>
        <v/>
      </c>
      <c r="U152" s="227" t="str">
        <f ca="1">_xll.DBRW(Server&amp;Cube1,$F$17,$F$18,$F$19,$F$16,$C$14,$F$15,$F$14,$F$20,U$2,$U$1,$C152)</f>
        <v/>
      </c>
      <c r="V152" s="227" t="str">
        <f ca="1">_xll.DBRW(Server&amp;Cube1,$F$17,$F$18,$F$19,$F$16,$C$14,$F$15,$F$14,$F$20,V$2,V$1,$C152)</f>
        <v/>
      </c>
      <c r="W152" s="227" t="str">
        <f ca="1">_xll.DBRW(Server&amp;Cube1,$F$17,$F$18,$F$19,$F$16,$C$14,$F$15,$F$14,$F$20,W$2,W$1,$C152)</f>
        <v/>
      </c>
      <c r="X152" s="227" t="str">
        <f ca="1">_xll.DBRW(Server&amp;Cube1,$F$17,$F$18,$F$19,$F$16,$C$14,$F$15,$F$14,$F$20,X$2,X$1,$C152)</f>
        <v/>
      </c>
      <c r="Y152" s="227" t="str">
        <f ca="1">_xll.DBRW(Server&amp;Cube1,$F$17,$F$18,$F$19,$F$16,$C$14,$F$15,$F$14,$F$20,Y$2,Y$1,$C152)</f>
        <v/>
      </c>
      <c r="Z152" s="241"/>
      <c r="AA152" s="241"/>
      <c r="AB152" s="241"/>
      <c r="AC152" s="241"/>
      <c r="AD152" s="241"/>
      <c r="AE152" s="241"/>
      <c r="AF152" s="221" t="str">
        <f ca="1">_xll.DBRW(Server&amp;Cube1,$F$17,$F$18,$F$19,$F$16,$C$14,$F$15,$F$14,$F$20,AF$2,$AF$1,$C152)</f>
        <v/>
      </c>
      <c r="AG152" s="53"/>
      <c r="AH152" s="53"/>
      <c r="AI152" s="53"/>
      <c r="AJ152" s="53"/>
      <c r="AK152" s="53"/>
      <c r="AL152" s="53"/>
      <c r="AM152" s="53"/>
      <c r="AN152" s="53"/>
      <c r="AO152" s="53"/>
      <c r="AP152" s="1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</row>
    <row r="153" spans="1:53" ht="18.75" customHeight="1" x14ac:dyDescent="0.3">
      <c r="A153" s="181" t="e">
        <f ca="1">IF($AT$35="YES",1,IF(_xll.ELCOMPN(Server&amp;$C$24,C153)&lt;&gt;0,1,IF(OR(B153=$AZ$35,B153="ALL"),1,0)))</f>
        <v>#VALUE!</v>
      </c>
      <c r="B153" s="163" t="str">
        <f t="shared" si="6"/>
        <v>HR</v>
      </c>
      <c r="C153" s="158" t="s">
        <v>254</v>
      </c>
      <c r="D153" s="24"/>
      <c r="E153" s="268" t="str">
        <f ca="1">_xll.DBRA(Server&amp;$C$24,$C153,$F$21)</f>
        <v>Réception, Séminaires (RH)</v>
      </c>
      <c r="F153" s="268"/>
      <c r="G153" s="268"/>
      <c r="H153" s="43"/>
      <c r="I153" s="221" t="str">
        <f ca="1">_xll.DBRW(Server&amp;Cube1,$F$17,$F$18,$F$19,$F$16,$C$14,$F$15,$F$14,$F$20,I$2,I$1,$C153)</f>
        <v/>
      </c>
      <c r="J153" s="221" t="str">
        <f ca="1">_xll.DBRW(Server&amp;Cube1,$F$17,$F$18,$F$19,$F$16,$C$14,$F$15,$F$14,$F$20,J$2,J$1,$C153)</f>
        <v/>
      </c>
      <c r="K153" s="221" t="e">
        <f ca="1">_xll.DBRW(Server&amp;Cube1,$F$17,$F$18,$F$19,$F$16,$C$14,$F$15,$F$14,$F$20,I$2,I$1,$C153) -_xll.DBRW(Server&amp;Cube1,$F$17,$F$18,$F$19,$F$16,$C$14,$F$15,$F$14,$F$20,K$2,I$1,$C153)</f>
        <v>#VALUE!</v>
      </c>
      <c r="L153" s="221" t="e">
        <f t="shared" ca="1" si="5"/>
        <v>#VALUE!</v>
      </c>
      <c r="M153" s="221" t="e">
        <f t="shared" ca="1" si="4"/>
        <v>#VALUE!</v>
      </c>
      <c r="N153" s="226"/>
      <c r="O153" s="221" t="str">
        <f ca="1">_xll.DBRW(Server&amp;Cube1,$F$17,$F$18,$F$19,$F$16,$C$14,$F$15,$F$14,$F$20,O$2,O$1,$C153)</f>
        <v/>
      </c>
      <c r="P153" s="226"/>
      <c r="Q153" s="240" t="str">
        <f ca="1">IF(_xll.ELCOMPN(Server&amp;$C$24,C153)=0,"YES","NO")</f>
        <v>YES</v>
      </c>
      <c r="R153" s="241">
        <v>0</v>
      </c>
      <c r="S153" s="226"/>
      <c r="T153" s="227" t="str">
        <f ca="1">_xll.DBRW(Server&amp;Cube1,$F$17,$F$18,$F$19,$F$16,$C$14,$F$15,$F$14,$F$20,T$2,$T$1,$C153)</f>
        <v/>
      </c>
      <c r="U153" s="227" t="str">
        <f ca="1">_xll.DBRW(Server&amp;Cube1,$F$17,$F$18,$F$19,$F$16,$C$14,$F$15,$F$14,$F$20,U$2,$U$1,$C153)</f>
        <v/>
      </c>
      <c r="V153" s="227" t="str">
        <f ca="1">_xll.DBRW(Server&amp;Cube1,$F$17,$F$18,$F$19,$F$16,$C$14,$F$15,$F$14,$F$20,V$2,V$1,$C153)</f>
        <v/>
      </c>
      <c r="W153" s="227" t="str">
        <f ca="1">_xll.DBRW(Server&amp;Cube1,$F$17,$F$18,$F$19,$F$16,$C$14,$F$15,$F$14,$F$20,W$2,W$1,$C153)</f>
        <v/>
      </c>
      <c r="X153" s="227" t="str">
        <f ca="1">_xll.DBRW(Server&amp;Cube1,$F$17,$F$18,$F$19,$F$16,$C$14,$F$15,$F$14,$F$20,X$2,X$1,$C153)</f>
        <v/>
      </c>
      <c r="Y153" s="227" t="str">
        <f ca="1">_xll.DBRW(Server&amp;Cube1,$F$17,$F$18,$F$19,$F$16,$C$14,$F$15,$F$14,$F$20,Y$2,Y$1,$C153)</f>
        <v/>
      </c>
      <c r="Z153" s="241"/>
      <c r="AA153" s="241"/>
      <c r="AB153" s="241"/>
      <c r="AC153" s="241"/>
      <c r="AD153" s="241"/>
      <c r="AE153" s="241"/>
      <c r="AF153" s="221" t="str">
        <f ca="1">_xll.DBRW(Server&amp;Cube1,$F$17,$F$18,$F$19,$F$16,$C$14,$F$15,$F$14,$F$20,AF$2,$AF$1,$C153)</f>
        <v/>
      </c>
      <c r="AG153" s="53"/>
      <c r="AH153" s="53"/>
      <c r="AI153" s="53"/>
      <c r="AJ153" s="53"/>
      <c r="AK153" s="53"/>
      <c r="AL153" s="53"/>
      <c r="AM153" s="53"/>
      <c r="AN153" s="53"/>
      <c r="AO153" s="53"/>
      <c r="AP153" s="1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</row>
    <row r="154" spans="1:53" ht="18.75" customHeight="1" x14ac:dyDescent="0.3">
      <c r="A154" s="181" t="e">
        <f ca="1">IF($AT$35="YES",1,IF(_xll.ELCOMPN(Server&amp;$C$24,C154)&lt;&gt;0,1,IF(OR(B154=$AZ$35,B154="ALL"),1,0)))</f>
        <v>#VALUE!</v>
      </c>
      <c r="B154" s="163" t="str">
        <f t="shared" si="6"/>
        <v>GM</v>
      </c>
      <c r="C154" s="158" t="s">
        <v>255</v>
      </c>
      <c r="D154" s="24"/>
      <c r="E154" s="268" t="str">
        <f ca="1">_xll.DBRA(Server&amp;$C$24,$C154,$F$21)</f>
        <v>Réception, Séminaires (DG)</v>
      </c>
      <c r="F154" s="268"/>
      <c r="G154" s="268"/>
      <c r="H154" s="43"/>
      <c r="I154" s="221" t="str">
        <f ca="1">_xll.DBRW(Server&amp;Cube1,$F$17,$F$18,$F$19,$F$16,$C$14,$F$15,$F$14,$F$20,I$2,I$1,$C154)</f>
        <v/>
      </c>
      <c r="J154" s="221" t="str">
        <f ca="1">_xll.DBRW(Server&amp;Cube1,$F$17,$F$18,$F$19,$F$16,$C$14,$F$15,$F$14,$F$20,J$2,J$1,$C154)</f>
        <v/>
      </c>
      <c r="K154" s="221" t="e">
        <f ca="1">_xll.DBRW(Server&amp;Cube1,$F$17,$F$18,$F$19,$F$16,$C$14,$F$15,$F$14,$F$20,I$2,I$1,$C154) -_xll.DBRW(Server&amp;Cube1,$F$17,$F$18,$F$19,$F$16,$C$14,$F$15,$F$14,$F$20,K$2,I$1,$C154)</f>
        <v>#VALUE!</v>
      </c>
      <c r="L154" s="221" t="e">
        <f t="shared" ca="1" si="5"/>
        <v>#VALUE!</v>
      </c>
      <c r="M154" s="221" t="e">
        <f t="shared" ref="M154:M217" ca="1" si="7">$L154-$I154</f>
        <v>#VALUE!</v>
      </c>
      <c r="N154" s="226"/>
      <c r="O154" s="221" t="str">
        <f ca="1">_xll.DBRW(Server&amp;Cube1,$F$17,$F$18,$F$19,$F$16,$C$14,$F$15,$F$14,$F$20,O$2,O$1,$C154)</f>
        <v/>
      </c>
      <c r="P154" s="226"/>
      <c r="Q154" s="240" t="str">
        <f ca="1">IF(_xll.ELCOMPN(Server&amp;$C$24,C154)=0,"YES","NO")</f>
        <v>YES</v>
      </c>
      <c r="R154" s="241">
        <v>0</v>
      </c>
      <c r="S154" s="226"/>
      <c r="T154" s="227" t="str">
        <f ca="1">_xll.DBRW(Server&amp;Cube1,$F$17,$F$18,$F$19,$F$16,$C$14,$F$15,$F$14,$F$20,T$2,$T$1,$C154)</f>
        <v/>
      </c>
      <c r="U154" s="227" t="str">
        <f ca="1">_xll.DBRW(Server&amp;Cube1,$F$17,$F$18,$F$19,$F$16,$C$14,$F$15,$F$14,$F$20,U$2,$U$1,$C154)</f>
        <v/>
      </c>
      <c r="V154" s="227" t="str">
        <f ca="1">_xll.DBRW(Server&amp;Cube1,$F$17,$F$18,$F$19,$F$16,$C$14,$F$15,$F$14,$F$20,V$2,V$1,$C154)</f>
        <v/>
      </c>
      <c r="W154" s="227" t="str">
        <f ca="1">_xll.DBRW(Server&amp;Cube1,$F$17,$F$18,$F$19,$F$16,$C$14,$F$15,$F$14,$F$20,W$2,W$1,$C154)</f>
        <v/>
      </c>
      <c r="X154" s="227" t="str">
        <f ca="1">_xll.DBRW(Server&amp;Cube1,$F$17,$F$18,$F$19,$F$16,$C$14,$F$15,$F$14,$F$20,X$2,X$1,$C154)</f>
        <v/>
      </c>
      <c r="Y154" s="227" t="str">
        <f ca="1">_xll.DBRW(Server&amp;Cube1,$F$17,$F$18,$F$19,$F$16,$C$14,$F$15,$F$14,$F$20,Y$2,Y$1,$C154)</f>
        <v/>
      </c>
      <c r="Z154" s="241"/>
      <c r="AA154" s="241"/>
      <c r="AB154" s="241"/>
      <c r="AC154" s="241"/>
      <c r="AD154" s="241"/>
      <c r="AE154" s="241"/>
      <c r="AF154" s="221" t="str">
        <f ca="1">_xll.DBRW(Server&amp;Cube1,$F$17,$F$18,$F$19,$F$16,$C$14,$F$15,$F$14,$F$20,AF$2,$AF$1,$C154)</f>
        <v/>
      </c>
      <c r="AG154" s="53"/>
      <c r="AH154" s="53"/>
      <c r="AI154" s="53"/>
      <c r="AJ154" s="53"/>
      <c r="AK154" s="53"/>
      <c r="AL154" s="53"/>
      <c r="AM154" s="53"/>
      <c r="AN154" s="53"/>
      <c r="AO154" s="53"/>
      <c r="AP154" s="1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</row>
    <row r="155" spans="1:53" ht="18.75" customHeight="1" x14ac:dyDescent="0.3">
      <c r="A155" s="181" t="e">
        <f ca="1">IF($AT$35="YES",1,IF(_xll.ELCOMPN(Server&amp;$C$24,C155)&lt;&gt;0,1,IF(OR(B155=$AZ$35,B155="ALL"),1,0)))</f>
        <v>#VALUE!</v>
      </c>
      <c r="B155" s="163" t="str">
        <f t="shared" si="6"/>
        <v>IA</v>
      </c>
      <c r="C155" s="158" t="s">
        <v>256</v>
      </c>
      <c r="D155" s="24"/>
      <c r="E155" s="268" t="str">
        <f ca="1">_xll.DBRA(Server&amp;$C$24,$C155,$F$21)</f>
        <v>Réception, Séminaires (AI)</v>
      </c>
      <c r="F155" s="268"/>
      <c r="G155" s="268"/>
      <c r="H155" s="43"/>
      <c r="I155" s="221" t="str">
        <f ca="1">_xll.DBRW(Server&amp;Cube1,$F$17,$F$18,$F$19,$F$16,$C$14,$F$15,$F$14,$F$20,I$2,I$1,$C155)</f>
        <v/>
      </c>
      <c r="J155" s="221" t="str">
        <f ca="1">_xll.DBRW(Server&amp;Cube1,$F$17,$F$18,$F$19,$F$16,$C$14,$F$15,$F$14,$F$20,J$2,J$1,$C155)</f>
        <v/>
      </c>
      <c r="K155" s="221" t="e">
        <f ca="1">_xll.DBRW(Server&amp;Cube1,$F$17,$F$18,$F$19,$F$16,$C$14,$F$15,$F$14,$F$20,I$2,I$1,$C155) -_xll.DBRW(Server&amp;Cube1,$F$17,$F$18,$F$19,$F$16,$C$14,$F$15,$F$14,$F$20,K$2,I$1,$C155)</f>
        <v>#VALUE!</v>
      </c>
      <c r="L155" s="221" t="e">
        <f t="shared" ca="1" si="5"/>
        <v>#VALUE!</v>
      </c>
      <c r="M155" s="221" t="e">
        <f t="shared" ca="1" si="7"/>
        <v>#VALUE!</v>
      </c>
      <c r="N155" s="226"/>
      <c r="O155" s="221" t="str">
        <f ca="1">_xll.DBRW(Server&amp;Cube1,$F$17,$F$18,$F$19,$F$16,$C$14,$F$15,$F$14,$F$20,O$2,O$1,$C155)</f>
        <v/>
      </c>
      <c r="P155" s="226"/>
      <c r="Q155" s="240" t="str">
        <f ca="1">IF(_xll.ELCOMPN(Server&amp;$C$24,C155)=0,"YES","NO")</f>
        <v>YES</v>
      </c>
      <c r="R155" s="241">
        <v>0</v>
      </c>
      <c r="S155" s="226"/>
      <c r="T155" s="227" t="str">
        <f ca="1">_xll.DBRW(Server&amp;Cube1,$F$17,$F$18,$F$19,$F$16,$C$14,$F$15,$F$14,$F$20,T$2,$T$1,$C155)</f>
        <v/>
      </c>
      <c r="U155" s="227" t="str">
        <f ca="1">_xll.DBRW(Server&amp;Cube1,$F$17,$F$18,$F$19,$F$16,$C$14,$F$15,$F$14,$F$20,U$2,$U$1,$C155)</f>
        <v/>
      </c>
      <c r="V155" s="227" t="str">
        <f ca="1">_xll.DBRW(Server&amp;Cube1,$F$17,$F$18,$F$19,$F$16,$C$14,$F$15,$F$14,$F$20,V$2,V$1,$C155)</f>
        <v/>
      </c>
      <c r="W155" s="227" t="str">
        <f ca="1">_xll.DBRW(Server&amp;Cube1,$F$17,$F$18,$F$19,$F$16,$C$14,$F$15,$F$14,$F$20,W$2,W$1,$C155)</f>
        <v/>
      </c>
      <c r="X155" s="227" t="str">
        <f ca="1">_xll.DBRW(Server&amp;Cube1,$F$17,$F$18,$F$19,$F$16,$C$14,$F$15,$F$14,$F$20,X$2,X$1,$C155)</f>
        <v/>
      </c>
      <c r="Y155" s="227" t="str">
        <f ca="1">_xll.DBRW(Server&amp;Cube1,$F$17,$F$18,$F$19,$F$16,$C$14,$F$15,$F$14,$F$20,Y$2,Y$1,$C155)</f>
        <v/>
      </c>
      <c r="Z155" s="241"/>
      <c r="AA155" s="241"/>
      <c r="AB155" s="241"/>
      <c r="AC155" s="241"/>
      <c r="AD155" s="241"/>
      <c r="AE155" s="241"/>
      <c r="AF155" s="221" t="str">
        <f ca="1">_xll.DBRW(Server&amp;Cube1,$F$17,$F$18,$F$19,$F$16,$C$14,$F$15,$F$14,$F$20,AF$2,$AF$1,$C155)</f>
        <v/>
      </c>
      <c r="AG155" s="53"/>
      <c r="AH155" s="53"/>
      <c r="AI155" s="53"/>
      <c r="AJ155" s="53"/>
      <c r="AK155" s="53"/>
      <c r="AL155" s="53"/>
      <c r="AM155" s="53"/>
      <c r="AN155" s="53"/>
      <c r="AO155" s="53"/>
      <c r="AP155" s="1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</row>
    <row r="156" spans="1:53" ht="18.75" customHeight="1" x14ac:dyDescent="0.3">
      <c r="A156" s="181" t="e">
        <f ca="1">IF($AT$35="YES",1,IF(_xll.ELCOMPN(Server&amp;$C$24,C156)&lt;&gt;0,1,IF(OR(B156=$AZ$35,B156="ALL"),1,0)))</f>
        <v>#VALUE!</v>
      </c>
      <c r="B156" s="163" t="str">
        <f t="shared" si="6"/>
        <v>LE</v>
      </c>
      <c r="C156" s="158" t="s">
        <v>257</v>
      </c>
      <c r="D156" s="24"/>
      <c r="E156" s="268" t="str">
        <f ca="1">_xll.DBRA(Server&amp;$C$24,$C156,$F$21)</f>
        <v>Réception, Séminaires (JU)</v>
      </c>
      <c r="F156" s="268"/>
      <c r="G156" s="268"/>
      <c r="H156" s="43"/>
      <c r="I156" s="221" t="str">
        <f ca="1">_xll.DBRW(Server&amp;Cube1,$F$17,$F$18,$F$19,$F$16,$C$14,$F$15,$F$14,$F$20,I$2,I$1,$C156)</f>
        <v/>
      </c>
      <c r="J156" s="221" t="str">
        <f ca="1">_xll.DBRW(Server&amp;Cube1,$F$17,$F$18,$F$19,$F$16,$C$14,$F$15,$F$14,$F$20,J$2,J$1,$C156)</f>
        <v/>
      </c>
      <c r="K156" s="221" t="e">
        <f ca="1">_xll.DBRW(Server&amp;Cube1,$F$17,$F$18,$F$19,$F$16,$C$14,$F$15,$F$14,$F$20,I$2,I$1,$C156) -_xll.DBRW(Server&amp;Cube1,$F$17,$F$18,$F$19,$F$16,$C$14,$F$15,$F$14,$F$20,K$2,I$1,$C156)</f>
        <v>#VALUE!</v>
      </c>
      <c r="L156" s="221" t="e">
        <f t="shared" ca="1" si="5"/>
        <v>#VALUE!</v>
      </c>
      <c r="M156" s="221" t="e">
        <f t="shared" ca="1" si="7"/>
        <v>#VALUE!</v>
      </c>
      <c r="N156" s="226"/>
      <c r="O156" s="221" t="str">
        <f ca="1">_xll.DBRW(Server&amp;Cube1,$F$17,$F$18,$F$19,$F$16,$C$14,$F$15,$F$14,$F$20,O$2,O$1,$C156)</f>
        <v/>
      </c>
      <c r="P156" s="226"/>
      <c r="Q156" s="240" t="str">
        <f ca="1">IF(_xll.ELCOMPN(Server&amp;$C$24,C156)=0,"YES","NO")</f>
        <v>YES</v>
      </c>
      <c r="R156" s="241">
        <v>0</v>
      </c>
      <c r="S156" s="226"/>
      <c r="T156" s="227" t="str">
        <f ca="1">_xll.DBRW(Server&amp;Cube1,$F$17,$F$18,$F$19,$F$16,$C$14,$F$15,$F$14,$F$20,T$2,$T$1,$C156)</f>
        <v/>
      </c>
      <c r="U156" s="227" t="str">
        <f ca="1">_xll.DBRW(Server&amp;Cube1,$F$17,$F$18,$F$19,$F$16,$C$14,$F$15,$F$14,$F$20,U$2,$U$1,$C156)</f>
        <v/>
      </c>
      <c r="V156" s="227" t="str">
        <f ca="1">_xll.DBRW(Server&amp;Cube1,$F$17,$F$18,$F$19,$F$16,$C$14,$F$15,$F$14,$F$20,V$2,V$1,$C156)</f>
        <v/>
      </c>
      <c r="W156" s="227" t="str">
        <f ca="1">_xll.DBRW(Server&amp;Cube1,$F$17,$F$18,$F$19,$F$16,$C$14,$F$15,$F$14,$F$20,W$2,W$1,$C156)</f>
        <v/>
      </c>
      <c r="X156" s="227" t="str">
        <f ca="1">_xll.DBRW(Server&amp;Cube1,$F$17,$F$18,$F$19,$F$16,$C$14,$F$15,$F$14,$F$20,X$2,X$1,$C156)</f>
        <v/>
      </c>
      <c r="Y156" s="227" t="str">
        <f ca="1">_xll.DBRW(Server&amp;Cube1,$F$17,$F$18,$F$19,$F$16,$C$14,$F$15,$F$14,$F$20,Y$2,Y$1,$C156)</f>
        <v/>
      </c>
      <c r="Z156" s="241"/>
      <c r="AA156" s="241"/>
      <c r="AB156" s="241"/>
      <c r="AC156" s="241"/>
      <c r="AD156" s="241"/>
      <c r="AE156" s="241"/>
      <c r="AF156" s="221" t="str">
        <f ca="1">_xll.DBRW(Server&amp;Cube1,$F$17,$F$18,$F$19,$F$16,$C$14,$F$15,$F$14,$F$20,AF$2,$AF$1,$C156)</f>
        <v/>
      </c>
      <c r="AG156" s="53"/>
      <c r="AH156" s="53"/>
      <c r="AI156" s="53"/>
      <c r="AJ156" s="53"/>
      <c r="AK156" s="53"/>
      <c r="AL156" s="53"/>
      <c r="AM156" s="53"/>
      <c r="AN156" s="53"/>
      <c r="AO156" s="53"/>
      <c r="AP156" s="1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</row>
    <row r="157" spans="1:53" ht="18.75" customHeight="1" x14ac:dyDescent="0.3">
      <c r="A157" s="181" t="e">
        <f ca="1">IF($AT$35="YES",1,IF(_xll.ELCOMPN(Server&amp;$C$24,C157)&lt;&gt;0,1,IF(OR(B157=$AZ$35,B157="ALL"),1,0)))</f>
        <v>#VALUE!</v>
      </c>
      <c r="B157" s="163" t="str">
        <f t="shared" si="6"/>
        <v>RM</v>
      </c>
      <c r="C157" s="158" t="s">
        <v>258</v>
      </c>
      <c r="D157" s="24"/>
      <c r="E157" s="268" t="str">
        <f ca="1">_xll.DBRA(Server&amp;$C$24,$C157,$F$21)</f>
        <v>Réception, Séminaires (GR)</v>
      </c>
      <c r="F157" s="268"/>
      <c r="G157" s="268"/>
      <c r="H157" s="43"/>
      <c r="I157" s="221" t="str">
        <f ca="1">_xll.DBRW(Server&amp;Cube1,$F$17,$F$18,$F$19,$F$16,$C$14,$F$15,$F$14,$F$20,I$2,I$1,$C157)</f>
        <v/>
      </c>
      <c r="J157" s="221" t="str">
        <f ca="1">_xll.DBRW(Server&amp;Cube1,$F$17,$F$18,$F$19,$F$16,$C$14,$F$15,$F$14,$F$20,J$2,J$1,$C157)</f>
        <v/>
      </c>
      <c r="K157" s="221" t="e">
        <f ca="1">_xll.DBRW(Server&amp;Cube1,$F$17,$F$18,$F$19,$F$16,$C$14,$F$15,$F$14,$F$20,I$2,I$1,$C157) -_xll.DBRW(Server&amp;Cube1,$F$17,$F$18,$F$19,$F$16,$C$14,$F$15,$F$14,$F$20,K$2,I$1,$C157)</f>
        <v>#VALUE!</v>
      </c>
      <c r="L157" s="221" t="e">
        <f t="shared" ca="1" si="5"/>
        <v>#VALUE!</v>
      </c>
      <c r="M157" s="221" t="e">
        <f t="shared" ca="1" si="7"/>
        <v>#VALUE!</v>
      </c>
      <c r="N157" s="226"/>
      <c r="O157" s="221" t="str">
        <f ca="1">_xll.DBRW(Server&amp;Cube1,$F$17,$F$18,$F$19,$F$16,$C$14,$F$15,$F$14,$F$20,O$2,O$1,$C157)</f>
        <v/>
      </c>
      <c r="P157" s="226"/>
      <c r="Q157" s="240" t="str">
        <f ca="1">IF(_xll.ELCOMPN(Server&amp;$C$24,C157)=0,"YES","NO")</f>
        <v>YES</v>
      </c>
      <c r="R157" s="241">
        <v>0</v>
      </c>
      <c r="S157" s="226"/>
      <c r="T157" s="227" t="str">
        <f ca="1">_xll.DBRW(Server&amp;Cube1,$F$17,$F$18,$F$19,$F$16,$C$14,$F$15,$F$14,$F$20,T$2,$T$1,$C157)</f>
        <v/>
      </c>
      <c r="U157" s="227" t="str">
        <f ca="1">_xll.DBRW(Server&amp;Cube1,$F$17,$F$18,$F$19,$F$16,$C$14,$F$15,$F$14,$F$20,U$2,$U$1,$C157)</f>
        <v/>
      </c>
      <c r="V157" s="227" t="str">
        <f ca="1">_xll.DBRW(Server&amp;Cube1,$F$17,$F$18,$F$19,$F$16,$C$14,$F$15,$F$14,$F$20,V$2,V$1,$C157)</f>
        <v/>
      </c>
      <c r="W157" s="227" t="str">
        <f ca="1">_xll.DBRW(Server&amp;Cube1,$F$17,$F$18,$F$19,$F$16,$C$14,$F$15,$F$14,$F$20,W$2,W$1,$C157)</f>
        <v/>
      </c>
      <c r="X157" s="227" t="str">
        <f ca="1">_xll.DBRW(Server&amp;Cube1,$F$17,$F$18,$F$19,$F$16,$C$14,$F$15,$F$14,$F$20,X$2,X$1,$C157)</f>
        <v/>
      </c>
      <c r="Y157" s="227" t="str">
        <f ca="1">_xll.DBRW(Server&amp;Cube1,$F$17,$F$18,$F$19,$F$16,$C$14,$F$15,$F$14,$F$20,Y$2,Y$1,$C157)</f>
        <v/>
      </c>
      <c r="Z157" s="241"/>
      <c r="AA157" s="241"/>
      <c r="AB157" s="241"/>
      <c r="AC157" s="241"/>
      <c r="AD157" s="241"/>
      <c r="AE157" s="241"/>
      <c r="AF157" s="221" t="str">
        <f ca="1">_xll.DBRW(Server&amp;Cube1,$F$17,$F$18,$F$19,$F$16,$C$14,$F$15,$F$14,$F$20,AF$2,$AF$1,$C157)</f>
        <v/>
      </c>
      <c r="AG157" s="53"/>
      <c r="AH157" s="53"/>
      <c r="AI157" s="53"/>
      <c r="AJ157" s="53"/>
      <c r="AK157" s="53"/>
      <c r="AL157" s="53"/>
      <c r="AM157" s="53"/>
      <c r="AN157" s="53"/>
      <c r="AO157" s="53"/>
      <c r="AP157" s="1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</row>
    <row r="158" spans="1:53" ht="18.75" customHeight="1" x14ac:dyDescent="0.3">
      <c r="A158" s="181" t="e">
        <f ca="1">IF($AT$35="YES",1,IF(_xll.ELCOMPN(Server&amp;$C$24,C158)&lt;&gt;0,1,IF(OR(B158=$AZ$35,B158="ALL"),1,0)))</f>
        <v>#VALUE!</v>
      </c>
      <c r="B158" s="163" t="str">
        <f t="shared" si="6"/>
        <v>PU</v>
      </c>
      <c r="C158" s="158" t="s">
        <v>259</v>
      </c>
      <c r="D158" s="24"/>
      <c r="E158" s="268" t="str">
        <f ca="1">_xll.DBRA(Server&amp;$C$24,$C158,$F$21)</f>
        <v>Réception, Séminaires (AC)</v>
      </c>
      <c r="F158" s="268"/>
      <c r="G158" s="268"/>
      <c r="H158" s="43"/>
      <c r="I158" s="221" t="str">
        <f ca="1">_xll.DBRW(Server&amp;Cube1,$F$17,$F$18,$F$19,$F$16,$C$14,$F$15,$F$14,$F$20,I$2,I$1,$C158)</f>
        <v/>
      </c>
      <c r="J158" s="221" t="str">
        <f ca="1">_xll.DBRW(Server&amp;Cube1,$F$17,$F$18,$F$19,$F$16,$C$14,$F$15,$F$14,$F$20,J$2,J$1,$C158)</f>
        <v/>
      </c>
      <c r="K158" s="221" t="e">
        <f ca="1">_xll.DBRW(Server&amp;Cube1,$F$17,$F$18,$F$19,$F$16,$C$14,$F$15,$F$14,$F$20,I$2,I$1,$C158) -_xll.DBRW(Server&amp;Cube1,$F$17,$F$18,$F$19,$F$16,$C$14,$F$15,$F$14,$F$20,K$2,I$1,$C158)</f>
        <v>#VALUE!</v>
      </c>
      <c r="L158" s="221" t="e">
        <f t="shared" ca="1" si="5"/>
        <v>#VALUE!</v>
      </c>
      <c r="M158" s="221" t="e">
        <f t="shared" ca="1" si="7"/>
        <v>#VALUE!</v>
      </c>
      <c r="N158" s="226"/>
      <c r="O158" s="221" t="str">
        <f ca="1">_xll.DBRW(Server&amp;Cube1,$F$17,$F$18,$F$19,$F$16,$C$14,$F$15,$F$14,$F$20,O$2,O$1,$C158)</f>
        <v/>
      </c>
      <c r="P158" s="226"/>
      <c r="Q158" s="240" t="str">
        <f ca="1">IF(_xll.ELCOMPN(Server&amp;$C$24,C158)=0,"YES","NO")</f>
        <v>YES</v>
      </c>
      <c r="R158" s="241">
        <v>0</v>
      </c>
      <c r="S158" s="226"/>
      <c r="T158" s="227" t="str">
        <f ca="1">_xll.DBRW(Server&amp;Cube1,$F$17,$F$18,$F$19,$F$16,$C$14,$F$15,$F$14,$F$20,T$2,$T$1,$C158)</f>
        <v/>
      </c>
      <c r="U158" s="227" t="str">
        <f ca="1">_xll.DBRW(Server&amp;Cube1,$F$17,$F$18,$F$19,$F$16,$C$14,$F$15,$F$14,$F$20,U$2,$U$1,$C158)</f>
        <v/>
      </c>
      <c r="V158" s="227" t="str">
        <f ca="1">_xll.DBRW(Server&amp;Cube1,$F$17,$F$18,$F$19,$F$16,$C$14,$F$15,$F$14,$F$20,V$2,V$1,$C158)</f>
        <v/>
      </c>
      <c r="W158" s="227" t="str">
        <f ca="1">_xll.DBRW(Server&amp;Cube1,$F$17,$F$18,$F$19,$F$16,$C$14,$F$15,$F$14,$F$20,W$2,W$1,$C158)</f>
        <v/>
      </c>
      <c r="X158" s="227" t="str">
        <f ca="1">_xll.DBRW(Server&amp;Cube1,$F$17,$F$18,$F$19,$F$16,$C$14,$F$15,$F$14,$F$20,X$2,X$1,$C158)</f>
        <v/>
      </c>
      <c r="Y158" s="227" t="str">
        <f ca="1">_xll.DBRW(Server&amp;Cube1,$F$17,$F$18,$F$19,$F$16,$C$14,$F$15,$F$14,$F$20,Y$2,Y$1,$C158)</f>
        <v/>
      </c>
      <c r="Z158" s="241"/>
      <c r="AA158" s="241"/>
      <c r="AB158" s="241"/>
      <c r="AC158" s="241"/>
      <c r="AD158" s="241"/>
      <c r="AE158" s="241"/>
      <c r="AF158" s="221" t="str">
        <f ca="1">_xll.DBRW(Server&amp;Cube1,$F$17,$F$18,$F$19,$F$16,$C$14,$F$15,$F$14,$F$20,AF$2,$AF$1,$C158)</f>
        <v/>
      </c>
      <c r="AG158" s="53"/>
      <c r="AH158" s="53"/>
      <c r="AI158" s="53"/>
      <c r="AJ158" s="53"/>
      <c r="AK158" s="53"/>
      <c r="AL158" s="53"/>
      <c r="AM158" s="53"/>
      <c r="AN158" s="53"/>
      <c r="AO158" s="53"/>
      <c r="AP158" s="1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</row>
    <row r="159" spans="1:53" ht="18.75" customHeight="1" x14ac:dyDescent="0.3">
      <c r="A159" s="181" t="e">
        <f ca="1">IF($AT$35="YES",1,IF(_xll.ELCOMPN(Server&amp;$C$24,C159)&lt;&gt;0,1,IF(OR(B159=$AZ$35,B159="ALL"),1,0)))</f>
        <v>#VALUE!</v>
      </c>
      <c r="B159" s="163" t="str">
        <f t="shared" si="6"/>
        <v>CO</v>
      </c>
      <c r="C159" s="158" t="s">
        <v>260</v>
      </c>
      <c r="D159" s="24"/>
      <c r="E159" s="268" t="str">
        <f ca="1">_xll.DBRA(Server&amp;$C$24,$C159,$F$21)</f>
        <v>Réception, Séminaires (CO)</v>
      </c>
      <c r="F159" s="268"/>
      <c r="G159" s="268"/>
      <c r="H159" s="43"/>
      <c r="I159" s="221" t="str">
        <f ca="1">_xll.DBRW(Server&amp;Cube1,$F$17,$F$18,$F$19,$F$16,$C$14,$F$15,$F$14,$F$20,I$2,I$1,$C159)</f>
        <v/>
      </c>
      <c r="J159" s="221" t="str">
        <f ca="1">_xll.DBRW(Server&amp;Cube1,$F$17,$F$18,$F$19,$F$16,$C$14,$F$15,$F$14,$F$20,J$2,J$1,$C159)</f>
        <v/>
      </c>
      <c r="K159" s="221" t="e">
        <f ca="1">_xll.DBRW(Server&amp;Cube1,$F$17,$F$18,$F$19,$F$16,$C$14,$F$15,$F$14,$F$20,I$2,I$1,$C159) -_xll.DBRW(Server&amp;Cube1,$F$17,$F$18,$F$19,$F$16,$C$14,$F$15,$F$14,$F$20,K$2,I$1,$C159)</f>
        <v>#VALUE!</v>
      </c>
      <c r="L159" s="221" t="e">
        <f t="shared" ca="1" si="5"/>
        <v>#VALUE!</v>
      </c>
      <c r="M159" s="221" t="e">
        <f t="shared" ca="1" si="7"/>
        <v>#VALUE!</v>
      </c>
      <c r="N159" s="226"/>
      <c r="O159" s="221" t="str">
        <f ca="1">_xll.DBRW(Server&amp;Cube1,$F$17,$F$18,$F$19,$F$16,$C$14,$F$15,$F$14,$F$20,O$2,O$1,$C159)</f>
        <v/>
      </c>
      <c r="P159" s="226"/>
      <c r="Q159" s="240" t="str">
        <f ca="1">IF(_xll.ELCOMPN(Server&amp;$C$24,C159)=0,"YES","NO")</f>
        <v>YES</v>
      </c>
      <c r="R159" s="241">
        <v>0</v>
      </c>
      <c r="S159" s="226"/>
      <c r="T159" s="227" t="str">
        <f ca="1">_xll.DBRW(Server&amp;Cube1,$F$17,$F$18,$F$19,$F$16,$C$14,$F$15,$F$14,$F$20,T$2,$T$1,$C159)</f>
        <v/>
      </c>
      <c r="U159" s="227" t="str">
        <f ca="1">_xll.DBRW(Server&amp;Cube1,$F$17,$F$18,$F$19,$F$16,$C$14,$F$15,$F$14,$F$20,U$2,$U$1,$C159)</f>
        <v/>
      </c>
      <c r="V159" s="227" t="str">
        <f ca="1">_xll.DBRW(Server&amp;Cube1,$F$17,$F$18,$F$19,$F$16,$C$14,$F$15,$F$14,$F$20,V$2,V$1,$C159)</f>
        <v/>
      </c>
      <c r="W159" s="227" t="str">
        <f ca="1">_xll.DBRW(Server&amp;Cube1,$F$17,$F$18,$F$19,$F$16,$C$14,$F$15,$F$14,$F$20,W$2,W$1,$C159)</f>
        <v/>
      </c>
      <c r="X159" s="227" t="str">
        <f ca="1">_xll.DBRW(Server&amp;Cube1,$F$17,$F$18,$F$19,$F$16,$C$14,$F$15,$F$14,$F$20,X$2,X$1,$C159)</f>
        <v/>
      </c>
      <c r="Y159" s="227" t="str">
        <f ca="1">_xll.DBRW(Server&amp;Cube1,$F$17,$F$18,$F$19,$F$16,$C$14,$F$15,$F$14,$F$20,Y$2,Y$1,$C159)</f>
        <v/>
      </c>
      <c r="Z159" s="241"/>
      <c r="AA159" s="241"/>
      <c r="AB159" s="241"/>
      <c r="AC159" s="241"/>
      <c r="AD159" s="241"/>
      <c r="AE159" s="241"/>
      <c r="AF159" s="221" t="str">
        <f ca="1">_xll.DBRW(Server&amp;Cube1,$F$17,$F$18,$F$19,$F$16,$C$14,$F$15,$F$14,$F$20,AF$2,$AF$1,$C159)</f>
        <v/>
      </c>
      <c r="AG159" s="53"/>
      <c r="AH159" s="53"/>
      <c r="AI159" s="53"/>
      <c r="AJ159" s="53"/>
      <c r="AK159" s="53"/>
      <c r="AL159" s="53"/>
      <c r="AM159" s="53"/>
      <c r="AN159" s="53"/>
      <c r="AO159" s="53"/>
      <c r="AP159" s="1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</row>
    <row r="160" spans="1:53" ht="18.75" customHeight="1" x14ac:dyDescent="0.3">
      <c r="A160" s="181" t="e">
        <f ca="1">IF($AT$35="YES",1,IF(_xll.ELCOMPN(Server&amp;$C$24,C160)&lt;&gt;0,1,IF(OR(B160=$AZ$35,B160="ALL"),1,0)))</f>
        <v>#VALUE!</v>
      </c>
      <c r="B160" s="163" t="str">
        <f t="shared" si="6"/>
        <v>GS</v>
      </c>
      <c r="C160" s="158" t="s">
        <v>261</v>
      </c>
      <c r="D160" s="24"/>
      <c r="E160" s="268" t="str">
        <f ca="1">_xll.DBRA(Server&amp;$C$24,$C160,$F$21)</f>
        <v>Réception, Séminaires (SG)</v>
      </c>
      <c r="F160" s="268"/>
      <c r="G160" s="268"/>
      <c r="H160" s="43"/>
      <c r="I160" s="221" t="str">
        <f ca="1">_xll.DBRW(Server&amp;Cube1,$F$17,$F$18,$F$19,$F$16,$C$14,$F$15,$F$14,$F$20,I$2,I$1,$C160)</f>
        <v/>
      </c>
      <c r="J160" s="221" t="str">
        <f ca="1">_xll.DBRW(Server&amp;Cube1,$F$17,$F$18,$F$19,$F$16,$C$14,$F$15,$F$14,$F$20,J$2,J$1,$C160)</f>
        <v/>
      </c>
      <c r="K160" s="221" t="e">
        <f ca="1">_xll.DBRW(Server&amp;Cube1,$F$17,$F$18,$F$19,$F$16,$C$14,$F$15,$F$14,$F$20,I$2,I$1,$C160) -_xll.DBRW(Server&amp;Cube1,$F$17,$F$18,$F$19,$F$16,$C$14,$F$15,$F$14,$F$20,K$2,I$1,$C160)</f>
        <v>#VALUE!</v>
      </c>
      <c r="L160" s="221" t="e">
        <f t="shared" ref="L160:L223" ca="1" si="8">$K160+$J160</f>
        <v>#VALUE!</v>
      </c>
      <c r="M160" s="221" t="e">
        <f t="shared" ca="1" si="7"/>
        <v>#VALUE!</v>
      </c>
      <c r="N160" s="226"/>
      <c r="O160" s="221" t="str">
        <f ca="1">_xll.DBRW(Server&amp;Cube1,$F$17,$F$18,$F$19,$F$16,$C$14,$F$15,$F$14,$F$20,O$2,O$1,$C160)</f>
        <v/>
      </c>
      <c r="P160" s="226"/>
      <c r="Q160" s="240" t="str">
        <f ca="1">IF(_xll.ELCOMPN(Server&amp;$C$24,C160)=0,"YES","NO")</f>
        <v>YES</v>
      </c>
      <c r="R160" s="241">
        <v>0</v>
      </c>
      <c r="S160" s="226"/>
      <c r="T160" s="227" t="str">
        <f ca="1">_xll.DBRW(Server&amp;Cube1,$F$17,$F$18,$F$19,$F$16,$C$14,$F$15,$F$14,$F$20,T$2,$T$1,$C160)</f>
        <v/>
      </c>
      <c r="U160" s="227" t="str">
        <f ca="1">_xll.DBRW(Server&amp;Cube1,$F$17,$F$18,$F$19,$F$16,$C$14,$F$15,$F$14,$F$20,U$2,$U$1,$C160)</f>
        <v/>
      </c>
      <c r="V160" s="227" t="str">
        <f ca="1">_xll.DBRW(Server&amp;Cube1,$F$17,$F$18,$F$19,$F$16,$C$14,$F$15,$F$14,$F$20,V$2,V$1,$C160)</f>
        <v/>
      </c>
      <c r="W160" s="227" t="str">
        <f ca="1">_xll.DBRW(Server&amp;Cube1,$F$17,$F$18,$F$19,$F$16,$C$14,$F$15,$F$14,$F$20,W$2,W$1,$C160)</f>
        <v/>
      </c>
      <c r="X160" s="227" t="str">
        <f ca="1">_xll.DBRW(Server&amp;Cube1,$F$17,$F$18,$F$19,$F$16,$C$14,$F$15,$F$14,$F$20,X$2,X$1,$C160)</f>
        <v/>
      </c>
      <c r="Y160" s="227" t="str">
        <f ca="1">_xll.DBRW(Server&amp;Cube1,$F$17,$F$18,$F$19,$F$16,$C$14,$F$15,$F$14,$F$20,Y$2,Y$1,$C160)</f>
        <v/>
      </c>
      <c r="Z160" s="241"/>
      <c r="AA160" s="241"/>
      <c r="AB160" s="241"/>
      <c r="AC160" s="241"/>
      <c r="AD160" s="241"/>
      <c r="AE160" s="241"/>
      <c r="AF160" s="221" t="str">
        <f ca="1">_xll.DBRW(Server&amp;Cube1,$F$17,$F$18,$F$19,$F$16,$C$14,$F$15,$F$14,$F$20,AF$2,$AF$1,$C160)</f>
        <v/>
      </c>
      <c r="AG160" s="53"/>
      <c r="AH160" s="53"/>
      <c r="AI160" s="53"/>
      <c r="AJ160" s="53"/>
      <c r="AK160" s="53"/>
      <c r="AL160" s="53"/>
      <c r="AM160" s="53"/>
      <c r="AN160" s="53"/>
      <c r="AO160" s="53"/>
      <c r="AP160" s="1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</row>
    <row r="161" spans="1:53" ht="18.75" customHeight="1" x14ac:dyDescent="0.3">
      <c r="A161" s="181" t="e">
        <f ca="1">IF($AT$35="YES",1,IF(_xll.ELCOMPN(Server&amp;$C$24,C161)&lt;&gt;0,1,IF(OR(B161=$AZ$35,B161="ALL"),1,0)))</f>
        <v>#VALUE!</v>
      </c>
      <c r="B161" s="163" t="str">
        <f t="shared" si="6"/>
        <v>RD</v>
      </c>
      <c r="C161" s="158" t="s">
        <v>262</v>
      </c>
      <c r="D161" s="24"/>
      <c r="E161" s="268" t="str">
        <f ca="1">_xll.DBRA(Server&amp;$C$24,$C161,$F$21)</f>
        <v>Réception, Séminaires (RD)</v>
      </c>
      <c r="F161" s="268"/>
      <c r="G161" s="268"/>
      <c r="H161" s="43"/>
      <c r="I161" s="221" t="str">
        <f ca="1">_xll.DBRW(Server&amp;Cube1,$F$17,$F$18,$F$19,$F$16,$C$14,$F$15,$F$14,$F$20,I$2,I$1,$C161)</f>
        <v/>
      </c>
      <c r="J161" s="221" t="str">
        <f ca="1">_xll.DBRW(Server&amp;Cube1,$F$17,$F$18,$F$19,$F$16,$C$14,$F$15,$F$14,$F$20,J$2,J$1,$C161)</f>
        <v/>
      </c>
      <c r="K161" s="221" t="e">
        <f ca="1">_xll.DBRW(Server&amp;Cube1,$F$17,$F$18,$F$19,$F$16,$C$14,$F$15,$F$14,$F$20,I$2,I$1,$C161) -_xll.DBRW(Server&amp;Cube1,$F$17,$F$18,$F$19,$F$16,$C$14,$F$15,$F$14,$F$20,K$2,I$1,$C161)</f>
        <v>#VALUE!</v>
      </c>
      <c r="L161" s="221" t="e">
        <f t="shared" ca="1" si="8"/>
        <v>#VALUE!</v>
      </c>
      <c r="M161" s="221" t="e">
        <f t="shared" ca="1" si="7"/>
        <v>#VALUE!</v>
      </c>
      <c r="N161" s="226"/>
      <c r="O161" s="221" t="str">
        <f ca="1">_xll.DBRW(Server&amp;Cube1,$F$17,$F$18,$F$19,$F$16,$C$14,$F$15,$F$14,$F$20,O$2,O$1,$C161)</f>
        <v/>
      </c>
      <c r="P161" s="226"/>
      <c r="Q161" s="240" t="str">
        <f ca="1">IF(_xll.ELCOMPN(Server&amp;$C$24,C161)=0,"YES","NO")</f>
        <v>YES</v>
      </c>
      <c r="R161" s="241">
        <v>0</v>
      </c>
      <c r="S161" s="226"/>
      <c r="T161" s="227" t="str">
        <f ca="1">_xll.DBRW(Server&amp;Cube1,$F$17,$F$18,$F$19,$F$16,$C$14,$F$15,$F$14,$F$20,T$2,$T$1,$C161)</f>
        <v/>
      </c>
      <c r="U161" s="227" t="str">
        <f ca="1">_xll.DBRW(Server&amp;Cube1,$F$17,$F$18,$F$19,$F$16,$C$14,$F$15,$F$14,$F$20,U$2,$U$1,$C161)</f>
        <v/>
      </c>
      <c r="V161" s="227" t="str">
        <f ca="1">_xll.DBRW(Server&amp;Cube1,$F$17,$F$18,$F$19,$F$16,$C$14,$F$15,$F$14,$F$20,V$2,V$1,$C161)</f>
        <v/>
      </c>
      <c r="W161" s="227" t="str">
        <f ca="1">_xll.DBRW(Server&amp;Cube1,$F$17,$F$18,$F$19,$F$16,$C$14,$F$15,$F$14,$F$20,W$2,W$1,$C161)</f>
        <v/>
      </c>
      <c r="X161" s="227" t="str">
        <f ca="1">_xll.DBRW(Server&amp;Cube1,$F$17,$F$18,$F$19,$F$16,$C$14,$F$15,$F$14,$F$20,X$2,X$1,$C161)</f>
        <v/>
      </c>
      <c r="Y161" s="227" t="str">
        <f ca="1">_xll.DBRW(Server&amp;Cube1,$F$17,$F$18,$F$19,$F$16,$C$14,$F$15,$F$14,$F$20,Y$2,Y$1,$C161)</f>
        <v/>
      </c>
      <c r="Z161" s="241"/>
      <c r="AA161" s="241"/>
      <c r="AB161" s="241"/>
      <c r="AC161" s="241"/>
      <c r="AD161" s="241"/>
      <c r="AE161" s="241"/>
      <c r="AF161" s="221" t="str">
        <f ca="1">_xll.DBRW(Server&amp;Cube1,$F$17,$F$18,$F$19,$F$16,$C$14,$F$15,$F$14,$F$20,AF$2,$AF$1,$C161)</f>
        <v/>
      </c>
      <c r="AG161" s="53"/>
      <c r="AH161" s="53"/>
      <c r="AI161" s="53"/>
      <c r="AJ161" s="53"/>
      <c r="AK161" s="53"/>
      <c r="AL161" s="53"/>
      <c r="AM161" s="53"/>
      <c r="AN161" s="53"/>
      <c r="AO161" s="53"/>
      <c r="AP161" s="1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</row>
    <row r="162" spans="1:53" s="9" customFormat="1" ht="24.95" customHeight="1" collapsed="1" x14ac:dyDescent="0.35">
      <c r="A162" s="181">
        <f ca="1">IF($AT$35="YES",1,IF(_xll.ELCOMPN(Server&amp;$C$24,C162)&lt;&gt;0,1,IF(OR(B162=$AZ$35,B162="ALL"),1,0)))</f>
        <v>1</v>
      </c>
      <c r="B162" s="163" t="str">
        <f t="shared" si="6"/>
        <v>as</v>
      </c>
      <c r="C162" s="117" t="s">
        <v>97</v>
      </c>
      <c r="E162" s="270" t="str">
        <f ca="1">_xll.DBRA(Server&amp;$C$24,$C162,$F$21)</f>
        <v>Autres assistance externe</v>
      </c>
      <c r="F162" s="270"/>
      <c r="G162" s="270"/>
      <c r="H162" s="40"/>
      <c r="I162" s="221" t="str">
        <f ca="1">_xll.DBRW(Server&amp;Cube1,$F$17,$F$18,$F$19,$F$16,$C$14,$F$15,$F$14,$F$20,I$2,I$1,$C162)</f>
        <v/>
      </c>
      <c r="J162" s="221" t="str">
        <f ca="1">_xll.DBRW(Server&amp;Cube1,$F$17,$F$18,$F$19,$F$16,$C$14,$F$15,$F$14,$F$20,J$2,J$1,$C162)</f>
        <v/>
      </c>
      <c r="K162" s="221" t="e">
        <f ca="1">_xll.DBRW(Server&amp;Cube1,$F$17,$F$18,$F$19,$F$16,$C$14,$F$15,$F$14,$F$20,I$2,I$1,$C162) -_xll.DBRW(Server&amp;Cube1,$F$17,$F$18,$F$19,$F$16,$C$14,$F$15,$F$14,$F$20,K$2,I$1,$C162)</f>
        <v>#VALUE!</v>
      </c>
      <c r="L162" s="221" t="e">
        <f t="shared" ca="1" si="8"/>
        <v>#VALUE!</v>
      </c>
      <c r="M162" s="221" t="e">
        <f t="shared" ca="1" si="7"/>
        <v>#VALUE!</v>
      </c>
      <c r="N162" s="229"/>
      <c r="O162" s="229" t="str">
        <f ca="1">_xll.DBRW(Server&amp;Cube1,$F$17,$F$18,$F$19,$F$16,$C$14,$F$15,$F$14,$F$20,O$2,O$1,$C162)</f>
        <v/>
      </c>
      <c r="P162" s="229"/>
      <c r="Q162" s="240" t="str">
        <f ca="1">IF(_xll.ELCOMPN(Server&amp;$C$24,C162)=0,"YES","NO")</f>
        <v>NO</v>
      </c>
      <c r="R162" s="229"/>
      <c r="S162" s="229"/>
      <c r="T162" s="230" t="str">
        <f ca="1">_xll.DBRW(Server&amp;Cube1,$F$17,$F$18,$F$19,$F$16,$C$14,$F$15,$F$14,$F$20,T$2,$T$1,$C162)</f>
        <v/>
      </c>
      <c r="U162" s="230" t="str">
        <f ca="1">_xll.DBRW(Server&amp;Cube1,$F$17,$F$18,$F$19,$F$16,$C$14,$F$15,$F$14,$F$20,U$2,$U$1,$C162)</f>
        <v/>
      </c>
      <c r="V162" s="230" t="str">
        <f ca="1">_xll.DBRW(Server&amp;Cube1,$F$17,$F$18,$F$19,$F$16,$C$14,$F$15,$F$14,$F$20,V$2,V$1,$C162)</f>
        <v/>
      </c>
      <c r="W162" s="230" t="str">
        <f ca="1">_xll.DBRW(Server&amp;Cube1,$F$17,$F$18,$F$19,$F$16,$C$14,$F$15,$F$14,$F$20,W$2,W$1,$C162)</f>
        <v/>
      </c>
      <c r="X162" s="229" t="str">
        <f ca="1">_xll.DBRW(Server&amp;Cube1,$F$17,$F$18,$F$19,$F$16,$C$14,$F$15,$F$14,$F$20,X$2,X$1,$C162)</f>
        <v/>
      </c>
      <c r="Y162" s="229" t="str">
        <f ca="1">_xll.DBRW(Server&amp;Cube1,$F$17,$F$18,$F$19,$F$16,$C$14,$F$15,$F$14,$F$20,Y$2,Y$1,$C162)</f>
        <v/>
      </c>
      <c r="Z162" s="229" t="str">
        <f ca="1">_xll.DBRW(Server&amp;Cube1,$F$17,$F$18,$F$19,$F$16,$C$14,$F$15,$F$14,$F$20,Z$2,Z$1,$C162)</f>
        <v/>
      </c>
      <c r="AA162" s="229" t="str">
        <f ca="1">_xll.DBRW(Server&amp;Cube1,$F$17,$F$18,$F$19,$F$16,$C$14,$F$15,$F$14,$F$20,AA$2,AA$1,$C162)</f>
        <v/>
      </c>
      <c r="AB162" s="229" t="str">
        <f ca="1">_xll.DBRW(Server&amp;Cube1,$F$17,$F$18,$F$19,$F$16,$C$14,$F$15,$F$14,$F$20,AB$2,AB$1,$C162)</f>
        <v/>
      </c>
      <c r="AC162" s="229" t="str">
        <f ca="1">_xll.DBRW(Server&amp;Cube1,$F$17,$F$18,$F$19,$F$16,$C$14,$F$15,$F$14,$F$20,AC$2,AC$1,$C162)</f>
        <v/>
      </c>
      <c r="AD162" s="229" t="str">
        <f ca="1">_xll.DBRW(Server&amp;Cube1,$F$17,$F$18,$F$19,$F$16,$C$14,$F$15,$F$14,$F$20,AD$2,AD$1,$C162)</f>
        <v/>
      </c>
      <c r="AE162" s="229" t="str">
        <f ca="1">_xll.DBRW(Server&amp;Cube1,$F$17,$F$18,$F$19,$F$16,$C$14,$F$15,$F$14,$F$20,AE$2,AE$1,$C162)</f>
        <v/>
      </c>
      <c r="AF162" s="229" t="str">
        <f ca="1">_xll.DBRW(Server&amp;Cube1,$F$17,$F$18,$F$19,$F$16,$C$14,$F$15,$F$14,$F$20,AF$2,$AF$1,$C162)</f>
        <v/>
      </c>
      <c r="AG162" s="53"/>
      <c r="AH162" s="53"/>
      <c r="AI162" s="53"/>
      <c r="AJ162" s="53"/>
      <c r="AK162" s="53"/>
      <c r="AL162" s="53"/>
      <c r="AM162" s="53"/>
      <c r="AN162" s="53"/>
      <c r="AO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1:53" s="9" customFormat="1" ht="24.95" customHeight="1" x14ac:dyDescent="0.35">
      <c r="A163" s="181" t="e">
        <f ca="1">IF($AT$35="YES",1,IF(_xll.ELCOMPN(Server&amp;$C$24,C163)&lt;&gt;0,1,IF(OR(B163=$AZ$35,B163="ALL"),1,0)))</f>
        <v>#VALUE!</v>
      </c>
      <c r="B163" s="163" t="str">
        <f t="shared" si="6"/>
        <v>DS</v>
      </c>
      <c r="C163" s="158" t="s">
        <v>263</v>
      </c>
      <c r="E163" s="268" t="str">
        <f ca="1">_xll.DBRA(Server&amp;$C$24,$C163,$F$21)</f>
        <v>Autres assistance externe (SO)</v>
      </c>
      <c r="F163" s="268"/>
      <c r="G163" s="268"/>
      <c r="H163" s="40"/>
      <c r="I163" s="221" t="str">
        <f ca="1">_xll.DBRW(Server&amp;Cube1,$F$17,$F$18,$F$19,$F$16,$C$14,$F$15,$F$14,$F$20,I$2,I$1,$C163)</f>
        <v/>
      </c>
      <c r="J163" s="221" t="str">
        <f ca="1">_xll.DBRW(Server&amp;Cube1,$F$17,$F$18,$F$19,$F$16,$C$14,$F$15,$F$14,$F$20,J$2,J$1,$C163)</f>
        <v/>
      </c>
      <c r="K163" s="221" t="e">
        <f ca="1">_xll.DBRW(Server&amp;Cube1,$F$17,$F$18,$F$19,$F$16,$C$14,$F$15,$F$14,$F$20,I$2,I$1,$C163) -_xll.DBRW(Server&amp;Cube1,$F$17,$F$18,$F$19,$F$16,$C$14,$F$15,$F$14,$F$20,K$2,I$1,$C163)</f>
        <v>#VALUE!</v>
      </c>
      <c r="L163" s="221" t="e">
        <f t="shared" ca="1" si="8"/>
        <v>#VALUE!</v>
      </c>
      <c r="M163" s="221" t="e">
        <f t="shared" ca="1" si="7"/>
        <v>#VALUE!</v>
      </c>
      <c r="N163" s="226"/>
      <c r="O163" s="221" t="str">
        <f ca="1">_xll.DBRW(Server&amp;Cube1,$F$17,$F$18,$F$19,$F$16,$C$14,$F$15,$F$14,$F$20,O$2,O$1,$C163)</f>
        <v/>
      </c>
      <c r="P163" s="226"/>
      <c r="Q163" s="240" t="str">
        <f ca="1">IF(_xll.ELCOMPN(Server&amp;$C$24,C163)=0,"YES","NO")</f>
        <v>YES</v>
      </c>
      <c r="R163" s="241">
        <v>0</v>
      </c>
      <c r="S163" s="226"/>
      <c r="T163" s="227" t="str">
        <f ca="1">_xll.DBRW(Server&amp;Cube1,$F$17,$F$18,$F$19,$F$16,$C$14,$F$15,$F$14,$F$20,T$2,$T$1,$C163)</f>
        <v/>
      </c>
      <c r="U163" s="227" t="str">
        <f ca="1">_xll.DBRW(Server&amp;Cube1,$F$17,$F$18,$F$19,$F$16,$C$14,$F$15,$F$14,$F$20,U$2,$U$1,$C163)</f>
        <v/>
      </c>
      <c r="V163" s="227" t="str">
        <f ca="1">_xll.DBRW(Server&amp;Cube1,$F$17,$F$18,$F$19,$F$16,$C$14,$F$15,$F$14,$F$20,V$2,V$1,$C163)</f>
        <v/>
      </c>
      <c r="W163" s="227" t="str">
        <f ca="1">_xll.DBRW(Server&amp;Cube1,$F$17,$F$18,$F$19,$F$16,$C$14,$F$15,$F$14,$F$20,W$2,W$1,$C163)</f>
        <v/>
      </c>
      <c r="X163" s="227" t="str">
        <f ca="1">_xll.DBRW(Server&amp;Cube1,$F$17,$F$18,$F$19,$F$16,$C$14,$F$15,$F$14,$F$20,X$2,X$1,$C163)</f>
        <v/>
      </c>
      <c r="Y163" s="227" t="str">
        <f ca="1">_xll.DBRW(Server&amp;Cube1,$F$17,$F$18,$F$19,$F$16,$C$14,$F$15,$F$14,$F$20,Y$2,Y$1,$C163)</f>
        <v/>
      </c>
      <c r="Z163" s="241"/>
      <c r="AA163" s="241"/>
      <c r="AB163" s="241"/>
      <c r="AC163" s="241"/>
      <c r="AD163" s="241"/>
      <c r="AE163" s="241"/>
      <c r="AF163" s="221" t="str">
        <f ca="1">_xll.DBRW(Server&amp;Cube1,$F$17,$F$18,$F$19,$F$16,$C$14,$F$15,$F$14,$F$20,AF$2,$AF$1,$C163)</f>
        <v/>
      </c>
      <c r="AG163" s="53"/>
      <c r="AH163" s="53"/>
      <c r="AI163" s="53"/>
      <c r="AJ163" s="53"/>
      <c r="AK163" s="53"/>
      <c r="AL163" s="53"/>
      <c r="AM163" s="53"/>
      <c r="AN163" s="53"/>
      <c r="AO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1:53" s="9" customFormat="1" ht="24.95" customHeight="1" x14ac:dyDescent="0.35">
      <c r="A164" s="181" t="e">
        <f ca="1">IF($AT$35="YES",1,IF(_xll.ELCOMPN(Server&amp;$C$24,C164)&lt;&gt;0,1,IF(OR(B164=$AZ$35,B164="ALL"),1,0)))</f>
        <v>#VALUE!</v>
      </c>
      <c r="B164" s="163" t="str">
        <f t="shared" si="6"/>
        <v>BD</v>
      </c>
      <c r="C164" s="158" t="s">
        <v>264</v>
      </c>
      <c r="E164" s="268" t="str">
        <f ca="1">_xll.DBRA(Server&amp;$C$24,$C164,$F$21)</f>
        <v>Autres assistance externe (DC)</v>
      </c>
      <c r="F164" s="268"/>
      <c r="G164" s="268"/>
      <c r="H164" s="40"/>
      <c r="I164" s="221" t="str">
        <f ca="1">_xll.DBRW(Server&amp;Cube1,$F$17,$F$18,$F$19,$F$16,$C$14,$F$15,$F$14,$F$20,I$2,I$1,$C164)</f>
        <v/>
      </c>
      <c r="J164" s="221" t="str">
        <f ca="1">_xll.DBRW(Server&amp;Cube1,$F$17,$F$18,$F$19,$F$16,$C$14,$F$15,$F$14,$F$20,J$2,J$1,$C164)</f>
        <v/>
      </c>
      <c r="K164" s="221" t="e">
        <f ca="1">_xll.DBRW(Server&amp;Cube1,$F$17,$F$18,$F$19,$F$16,$C$14,$F$15,$F$14,$F$20,I$2,I$1,$C164) -_xll.DBRW(Server&amp;Cube1,$F$17,$F$18,$F$19,$F$16,$C$14,$F$15,$F$14,$F$20,K$2,I$1,$C164)</f>
        <v>#VALUE!</v>
      </c>
      <c r="L164" s="221" t="e">
        <f t="shared" ca="1" si="8"/>
        <v>#VALUE!</v>
      </c>
      <c r="M164" s="221" t="e">
        <f t="shared" ca="1" si="7"/>
        <v>#VALUE!</v>
      </c>
      <c r="N164" s="226"/>
      <c r="O164" s="221" t="str">
        <f ca="1">_xll.DBRW(Server&amp;Cube1,$F$17,$F$18,$F$19,$F$16,$C$14,$F$15,$F$14,$F$20,O$2,O$1,$C164)</f>
        <v/>
      </c>
      <c r="P164" s="226"/>
      <c r="Q164" s="240" t="str">
        <f ca="1">IF(_xll.ELCOMPN(Server&amp;$C$24,C164)=0,"YES","NO")</f>
        <v>YES</v>
      </c>
      <c r="R164" s="241">
        <v>0</v>
      </c>
      <c r="S164" s="226"/>
      <c r="T164" s="227" t="str">
        <f ca="1">_xll.DBRW(Server&amp;Cube1,$F$17,$F$18,$F$19,$F$16,$C$14,$F$15,$F$14,$F$20,T$2,$T$1,$C164)</f>
        <v/>
      </c>
      <c r="U164" s="227" t="str">
        <f ca="1">_xll.DBRW(Server&amp;Cube1,$F$17,$F$18,$F$19,$F$16,$C$14,$F$15,$F$14,$F$20,U$2,$U$1,$C164)</f>
        <v/>
      </c>
      <c r="V164" s="227" t="str">
        <f ca="1">_xll.DBRW(Server&amp;Cube1,$F$17,$F$18,$F$19,$F$16,$C$14,$F$15,$F$14,$F$20,V$2,V$1,$C164)</f>
        <v/>
      </c>
      <c r="W164" s="227" t="str">
        <f ca="1">_xll.DBRW(Server&amp;Cube1,$F$17,$F$18,$F$19,$F$16,$C$14,$F$15,$F$14,$F$20,W$2,W$1,$C164)</f>
        <v/>
      </c>
      <c r="X164" s="227" t="str">
        <f ca="1">_xll.DBRW(Server&amp;Cube1,$F$17,$F$18,$F$19,$F$16,$C$14,$F$15,$F$14,$F$20,X$2,X$1,$C164)</f>
        <v/>
      </c>
      <c r="Y164" s="227" t="str">
        <f ca="1">_xll.DBRW(Server&amp;Cube1,$F$17,$F$18,$F$19,$F$16,$C$14,$F$15,$F$14,$F$20,Y$2,Y$1,$C164)</f>
        <v/>
      </c>
      <c r="Z164" s="241"/>
      <c r="AA164" s="241"/>
      <c r="AB164" s="241"/>
      <c r="AC164" s="241"/>
      <c r="AD164" s="241"/>
      <c r="AE164" s="241"/>
      <c r="AF164" s="221" t="str">
        <f ca="1">_xll.DBRW(Server&amp;Cube1,$F$17,$F$18,$F$19,$F$16,$C$14,$F$15,$F$14,$F$20,AF$2,$AF$1,$C164)</f>
        <v/>
      </c>
      <c r="AG164" s="53"/>
      <c r="AH164" s="53"/>
      <c r="AI164" s="53"/>
      <c r="AJ164" s="53"/>
      <c r="AK164" s="53"/>
      <c r="AL164" s="53"/>
      <c r="AM164" s="53"/>
      <c r="AN164" s="53"/>
      <c r="AO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1:53" s="9" customFormat="1" ht="24.95" customHeight="1" x14ac:dyDescent="0.35">
      <c r="A165" s="181" t="e">
        <f ca="1">IF($AT$35="YES",1,IF(_xll.ELCOMPN(Server&amp;$C$24,C165)&lt;&gt;0,1,IF(OR(B165=$AZ$35,B165="ALL"),1,0)))</f>
        <v>#VALUE!</v>
      </c>
      <c r="B165" s="163" t="str">
        <f t="shared" ref="B165:B228" si="9">IF(ISERROR(MID(C165,FIND("_",C165,1)+1,2)),MID(C165,FIND("(",C165,1)+1,2),MID(C165,FIND("_",C165,1)+1,2))</f>
        <v>FI</v>
      </c>
      <c r="C165" s="158" t="s">
        <v>265</v>
      </c>
      <c r="E165" s="268" t="str">
        <f ca="1">_xll.DBRA(Server&amp;$C$24,$C165,$F$21)</f>
        <v>Autres assistance externe (DF)</v>
      </c>
      <c r="F165" s="268"/>
      <c r="G165" s="268"/>
      <c r="H165" s="40"/>
      <c r="I165" s="221" t="str">
        <f ca="1">_xll.DBRW(Server&amp;Cube1,$F$17,$F$18,$F$19,$F$16,$C$14,$F$15,$F$14,$F$20,I$2,I$1,$C165)</f>
        <v/>
      </c>
      <c r="J165" s="221" t="str">
        <f ca="1">_xll.DBRW(Server&amp;Cube1,$F$17,$F$18,$F$19,$F$16,$C$14,$F$15,$F$14,$F$20,J$2,J$1,$C165)</f>
        <v/>
      </c>
      <c r="K165" s="221" t="e">
        <f ca="1">_xll.DBRW(Server&amp;Cube1,$F$17,$F$18,$F$19,$F$16,$C$14,$F$15,$F$14,$F$20,I$2,I$1,$C165) -_xll.DBRW(Server&amp;Cube1,$F$17,$F$18,$F$19,$F$16,$C$14,$F$15,$F$14,$F$20,K$2,I$1,$C165)</f>
        <v>#VALUE!</v>
      </c>
      <c r="L165" s="221" t="e">
        <f t="shared" ca="1" si="8"/>
        <v>#VALUE!</v>
      </c>
      <c r="M165" s="221" t="e">
        <f t="shared" ca="1" si="7"/>
        <v>#VALUE!</v>
      </c>
      <c r="N165" s="226"/>
      <c r="O165" s="221" t="str">
        <f ca="1">_xll.DBRW(Server&amp;Cube1,$F$17,$F$18,$F$19,$F$16,$C$14,$F$15,$F$14,$F$20,O$2,O$1,$C165)</f>
        <v/>
      </c>
      <c r="P165" s="226"/>
      <c r="Q165" s="240" t="str">
        <f ca="1">IF(_xll.ELCOMPN(Server&amp;$C$24,C165)=0,"YES","NO")</f>
        <v>YES</v>
      </c>
      <c r="R165" s="241">
        <v>0</v>
      </c>
      <c r="S165" s="226"/>
      <c r="T165" s="227" t="str">
        <f ca="1">_xll.DBRW(Server&amp;Cube1,$F$17,$F$18,$F$19,$F$16,$C$14,$F$15,$F$14,$F$20,T$2,$T$1,$C165)</f>
        <v/>
      </c>
      <c r="U165" s="227" t="str">
        <f ca="1">_xll.DBRW(Server&amp;Cube1,$F$17,$F$18,$F$19,$F$16,$C$14,$F$15,$F$14,$F$20,U$2,$U$1,$C165)</f>
        <v/>
      </c>
      <c r="V165" s="227" t="str">
        <f ca="1">_xll.DBRW(Server&amp;Cube1,$F$17,$F$18,$F$19,$F$16,$C$14,$F$15,$F$14,$F$20,V$2,V$1,$C165)</f>
        <v/>
      </c>
      <c r="W165" s="227" t="str">
        <f ca="1">_xll.DBRW(Server&amp;Cube1,$F$17,$F$18,$F$19,$F$16,$C$14,$F$15,$F$14,$F$20,W$2,W$1,$C165)</f>
        <v/>
      </c>
      <c r="X165" s="227" t="str">
        <f ca="1">_xll.DBRW(Server&amp;Cube1,$F$17,$F$18,$F$19,$F$16,$C$14,$F$15,$F$14,$F$20,X$2,X$1,$C165)</f>
        <v/>
      </c>
      <c r="Y165" s="227" t="str">
        <f ca="1">_xll.DBRW(Server&amp;Cube1,$F$17,$F$18,$F$19,$F$16,$C$14,$F$15,$F$14,$F$20,Y$2,Y$1,$C165)</f>
        <v/>
      </c>
      <c r="Z165" s="241"/>
      <c r="AA165" s="241"/>
      <c r="AB165" s="241"/>
      <c r="AC165" s="241"/>
      <c r="AD165" s="241"/>
      <c r="AE165" s="241"/>
      <c r="AF165" s="221" t="str">
        <f ca="1">_xll.DBRW(Server&amp;Cube1,$F$17,$F$18,$F$19,$F$16,$C$14,$F$15,$F$14,$F$20,AF$2,$AF$1,$C165)</f>
        <v/>
      </c>
      <c r="AG165" s="53"/>
      <c r="AH165" s="53"/>
      <c r="AI165" s="53"/>
      <c r="AJ165" s="53"/>
      <c r="AK165" s="53"/>
      <c r="AL165" s="53"/>
      <c r="AM165" s="53"/>
      <c r="AN165" s="53"/>
      <c r="AO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1:53" s="9" customFormat="1" ht="24.95" customHeight="1" x14ac:dyDescent="0.35">
      <c r="A166" s="181" t="e">
        <f ca="1">IF($AT$35="YES",1,IF(_xll.ELCOMPN(Server&amp;$C$24,C166)&lt;&gt;0,1,IF(OR(B166=$AZ$35,B166="ALL"),1,0)))</f>
        <v>#VALUE!</v>
      </c>
      <c r="B166" s="163" t="str">
        <f t="shared" si="9"/>
        <v>IT</v>
      </c>
      <c r="C166" s="158" t="s">
        <v>266</v>
      </c>
      <c r="E166" s="268" t="str">
        <f ca="1">_xll.DBRA(Server&amp;$C$24,$C166,$F$21)</f>
        <v>Autres assistance externe (IT)</v>
      </c>
      <c r="F166" s="268"/>
      <c r="G166" s="268"/>
      <c r="H166" s="40"/>
      <c r="I166" s="221" t="str">
        <f ca="1">_xll.DBRW(Server&amp;Cube1,$F$17,$F$18,$F$19,$F$16,$C$14,$F$15,$F$14,$F$20,I$2,I$1,$C166)</f>
        <v/>
      </c>
      <c r="J166" s="221" t="str">
        <f ca="1">_xll.DBRW(Server&amp;Cube1,$F$17,$F$18,$F$19,$F$16,$C$14,$F$15,$F$14,$F$20,J$2,J$1,$C166)</f>
        <v/>
      </c>
      <c r="K166" s="221" t="e">
        <f ca="1">_xll.DBRW(Server&amp;Cube1,$F$17,$F$18,$F$19,$F$16,$C$14,$F$15,$F$14,$F$20,I$2,I$1,$C166) -_xll.DBRW(Server&amp;Cube1,$F$17,$F$18,$F$19,$F$16,$C$14,$F$15,$F$14,$F$20,K$2,I$1,$C166)</f>
        <v>#VALUE!</v>
      </c>
      <c r="L166" s="221" t="e">
        <f t="shared" ca="1" si="8"/>
        <v>#VALUE!</v>
      </c>
      <c r="M166" s="221" t="e">
        <f t="shared" ca="1" si="7"/>
        <v>#VALUE!</v>
      </c>
      <c r="N166" s="226"/>
      <c r="O166" s="221" t="str">
        <f ca="1">_xll.DBRW(Server&amp;Cube1,$F$17,$F$18,$F$19,$F$16,$C$14,$F$15,$F$14,$F$20,O$2,O$1,$C166)</f>
        <v/>
      </c>
      <c r="P166" s="226"/>
      <c r="Q166" s="240" t="str">
        <f ca="1">IF(_xll.ELCOMPN(Server&amp;$C$24,C166)=0,"YES","NO")</f>
        <v>YES</v>
      </c>
      <c r="R166" s="241">
        <v>0</v>
      </c>
      <c r="S166" s="226"/>
      <c r="T166" s="227" t="str">
        <f ca="1">_xll.DBRW(Server&amp;Cube1,$F$17,$F$18,$F$19,$F$16,$C$14,$F$15,$F$14,$F$20,T$2,$T$1,$C166)</f>
        <v/>
      </c>
      <c r="U166" s="227" t="str">
        <f ca="1">_xll.DBRW(Server&amp;Cube1,$F$17,$F$18,$F$19,$F$16,$C$14,$F$15,$F$14,$F$20,U$2,$U$1,$C166)</f>
        <v/>
      </c>
      <c r="V166" s="227" t="str">
        <f ca="1">_xll.DBRW(Server&amp;Cube1,$F$17,$F$18,$F$19,$F$16,$C$14,$F$15,$F$14,$F$20,V$2,V$1,$C166)</f>
        <v/>
      </c>
      <c r="W166" s="227" t="str">
        <f ca="1">_xll.DBRW(Server&amp;Cube1,$F$17,$F$18,$F$19,$F$16,$C$14,$F$15,$F$14,$F$20,W$2,W$1,$C166)</f>
        <v/>
      </c>
      <c r="X166" s="227" t="str">
        <f ca="1">_xll.DBRW(Server&amp;Cube1,$F$17,$F$18,$F$19,$F$16,$C$14,$F$15,$F$14,$F$20,X$2,X$1,$C166)</f>
        <v/>
      </c>
      <c r="Y166" s="227" t="str">
        <f ca="1">_xll.DBRW(Server&amp;Cube1,$F$17,$F$18,$F$19,$F$16,$C$14,$F$15,$F$14,$F$20,Y$2,Y$1,$C166)</f>
        <v/>
      </c>
      <c r="Z166" s="241"/>
      <c r="AA166" s="241"/>
      <c r="AB166" s="241"/>
      <c r="AC166" s="241"/>
      <c r="AD166" s="241"/>
      <c r="AE166" s="241"/>
      <c r="AF166" s="221" t="str">
        <f ca="1">_xll.DBRW(Server&amp;Cube1,$F$17,$F$18,$F$19,$F$16,$C$14,$F$15,$F$14,$F$20,AF$2,$AF$1,$C166)</f>
        <v/>
      </c>
      <c r="AG166" s="53"/>
      <c r="AH166" s="53"/>
      <c r="AI166" s="53"/>
      <c r="AJ166" s="53"/>
      <c r="AK166" s="53"/>
      <c r="AL166" s="53"/>
      <c r="AM166" s="53"/>
      <c r="AN166" s="53"/>
      <c r="AO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1:53" s="9" customFormat="1" ht="24.95" customHeight="1" x14ac:dyDescent="0.35">
      <c r="A167" s="181" t="e">
        <f ca="1">IF($AT$35="YES",1,IF(_xll.ELCOMPN(Server&amp;$C$24,C167)&lt;&gt;0,1,IF(OR(B167=$AZ$35,B167="ALL"),1,0)))</f>
        <v>#VALUE!</v>
      </c>
      <c r="B167" s="163" t="str">
        <f t="shared" si="9"/>
        <v>HR</v>
      </c>
      <c r="C167" s="158" t="s">
        <v>267</v>
      </c>
      <c r="E167" s="268" t="str">
        <f ca="1">_xll.DBRA(Server&amp;$C$24,$C167,$F$21)</f>
        <v>Autres assistance externe (RH)</v>
      </c>
      <c r="F167" s="268"/>
      <c r="G167" s="268"/>
      <c r="H167" s="40"/>
      <c r="I167" s="221" t="str">
        <f ca="1">_xll.DBRW(Server&amp;Cube1,$F$17,$F$18,$F$19,$F$16,$C$14,$F$15,$F$14,$F$20,I$2,I$1,$C167)</f>
        <v/>
      </c>
      <c r="J167" s="221" t="str">
        <f ca="1">_xll.DBRW(Server&amp;Cube1,$F$17,$F$18,$F$19,$F$16,$C$14,$F$15,$F$14,$F$20,J$2,J$1,$C167)</f>
        <v/>
      </c>
      <c r="K167" s="221" t="e">
        <f ca="1">_xll.DBRW(Server&amp;Cube1,$F$17,$F$18,$F$19,$F$16,$C$14,$F$15,$F$14,$F$20,I$2,I$1,$C167) -_xll.DBRW(Server&amp;Cube1,$F$17,$F$18,$F$19,$F$16,$C$14,$F$15,$F$14,$F$20,K$2,I$1,$C167)</f>
        <v>#VALUE!</v>
      </c>
      <c r="L167" s="221" t="e">
        <f t="shared" ca="1" si="8"/>
        <v>#VALUE!</v>
      </c>
      <c r="M167" s="221" t="e">
        <f t="shared" ca="1" si="7"/>
        <v>#VALUE!</v>
      </c>
      <c r="N167" s="226"/>
      <c r="O167" s="221" t="str">
        <f ca="1">_xll.DBRW(Server&amp;Cube1,$F$17,$F$18,$F$19,$F$16,$C$14,$F$15,$F$14,$F$20,O$2,O$1,$C167)</f>
        <v/>
      </c>
      <c r="P167" s="226"/>
      <c r="Q167" s="240" t="str">
        <f ca="1">IF(_xll.ELCOMPN(Server&amp;$C$24,C167)=0,"YES","NO")</f>
        <v>YES</v>
      </c>
      <c r="R167" s="241">
        <v>0</v>
      </c>
      <c r="S167" s="226"/>
      <c r="T167" s="227" t="str">
        <f ca="1">_xll.DBRW(Server&amp;Cube1,$F$17,$F$18,$F$19,$F$16,$C$14,$F$15,$F$14,$F$20,T$2,$T$1,$C167)</f>
        <v/>
      </c>
      <c r="U167" s="227" t="str">
        <f ca="1">_xll.DBRW(Server&amp;Cube1,$F$17,$F$18,$F$19,$F$16,$C$14,$F$15,$F$14,$F$20,U$2,$U$1,$C167)</f>
        <v/>
      </c>
      <c r="V167" s="227" t="str">
        <f ca="1">_xll.DBRW(Server&amp;Cube1,$F$17,$F$18,$F$19,$F$16,$C$14,$F$15,$F$14,$F$20,V$2,V$1,$C167)</f>
        <v/>
      </c>
      <c r="W167" s="227" t="str">
        <f ca="1">_xll.DBRW(Server&amp;Cube1,$F$17,$F$18,$F$19,$F$16,$C$14,$F$15,$F$14,$F$20,W$2,W$1,$C167)</f>
        <v/>
      </c>
      <c r="X167" s="227" t="str">
        <f ca="1">_xll.DBRW(Server&amp;Cube1,$F$17,$F$18,$F$19,$F$16,$C$14,$F$15,$F$14,$F$20,X$2,X$1,$C167)</f>
        <v/>
      </c>
      <c r="Y167" s="227" t="str">
        <f ca="1">_xll.DBRW(Server&amp;Cube1,$F$17,$F$18,$F$19,$F$16,$C$14,$F$15,$F$14,$F$20,Y$2,Y$1,$C167)</f>
        <v/>
      </c>
      <c r="Z167" s="241"/>
      <c r="AA167" s="241"/>
      <c r="AB167" s="241"/>
      <c r="AC167" s="241"/>
      <c r="AD167" s="241"/>
      <c r="AE167" s="241"/>
      <c r="AF167" s="221" t="str">
        <f ca="1">_xll.DBRW(Server&amp;Cube1,$F$17,$F$18,$F$19,$F$16,$C$14,$F$15,$F$14,$F$20,AF$2,$AF$1,$C167)</f>
        <v/>
      </c>
      <c r="AG167" s="53"/>
      <c r="AH167" s="53"/>
      <c r="AI167" s="53"/>
      <c r="AJ167" s="53"/>
      <c r="AK167" s="53"/>
      <c r="AL167" s="53"/>
      <c r="AM167" s="53"/>
      <c r="AN167" s="53"/>
      <c r="AO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1:53" s="9" customFormat="1" ht="24.95" customHeight="1" x14ac:dyDescent="0.35">
      <c r="A168" s="181" t="e">
        <f ca="1">IF($AT$35="YES",1,IF(_xll.ELCOMPN(Server&amp;$C$24,C168)&lt;&gt;0,1,IF(OR(B168=$AZ$35,B168="ALL"),1,0)))</f>
        <v>#VALUE!</v>
      </c>
      <c r="B168" s="163" t="str">
        <f t="shared" si="9"/>
        <v>GM</v>
      </c>
      <c r="C168" s="158" t="s">
        <v>268</v>
      </c>
      <c r="E168" s="268" t="str">
        <f ca="1">_xll.DBRA(Server&amp;$C$24,$C168,$F$21)</f>
        <v>Autres assistance externe (DG)</v>
      </c>
      <c r="F168" s="268"/>
      <c r="G168" s="268"/>
      <c r="H168" s="40"/>
      <c r="I168" s="221" t="str">
        <f ca="1">_xll.DBRW(Server&amp;Cube1,$F$17,$F$18,$F$19,$F$16,$C$14,$F$15,$F$14,$F$20,I$2,I$1,$C168)</f>
        <v/>
      </c>
      <c r="J168" s="221" t="str">
        <f ca="1">_xll.DBRW(Server&amp;Cube1,$F$17,$F$18,$F$19,$F$16,$C$14,$F$15,$F$14,$F$20,J$2,J$1,$C168)</f>
        <v/>
      </c>
      <c r="K168" s="221" t="e">
        <f ca="1">_xll.DBRW(Server&amp;Cube1,$F$17,$F$18,$F$19,$F$16,$C$14,$F$15,$F$14,$F$20,I$2,I$1,$C168) -_xll.DBRW(Server&amp;Cube1,$F$17,$F$18,$F$19,$F$16,$C$14,$F$15,$F$14,$F$20,K$2,I$1,$C168)</f>
        <v>#VALUE!</v>
      </c>
      <c r="L168" s="221" t="e">
        <f t="shared" ca="1" si="8"/>
        <v>#VALUE!</v>
      </c>
      <c r="M168" s="221" t="e">
        <f t="shared" ca="1" si="7"/>
        <v>#VALUE!</v>
      </c>
      <c r="N168" s="226"/>
      <c r="O168" s="221" t="str">
        <f ca="1">_xll.DBRW(Server&amp;Cube1,$F$17,$F$18,$F$19,$F$16,$C$14,$F$15,$F$14,$F$20,O$2,O$1,$C168)</f>
        <v/>
      </c>
      <c r="P168" s="226"/>
      <c r="Q168" s="240" t="str">
        <f ca="1">IF(_xll.ELCOMPN(Server&amp;$C$24,C168)=0,"YES","NO")</f>
        <v>YES</v>
      </c>
      <c r="R168" s="241">
        <v>0</v>
      </c>
      <c r="S168" s="226"/>
      <c r="T168" s="227" t="str">
        <f ca="1">_xll.DBRW(Server&amp;Cube1,$F$17,$F$18,$F$19,$F$16,$C$14,$F$15,$F$14,$F$20,T$2,$T$1,$C168)</f>
        <v/>
      </c>
      <c r="U168" s="227" t="str">
        <f ca="1">_xll.DBRW(Server&amp;Cube1,$F$17,$F$18,$F$19,$F$16,$C$14,$F$15,$F$14,$F$20,U$2,$U$1,$C168)</f>
        <v/>
      </c>
      <c r="V168" s="227" t="str">
        <f ca="1">_xll.DBRW(Server&amp;Cube1,$F$17,$F$18,$F$19,$F$16,$C$14,$F$15,$F$14,$F$20,V$2,V$1,$C168)</f>
        <v/>
      </c>
      <c r="W168" s="227" t="str">
        <f ca="1">_xll.DBRW(Server&amp;Cube1,$F$17,$F$18,$F$19,$F$16,$C$14,$F$15,$F$14,$F$20,W$2,W$1,$C168)</f>
        <v/>
      </c>
      <c r="X168" s="227" t="str">
        <f ca="1">_xll.DBRW(Server&amp;Cube1,$F$17,$F$18,$F$19,$F$16,$C$14,$F$15,$F$14,$F$20,X$2,X$1,$C168)</f>
        <v/>
      </c>
      <c r="Y168" s="227" t="str">
        <f ca="1">_xll.DBRW(Server&amp;Cube1,$F$17,$F$18,$F$19,$F$16,$C$14,$F$15,$F$14,$F$20,Y$2,Y$1,$C168)</f>
        <v/>
      </c>
      <c r="Z168" s="241"/>
      <c r="AA168" s="241"/>
      <c r="AB168" s="241"/>
      <c r="AC168" s="241"/>
      <c r="AD168" s="241"/>
      <c r="AE168" s="241"/>
      <c r="AF168" s="221" t="str">
        <f ca="1">_xll.DBRW(Server&amp;Cube1,$F$17,$F$18,$F$19,$F$16,$C$14,$F$15,$F$14,$F$20,AF$2,$AF$1,$C168)</f>
        <v/>
      </c>
      <c r="AG168" s="53"/>
      <c r="AH168" s="53"/>
      <c r="AI168" s="53"/>
      <c r="AJ168" s="53"/>
      <c r="AK168" s="53"/>
      <c r="AL168" s="53"/>
      <c r="AM168" s="53"/>
      <c r="AN168" s="53"/>
      <c r="AO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1:53" s="9" customFormat="1" ht="24.95" customHeight="1" x14ac:dyDescent="0.35">
      <c r="A169" s="181" t="e">
        <f ca="1">IF($AT$35="YES",1,IF(_xll.ELCOMPN(Server&amp;$C$24,C169)&lt;&gt;0,1,IF(OR(B169=$AZ$35,B169="ALL"),1,0)))</f>
        <v>#VALUE!</v>
      </c>
      <c r="B169" s="163" t="str">
        <f t="shared" si="9"/>
        <v>IA</v>
      </c>
      <c r="C169" s="158" t="s">
        <v>269</v>
      </c>
      <c r="E169" s="268" t="str">
        <f ca="1">_xll.DBRA(Server&amp;$C$24,$C169,$F$21)</f>
        <v>Autres assistance externe (AI)</v>
      </c>
      <c r="F169" s="268"/>
      <c r="G169" s="268"/>
      <c r="H169" s="40"/>
      <c r="I169" s="221" t="str">
        <f ca="1">_xll.DBRW(Server&amp;Cube1,$F$17,$F$18,$F$19,$F$16,$C$14,$F$15,$F$14,$F$20,I$2,I$1,$C169)</f>
        <v/>
      </c>
      <c r="J169" s="221" t="str">
        <f ca="1">_xll.DBRW(Server&amp;Cube1,$F$17,$F$18,$F$19,$F$16,$C$14,$F$15,$F$14,$F$20,J$2,J$1,$C169)</f>
        <v/>
      </c>
      <c r="K169" s="221" t="e">
        <f ca="1">_xll.DBRW(Server&amp;Cube1,$F$17,$F$18,$F$19,$F$16,$C$14,$F$15,$F$14,$F$20,I$2,I$1,$C169) -_xll.DBRW(Server&amp;Cube1,$F$17,$F$18,$F$19,$F$16,$C$14,$F$15,$F$14,$F$20,K$2,I$1,$C169)</f>
        <v>#VALUE!</v>
      </c>
      <c r="L169" s="221" t="e">
        <f t="shared" ca="1" si="8"/>
        <v>#VALUE!</v>
      </c>
      <c r="M169" s="221" t="e">
        <f t="shared" ca="1" si="7"/>
        <v>#VALUE!</v>
      </c>
      <c r="N169" s="226"/>
      <c r="O169" s="221" t="str">
        <f ca="1">_xll.DBRW(Server&amp;Cube1,$F$17,$F$18,$F$19,$F$16,$C$14,$F$15,$F$14,$F$20,O$2,O$1,$C169)</f>
        <v/>
      </c>
      <c r="P169" s="226"/>
      <c r="Q169" s="240" t="str">
        <f ca="1">IF(_xll.ELCOMPN(Server&amp;$C$24,C169)=0,"YES","NO")</f>
        <v>YES</v>
      </c>
      <c r="R169" s="241">
        <v>0</v>
      </c>
      <c r="S169" s="226"/>
      <c r="T169" s="227" t="str">
        <f ca="1">_xll.DBRW(Server&amp;Cube1,$F$17,$F$18,$F$19,$F$16,$C$14,$F$15,$F$14,$F$20,T$2,$T$1,$C169)</f>
        <v/>
      </c>
      <c r="U169" s="227" t="str">
        <f ca="1">_xll.DBRW(Server&amp;Cube1,$F$17,$F$18,$F$19,$F$16,$C$14,$F$15,$F$14,$F$20,U$2,$U$1,$C169)</f>
        <v/>
      </c>
      <c r="V169" s="227" t="str">
        <f ca="1">_xll.DBRW(Server&amp;Cube1,$F$17,$F$18,$F$19,$F$16,$C$14,$F$15,$F$14,$F$20,V$2,V$1,$C169)</f>
        <v/>
      </c>
      <c r="W169" s="227" t="str">
        <f ca="1">_xll.DBRW(Server&amp;Cube1,$F$17,$F$18,$F$19,$F$16,$C$14,$F$15,$F$14,$F$20,W$2,W$1,$C169)</f>
        <v/>
      </c>
      <c r="X169" s="227" t="str">
        <f ca="1">_xll.DBRW(Server&amp;Cube1,$F$17,$F$18,$F$19,$F$16,$C$14,$F$15,$F$14,$F$20,X$2,X$1,$C169)</f>
        <v/>
      </c>
      <c r="Y169" s="227" t="str">
        <f ca="1">_xll.DBRW(Server&amp;Cube1,$F$17,$F$18,$F$19,$F$16,$C$14,$F$15,$F$14,$F$20,Y$2,Y$1,$C169)</f>
        <v/>
      </c>
      <c r="Z169" s="241"/>
      <c r="AA169" s="241"/>
      <c r="AB169" s="241"/>
      <c r="AC169" s="241"/>
      <c r="AD169" s="241"/>
      <c r="AE169" s="241"/>
      <c r="AF169" s="221" t="str">
        <f ca="1">_xll.DBRW(Server&amp;Cube1,$F$17,$F$18,$F$19,$F$16,$C$14,$F$15,$F$14,$F$20,AF$2,$AF$1,$C169)</f>
        <v/>
      </c>
      <c r="AG169" s="53"/>
      <c r="AH169" s="53"/>
      <c r="AI169" s="53"/>
      <c r="AJ169" s="53"/>
      <c r="AK169" s="53"/>
      <c r="AL169" s="53"/>
      <c r="AM169" s="53"/>
      <c r="AN169" s="53"/>
      <c r="AO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1:53" s="9" customFormat="1" ht="24.95" customHeight="1" x14ac:dyDescent="0.35">
      <c r="A170" s="181" t="e">
        <f ca="1">IF($AT$35="YES",1,IF(_xll.ELCOMPN(Server&amp;$C$24,C170)&lt;&gt;0,1,IF(OR(B170=$AZ$35,B170="ALL"),1,0)))</f>
        <v>#VALUE!</v>
      </c>
      <c r="B170" s="163" t="str">
        <f t="shared" si="9"/>
        <v>LE</v>
      </c>
      <c r="C170" s="158" t="s">
        <v>270</v>
      </c>
      <c r="E170" s="268" t="str">
        <f ca="1">_xll.DBRA(Server&amp;$C$24,$C170,$F$21)</f>
        <v>Autres assistance externe (JU)</v>
      </c>
      <c r="F170" s="268"/>
      <c r="G170" s="268"/>
      <c r="H170" s="40"/>
      <c r="I170" s="221" t="str">
        <f ca="1">_xll.DBRW(Server&amp;Cube1,$F$17,$F$18,$F$19,$F$16,$C$14,$F$15,$F$14,$F$20,I$2,I$1,$C170)</f>
        <v/>
      </c>
      <c r="J170" s="221" t="str">
        <f ca="1">_xll.DBRW(Server&amp;Cube1,$F$17,$F$18,$F$19,$F$16,$C$14,$F$15,$F$14,$F$20,J$2,J$1,$C170)</f>
        <v/>
      </c>
      <c r="K170" s="221" t="e">
        <f ca="1">_xll.DBRW(Server&amp;Cube1,$F$17,$F$18,$F$19,$F$16,$C$14,$F$15,$F$14,$F$20,I$2,I$1,$C170) -_xll.DBRW(Server&amp;Cube1,$F$17,$F$18,$F$19,$F$16,$C$14,$F$15,$F$14,$F$20,K$2,I$1,$C170)</f>
        <v>#VALUE!</v>
      </c>
      <c r="L170" s="221" t="e">
        <f t="shared" ca="1" si="8"/>
        <v>#VALUE!</v>
      </c>
      <c r="M170" s="221" t="e">
        <f t="shared" ca="1" si="7"/>
        <v>#VALUE!</v>
      </c>
      <c r="N170" s="226"/>
      <c r="O170" s="221" t="str">
        <f ca="1">_xll.DBRW(Server&amp;Cube1,$F$17,$F$18,$F$19,$F$16,$C$14,$F$15,$F$14,$F$20,O$2,O$1,$C170)</f>
        <v/>
      </c>
      <c r="P170" s="226"/>
      <c r="Q170" s="240" t="str">
        <f ca="1">IF(_xll.ELCOMPN(Server&amp;$C$24,C170)=0,"YES","NO")</f>
        <v>YES</v>
      </c>
      <c r="R170" s="241">
        <v>0</v>
      </c>
      <c r="S170" s="226"/>
      <c r="T170" s="227" t="str">
        <f ca="1">_xll.DBRW(Server&amp;Cube1,$F$17,$F$18,$F$19,$F$16,$C$14,$F$15,$F$14,$F$20,T$2,$T$1,$C170)</f>
        <v/>
      </c>
      <c r="U170" s="227" t="str">
        <f ca="1">_xll.DBRW(Server&amp;Cube1,$F$17,$F$18,$F$19,$F$16,$C$14,$F$15,$F$14,$F$20,U$2,$U$1,$C170)</f>
        <v/>
      </c>
      <c r="V170" s="227" t="str">
        <f ca="1">_xll.DBRW(Server&amp;Cube1,$F$17,$F$18,$F$19,$F$16,$C$14,$F$15,$F$14,$F$20,V$2,V$1,$C170)</f>
        <v/>
      </c>
      <c r="W170" s="227" t="str">
        <f ca="1">_xll.DBRW(Server&amp;Cube1,$F$17,$F$18,$F$19,$F$16,$C$14,$F$15,$F$14,$F$20,W$2,W$1,$C170)</f>
        <v/>
      </c>
      <c r="X170" s="227" t="str">
        <f ca="1">_xll.DBRW(Server&amp;Cube1,$F$17,$F$18,$F$19,$F$16,$C$14,$F$15,$F$14,$F$20,X$2,X$1,$C170)</f>
        <v/>
      </c>
      <c r="Y170" s="227" t="str">
        <f ca="1">_xll.DBRW(Server&amp;Cube1,$F$17,$F$18,$F$19,$F$16,$C$14,$F$15,$F$14,$F$20,Y$2,Y$1,$C170)</f>
        <v/>
      </c>
      <c r="Z170" s="241"/>
      <c r="AA170" s="241"/>
      <c r="AB170" s="241"/>
      <c r="AC170" s="241"/>
      <c r="AD170" s="241"/>
      <c r="AE170" s="241"/>
      <c r="AF170" s="221" t="str">
        <f ca="1">_xll.DBRW(Server&amp;Cube1,$F$17,$F$18,$F$19,$F$16,$C$14,$F$15,$F$14,$F$20,AF$2,$AF$1,$C170)</f>
        <v/>
      </c>
      <c r="AG170" s="53"/>
      <c r="AH170" s="53"/>
      <c r="AI170" s="53"/>
      <c r="AJ170" s="53"/>
      <c r="AK170" s="53"/>
      <c r="AL170" s="53"/>
      <c r="AM170" s="53"/>
      <c r="AN170" s="53"/>
      <c r="AO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1:53" s="9" customFormat="1" ht="24.95" customHeight="1" x14ac:dyDescent="0.35">
      <c r="A171" s="181" t="e">
        <f ca="1">IF($AT$35="YES",1,IF(_xll.ELCOMPN(Server&amp;$C$24,C171)&lt;&gt;0,1,IF(OR(B171=$AZ$35,B171="ALL"),1,0)))</f>
        <v>#VALUE!</v>
      </c>
      <c r="B171" s="163" t="str">
        <f t="shared" si="9"/>
        <v>RM</v>
      </c>
      <c r="C171" s="158" t="s">
        <v>271</v>
      </c>
      <c r="E171" s="268" t="str">
        <f ca="1">_xll.DBRA(Server&amp;$C$24,$C171,$F$21)</f>
        <v>Autres assistance externe (GR)</v>
      </c>
      <c r="F171" s="268"/>
      <c r="G171" s="268"/>
      <c r="H171" s="40"/>
      <c r="I171" s="221" t="str">
        <f ca="1">_xll.DBRW(Server&amp;Cube1,$F$17,$F$18,$F$19,$F$16,$C$14,$F$15,$F$14,$F$20,I$2,I$1,$C171)</f>
        <v/>
      </c>
      <c r="J171" s="221" t="str">
        <f ca="1">_xll.DBRW(Server&amp;Cube1,$F$17,$F$18,$F$19,$F$16,$C$14,$F$15,$F$14,$F$20,J$2,J$1,$C171)</f>
        <v/>
      </c>
      <c r="K171" s="221" t="e">
        <f ca="1">_xll.DBRW(Server&amp;Cube1,$F$17,$F$18,$F$19,$F$16,$C$14,$F$15,$F$14,$F$20,I$2,I$1,$C171) -_xll.DBRW(Server&amp;Cube1,$F$17,$F$18,$F$19,$F$16,$C$14,$F$15,$F$14,$F$20,K$2,I$1,$C171)</f>
        <v>#VALUE!</v>
      </c>
      <c r="L171" s="221" t="e">
        <f t="shared" ca="1" si="8"/>
        <v>#VALUE!</v>
      </c>
      <c r="M171" s="221" t="e">
        <f t="shared" ca="1" si="7"/>
        <v>#VALUE!</v>
      </c>
      <c r="N171" s="226"/>
      <c r="O171" s="221" t="str">
        <f ca="1">_xll.DBRW(Server&amp;Cube1,$F$17,$F$18,$F$19,$F$16,$C$14,$F$15,$F$14,$F$20,O$2,O$1,$C171)</f>
        <v/>
      </c>
      <c r="P171" s="226"/>
      <c r="Q171" s="240" t="str">
        <f ca="1">IF(_xll.ELCOMPN(Server&amp;$C$24,C171)=0,"YES","NO")</f>
        <v>YES</v>
      </c>
      <c r="R171" s="241">
        <v>0</v>
      </c>
      <c r="S171" s="226"/>
      <c r="T171" s="227" t="str">
        <f ca="1">_xll.DBRW(Server&amp;Cube1,$F$17,$F$18,$F$19,$F$16,$C$14,$F$15,$F$14,$F$20,T$2,$T$1,$C171)</f>
        <v/>
      </c>
      <c r="U171" s="227" t="str">
        <f ca="1">_xll.DBRW(Server&amp;Cube1,$F$17,$F$18,$F$19,$F$16,$C$14,$F$15,$F$14,$F$20,U$2,$U$1,$C171)</f>
        <v/>
      </c>
      <c r="V171" s="227" t="str">
        <f ca="1">_xll.DBRW(Server&amp;Cube1,$F$17,$F$18,$F$19,$F$16,$C$14,$F$15,$F$14,$F$20,V$2,V$1,$C171)</f>
        <v/>
      </c>
      <c r="W171" s="227" t="str">
        <f ca="1">_xll.DBRW(Server&amp;Cube1,$F$17,$F$18,$F$19,$F$16,$C$14,$F$15,$F$14,$F$20,W$2,W$1,$C171)</f>
        <v/>
      </c>
      <c r="X171" s="227" t="str">
        <f ca="1">_xll.DBRW(Server&amp;Cube1,$F$17,$F$18,$F$19,$F$16,$C$14,$F$15,$F$14,$F$20,X$2,X$1,$C171)</f>
        <v/>
      </c>
      <c r="Y171" s="227" t="str">
        <f ca="1">_xll.DBRW(Server&amp;Cube1,$F$17,$F$18,$F$19,$F$16,$C$14,$F$15,$F$14,$F$20,Y$2,Y$1,$C171)</f>
        <v/>
      </c>
      <c r="Z171" s="241"/>
      <c r="AA171" s="241"/>
      <c r="AB171" s="241"/>
      <c r="AC171" s="241"/>
      <c r="AD171" s="241"/>
      <c r="AE171" s="241"/>
      <c r="AF171" s="221" t="str">
        <f ca="1">_xll.DBRW(Server&amp;Cube1,$F$17,$F$18,$F$19,$F$16,$C$14,$F$15,$F$14,$F$20,AF$2,$AF$1,$C171)</f>
        <v/>
      </c>
      <c r="AG171" s="53"/>
      <c r="AH171" s="53"/>
      <c r="AI171" s="53"/>
      <c r="AJ171" s="53"/>
      <c r="AK171" s="53"/>
      <c r="AL171" s="53"/>
      <c r="AM171" s="53"/>
      <c r="AN171" s="53"/>
      <c r="AO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1:53" s="9" customFormat="1" ht="24.95" customHeight="1" x14ac:dyDescent="0.35">
      <c r="A172" s="181" t="e">
        <f ca="1">IF($AT$35="YES",1,IF(_xll.ELCOMPN(Server&amp;$C$24,C172)&lt;&gt;0,1,IF(OR(B172=$AZ$35,B172="ALL"),1,0)))</f>
        <v>#VALUE!</v>
      </c>
      <c r="B172" s="163" t="str">
        <f t="shared" si="9"/>
        <v>PU</v>
      </c>
      <c r="C172" s="158" t="s">
        <v>272</v>
      </c>
      <c r="E172" s="268" t="str">
        <f ca="1">_xll.DBRA(Server&amp;$C$24,$C172,$F$21)</f>
        <v>Autres assistance externe (AC)</v>
      </c>
      <c r="F172" s="268"/>
      <c r="G172" s="268"/>
      <c r="H172" s="40"/>
      <c r="I172" s="221" t="str">
        <f ca="1">_xll.DBRW(Server&amp;Cube1,$F$17,$F$18,$F$19,$F$16,$C$14,$F$15,$F$14,$F$20,I$2,I$1,$C172)</f>
        <v/>
      </c>
      <c r="J172" s="221" t="str">
        <f ca="1">_xll.DBRW(Server&amp;Cube1,$F$17,$F$18,$F$19,$F$16,$C$14,$F$15,$F$14,$F$20,J$2,J$1,$C172)</f>
        <v/>
      </c>
      <c r="K172" s="221" t="e">
        <f ca="1">_xll.DBRW(Server&amp;Cube1,$F$17,$F$18,$F$19,$F$16,$C$14,$F$15,$F$14,$F$20,I$2,I$1,$C172) -_xll.DBRW(Server&amp;Cube1,$F$17,$F$18,$F$19,$F$16,$C$14,$F$15,$F$14,$F$20,K$2,I$1,$C172)</f>
        <v>#VALUE!</v>
      </c>
      <c r="L172" s="221" t="e">
        <f t="shared" ca="1" si="8"/>
        <v>#VALUE!</v>
      </c>
      <c r="M172" s="221" t="e">
        <f t="shared" ca="1" si="7"/>
        <v>#VALUE!</v>
      </c>
      <c r="N172" s="226"/>
      <c r="O172" s="221" t="str">
        <f ca="1">_xll.DBRW(Server&amp;Cube1,$F$17,$F$18,$F$19,$F$16,$C$14,$F$15,$F$14,$F$20,O$2,O$1,$C172)</f>
        <v/>
      </c>
      <c r="P172" s="226"/>
      <c r="Q172" s="240" t="str">
        <f ca="1">IF(_xll.ELCOMPN(Server&amp;$C$24,C172)=0,"YES","NO")</f>
        <v>YES</v>
      </c>
      <c r="R172" s="241">
        <v>0</v>
      </c>
      <c r="S172" s="226"/>
      <c r="T172" s="227" t="str">
        <f ca="1">_xll.DBRW(Server&amp;Cube1,$F$17,$F$18,$F$19,$F$16,$C$14,$F$15,$F$14,$F$20,T$2,$T$1,$C172)</f>
        <v/>
      </c>
      <c r="U172" s="227" t="str">
        <f ca="1">_xll.DBRW(Server&amp;Cube1,$F$17,$F$18,$F$19,$F$16,$C$14,$F$15,$F$14,$F$20,U$2,$U$1,$C172)</f>
        <v/>
      </c>
      <c r="V172" s="227" t="str">
        <f ca="1">_xll.DBRW(Server&amp;Cube1,$F$17,$F$18,$F$19,$F$16,$C$14,$F$15,$F$14,$F$20,V$2,V$1,$C172)</f>
        <v/>
      </c>
      <c r="W172" s="227" t="str">
        <f ca="1">_xll.DBRW(Server&amp;Cube1,$F$17,$F$18,$F$19,$F$16,$C$14,$F$15,$F$14,$F$20,W$2,W$1,$C172)</f>
        <v/>
      </c>
      <c r="X172" s="227" t="str">
        <f ca="1">_xll.DBRW(Server&amp;Cube1,$F$17,$F$18,$F$19,$F$16,$C$14,$F$15,$F$14,$F$20,X$2,X$1,$C172)</f>
        <v/>
      </c>
      <c r="Y172" s="227" t="str">
        <f ca="1">_xll.DBRW(Server&amp;Cube1,$F$17,$F$18,$F$19,$F$16,$C$14,$F$15,$F$14,$F$20,Y$2,Y$1,$C172)</f>
        <v/>
      </c>
      <c r="Z172" s="241"/>
      <c r="AA172" s="241"/>
      <c r="AB172" s="241"/>
      <c r="AC172" s="241"/>
      <c r="AD172" s="241"/>
      <c r="AE172" s="241"/>
      <c r="AF172" s="221" t="str">
        <f ca="1">_xll.DBRW(Server&amp;Cube1,$F$17,$F$18,$F$19,$F$16,$C$14,$F$15,$F$14,$F$20,AF$2,$AF$1,$C172)</f>
        <v/>
      </c>
      <c r="AG172" s="53"/>
      <c r="AH172" s="53"/>
      <c r="AI172" s="53"/>
      <c r="AJ172" s="53"/>
      <c r="AK172" s="53"/>
      <c r="AL172" s="53"/>
      <c r="AM172" s="53"/>
      <c r="AN172" s="53"/>
      <c r="AO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1:53" s="9" customFormat="1" ht="24.95" customHeight="1" x14ac:dyDescent="0.35">
      <c r="A173" s="181" t="e">
        <f ca="1">IF($AT$35="YES",1,IF(_xll.ELCOMPN(Server&amp;$C$24,C173)&lt;&gt;0,1,IF(OR(B173=$AZ$35,B173="ALL"),1,0)))</f>
        <v>#VALUE!</v>
      </c>
      <c r="B173" s="163" t="str">
        <f t="shared" si="9"/>
        <v>CO</v>
      </c>
      <c r="C173" s="158" t="s">
        <v>273</v>
      </c>
      <c r="E173" s="268" t="str">
        <f ca="1">_xll.DBRA(Server&amp;$C$24,$C173,$F$21)</f>
        <v>Autres assistance externe (CO)</v>
      </c>
      <c r="F173" s="268"/>
      <c r="G173" s="268"/>
      <c r="H173" s="40"/>
      <c r="I173" s="221" t="str">
        <f ca="1">_xll.DBRW(Server&amp;Cube1,$F$17,$F$18,$F$19,$F$16,$C$14,$F$15,$F$14,$F$20,I$2,I$1,$C173)</f>
        <v/>
      </c>
      <c r="J173" s="221" t="str">
        <f ca="1">_xll.DBRW(Server&amp;Cube1,$F$17,$F$18,$F$19,$F$16,$C$14,$F$15,$F$14,$F$20,J$2,J$1,$C173)</f>
        <v/>
      </c>
      <c r="K173" s="221" t="e">
        <f ca="1">_xll.DBRW(Server&amp;Cube1,$F$17,$F$18,$F$19,$F$16,$C$14,$F$15,$F$14,$F$20,I$2,I$1,$C173) -_xll.DBRW(Server&amp;Cube1,$F$17,$F$18,$F$19,$F$16,$C$14,$F$15,$F$14,$F$20,K$2,I$1,$C173)</f>
        <v>#VALUE!</v>
      </c>
      <c r="L173" s="221" t="e">
        <f t="shared" ca="1" si="8"/>
        <v>#VALUE!</v>
      </c>
      <c r="M173" s="221" t="e">
        <f t="shared" ca="1" si="7"/>
        <v>#VALUE!</v>
      </c>
      <c r="N173" s="226"/>
      <c r="O173" s="221" t="str">
        <f ca="1">_xll.DBRW(Server&amp;Cube1,$F$17,$F$18,$F$19,$F$16,$C$14,$F$15,$F$14,$F$20,O$2,O$1,$C173)</f>
        <v/>
      </c>
      <c r="P173" s="226"/>
      <c r="Q173" s="240" t="str">
        <f ca="1">IF(_xll.ELCOMPN(Server&amp;$C$24,C173)=0,"YES","NO")</f>
        <v>YES</v>
      </c>
      <c r="R173" s="241">
        <v>0</v>
      </c>
      <c r="S173" s="226"/>
      <c r="T173" s="227" t="str">
        <f ca="1">_xll.DBRW(Server&amp;Cube1,$F$17,$F$18,$F$19,$F$16,$C$14,$F$15,$F$14,$F$20,T$2,$T$1,$C173)</f>
        <v/>
      </c>
      <c r="U173" s="227" t="str">
        <f ca="1">_xll.DBRW(Server&amp;Cube1,$F$17,$F$18,$F$19,$F$16,$C$14,$F$15,$F$14,$F$20,U$2,$U$1,$C173)</f>
        <v/>
      </c>
      <c r="V173" s="227" t="str">
        <f ca="1">_xll.DBRW(Server&amp;Cube1,$F$17,$F$18,$F$19,$F$16,$C$14,$F$15,$F$14,$F$20,V$2,V$1,$C173)</f>
        <v/>
      </c>
      <c r="W173" s="227" t="str">
        <f ca="1">_xll.DBRW(Server&amp;Cube1,$F$17,$F$18,$F$19,$F$16,$C$14,$F$15,$F$14,$F$20,W$2,W$1,$C173)</f>
        <v/>
      </c>
      <c r="X173" s="227" t="str">
        <f ca="1">_xll.DBRW(Server&amp;Cube1,$F$17,$F$18,$F$19,$F$16,$C$14,$F$15,$F$14,$F$20,X$2,X$1,$C173)</f>
        <v/>
      </c>
      <c r="Y173" s="227" t="str">
        <f ca="1">_xll.DBRW(Server&amp;Cube1,$F$17,$F$18,$F$19,$F$16,$C$14,$F$15,$F$14,$F$20,Y$2,Y$1,$C173)</f>
        <v/>
      </c>
      <c r="Z173" s="241"/>
      <c r="AA173" s="241"/>
      <c r="AB173" s="241"/>
      <c r="AC173" s="241"/>
      <c r="AD173" s="241"/>
      <c r="AE173" s="241"/>
      <c r="AF173" s="221" t="str">
        <f ca="1">_xll.DBRW(Server&amp;Cube1,$F$17,$F$18,$F$19,$F$16,$C$14,$F$15,$F$14,$F$20,AF$2,$AF$1,$C173)</f>
        <v/>
      </c>
      <c r="AG173" s="53"/>
      <c r="AH173" s="53"/>
      <c r="AI173" s="53"/>
      <c r="AJ173" s="53"/>
      <c r="AK173" s="53"/>
      <c r="AL173" s="53"/>
      <c r="AM173" s="53"/>
      <c r="AN173" s="53"/>
      <c r="AO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1:53" s="9" customFormat="1" ht="24.95" customHeight="1" x14ac:dyDescent="0.35">
      <c r="A174" s="181" t="e">
        <f ca="1">IF($AT$35="YES",1,IF(_xll.ELCOMPN(Server&amp;$C$24,C174)&lt;&gt;0,1,IF(OR(B174=$AZ$35,B174="ALL"),1,0)))</f>
        <v>#VALUE!</v>
      </c>
      <c r="B174" s="163" t="str">
        <f t="shared" si="9"/>
        <v>GS</v>
      </c>
      <c r="C174" s="158" t="s">
        <v>274</v>
      </c>
      <c r="E174" s="268" t="str">
        <f ca="1">_xll.DBRA(Server&amp;$C$24,$C174,$F$21)</f>
        <v>Autres assistance externe (SG)</v>
      </c>
      <c r="F174" s="268"/>
      <c r="G174" s="268"/>
      <c r="H174" s="40"/>
      <c r="I174" s="221" t="str">
        <f ca="1">_xll.DBRW(Server&amp;Cube1,$F$17,$F$18,$F$19,$F$16,$C$14,$F$15,$F$14,$F$20,I$2,I$1,$C174)</f>
        <v/>
      </c>
      <c r="J174" s="221" t="str">
        <f ca="1">_xll.DBRW(Server&amp;Cube1,$F$17,$F$18,$F$19,$F$16,$C$14,$F$15,$F$14,$F$20,J$2,J$1,$C174)</f>
        <v/>
      </c>
      <c r="K174" s="221" t="e">
        <f ca="1">_xll.DBRW(Server&amp;Cube1,$F$17,$F$18,$F$19,$F$16,$C$14,$F$15,$F$14,$F$20,I$2,I$1,$C174) -_xll.DBRW(Server&amp;Cube1,$F$17,$F$18,$F$19,$F$16,$C$14,$F$15,$F$14,$F$20,K$2,I$1,$C174)</f>
        <v>#VALUE!</v>
      </c>
      <c r="L174" s="221" t="e">
        <f t="shared" ca="1" si="8"/>
        <v>#VALUE!</v>
      </c>
      <c r="M174" s="221" t="e">
        <f t="shared" ca="1" si="7"/>
        <v>#VALUE!</v>
      </c>
      <c r="N174" s="226"/>
      <c r="O174" s="221" t="str">
        <f ca="1">_xll.DBRW(Server&amp;Cube1,$F$17,$F$18,$F$19,$F$16,$C$14,$F$15,$F$14,$F$20,O$2,O$1,$C174)</f>
        <v/>
      </c>
      <c r="P174" s="226"/>
      <c r="Q174" s="240" t="str">
        <f ca="1">IF(_xll.ELCOMPN(Server&amp;$C$24,C174)=0,"YES","NO")</f>
        <v>YES</v>
      </c>
      <c r="R174" s="241">
        <v>0</v>
      </c>
      <c r="S174" s="226"/>
      <c r="T174" s="227" t="str">
        <f ca="1">_xll.DBRW(Server&amp;Cube1,$F$17,$F$18,$F$19,$F$16,$C$14,$F$15,$F$14,$F$20,T$2,$T$1,$C174)</f>
        <v/>
      </c>
      <c r="U174" s="227" t="str">
        <f ca="1">_xll.DBRW(Server&amp;Cube1,$F$17,$F$18,$F$19,$F$16,$C$14,$F$15,$F$14,$F$20,U$2,$U$1,$C174)</f>
        <v/>
      </c>
      <c r="V174" s="227" t="str">
        <f ca="1">_xll.DBRW(Server&amp;Cube1,$F$17,$F$18,$F$19,$F$16,$C$14,$F$15,$F$14,$F$20,V$2,V$1,$C174)</f>
        <v/>
      </c>
      <c r="W174" s="227" t="str">
        <f ca="1">_xll.DBRW(Server&amp;Cube1,$F$17,$F$18,$F$19,$F$16,$C$14,$F$15,$F$14,$F$20,W$2,W$1,$C174)</f>
        <v/>
      </c>
      <c r="X174" s="227" t="str">
        <f ca="1">_xll.DBRW(Server&amp;Cube1,$F$17,$F$18,$F$19,$F$16,$C$14,$F$15,$F$14,$F$20,X$2,X$1,$C174)</f>
        <v/>
      </c>
      <c r="Y174" s="227" t="str">
        <f ca="1">_xll.DBRW(Server&amp;Cube1,$F$17,$F$18,$F$19,$F$16,$C$14,$F$15,$F$14,$F$20,Y$2,Y$1,$C174)</f>
        <v/>
      </c>
      <c r="Z174" s="241"/>
      <c r="AA174" s="241"/>
      <c r="AB174" s="241"/>
      <c r="AC174" s="241"/>
      <c r="AD174" s="241"/>
      <c r="AE174" s="241"/>
      <c r="AF174" s="221" t="str">
        <f ca="1">_xll.DBRW(Server&amp;Cube1,$F$17,$F$18,$F$19,$F$16,$C$14,$F$15,$F$14,$F$20,AF$2,$AF$1,$C174)</f>
        <v/>
      </c>
      <c r="AG174" s="53"/>
      <c r="AH174" s="53"/>
      <c r="AI174" s="53"/>
      <c r="AJ174" s="53"/>
      <c r="AK174" s="53"/>
      <c r="AL174" s="53"/>
      <c r="AM174" s="53"/>
      <c r="AN174" s="53"/>
      <c r="AO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1:53" s="9" customFormat="1" ht="24.95" customHeight="1" x14ac:dyDescent="0.35">
      <c r="A175" s="181" t="e">
        <f ca="1">IF($AT$35="YES",1,IF(_xll.ELCOMPN(Server&amp;$C$24,C175)&lt;&gt;0,1,IF(OR(B175=$AZ$35,B175="ALL"),1,0)))</f>
        <v>#VALUE!</v>
      </c>
      <c r="B175" s="163" t="str">
        <f t="shared" si="9"/>
        <v>RD</v>
      </c>
      <c r="C175" s="158" t="s">
        <v>275</v>
      </c>
      <c r="E175" s="268" t="str">
        <f ca="1">_xll.DBRA(Server&amp;$C$24,$C175,$F$21)</f>
        <v>Autres assistance externe (RD)</v>
      </c>
      <c r="F175" s="268"/>
      <c r="G175" s="268"/>
      <c r="H175" s="40"/>
      <c r="I175" s="221" t="str">
        <f ca="1">_xll.DBRW(Server&amp;Cube1,$F$17,$F$18,$F$19,$F$16,$C$14,$F$15,$F$14,$F$20,I$2,I$1,$C175)</f>
        <v/>
      </c>
      <c r="J175" s="221" t="str">
        <f ca="1">_xll.DBRW(Server&amp;Cube1,$F$17,$F$18,$F$19,$F$16,$C$14,$F$15,$F$14,$F$20,J$2,J$1,$C175)</f>
        <v/>
      </c>
      <c r="K175" s="221" t="e">
        <f ca="1">_xll.DBRW(Server&amp;Cube1,$F$17,$F$18,$F$19,$F$16,$C$14,$F$15,$F$14,$F$20,I$2,I$1,$C175) -_xll.DBRW(Server&amp;Cube1,$F$17,$F$18,$F$19,$F$16,$C$14,$F$15,$F$14,$F$20,K$2,I$1,$C175)</f>
        <v>#VALUE!</v>
      </c>
      <c r="L175" s="221" t="e">
        <f t="shared" ca="1" si="8"/>
        <v>#VALUE!</v>
      </c>
      <c r="M175" s="221" t="e">
        <f t="shared" ca="1" si="7"/>
        <v>#VALUE!</v>
      </c>
      <c r="N175" s="226"/>
      <c r="O175" s="221" t="str">
        <f ca="1">_xll.DBRW(Server&amp;Cube1,$F$17,$F$18,$F$19,$F$16,$C$14,$F$15,$F$14,$F$20,O$2,O$1,$C175)</f>
        <v/>
      </c>
      <c r="P175" s="226"/>
      <c r="Q175" s="240" t="str">
        <f ca="1">IF(_xll.ELCOMPN(Server&amp;$C$24,C175)=0,"YES","NO")</f>
        <v>YES</v>
      </c>
      <c r="R175" s="241">
        <v>0</v>
      </c>
      <c r="S175" s="226"/>
      <c r="T175" s="227" t="str">
        <f ca="1">_xll.DBRW(Server&amp;Cube1,$F$17,$F$18,$F$19,$F$16,$C$14,$F$15,$F$14,$F$20,T$2,$T$1,$C175)</f>
        <v/>
      </c>
      <c r="U175" s="227" t="str">
        <f ca="1">_xll.DBRW(Server&amp;Cube1,$F$17,$F$18,$F$19,$F$16,$C$14,$F$15,$F$14,$F$20,U$2,$U$1,$C175)</f>
        <v/>
      </c>
      <c r="V175" s="227" t="str">
        <f ca="1">_xll.DBRW(Server&amp;Cube1,$F$17,$F$18,$F$19,$F$16,$C$14,$F$15,$F$14,$F$20,V$2,V$1,$C175)</f>
        <v/>
      </c>
      <c r="W175" s="227" t="str">
        <f ca="1">_xll.DBRW(Server&amp;Cube1,$F$17,$F$18,$F$19,$F$16,$C$14,$F$15,$F$14,$F$20,W$2,W$1,$C175)</f>
        <v/>
      </c>
      <c r="X175" s="227" t="str">
        <f ca="1">_xll.DBRW(Server&amp;Cube1,$F$17,$F$18,$F$19,$F$16,$C$14,$F$15,$F$14,$F$20,X$2,X$1,$C175)</f>
        <v/>
      </c>
      <c r="Y175" s="227" t="str">
        <f ca="1">_xll.DBRW(Server&amp;Cube1,$F$17,$F$18,$F$19,$F$16,$C$14,$F$15,$F$14,$F$20,Y$2,Y$1,$C175)</f>
        <v/>
      </c>
      <c r="Z175" s="241"/>
      <c r="AA175" s="241"/>
      <c r="AB175" s="241"/>
      <c r="AC175" s="241"/>
      <c r="AD175" s="241"/>
      <c r="AE175" s="241"/>
      <c r="AF175" s="221" t="str">
        <f ca="1">_xll.DBRW(Server&amp;Cube1,$F$17,$F$18,$F$19,$F$16,$C$14,$F$15,$F$14,$F$20,AF$2,$AF$1,$C175)</f>
        <v/>
      </c>
      <c r="AG175" s="53"/>
      <c r="AH175" s="53"/>
      <c r="AI175" s="53"/>
      <c r="AJ175" s="53"/>
      <c r="AK175" s="53"/>
      <c r="AL175" s="53"/>
      <c r="AM175" s="53"/>
      <c r="AN175" s="53"/>
      <c r="AO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1:53" s="9" customFormat="1" ht="24.75" customHeight="1" collapsed="1" x14ac:dyDescent="0.35">
      <c r="A176" s="181">
        <f ca="1">IF($AT$35="YES",1,IF(_xll.ELCOMPN(Server&amp;$C$24,C176)&lt;&gt;0,1,IF(OR(B176=$AZ$35,B176="ALL"),1,0)))</f>
        <v>1</v>
      </c>
      <c r="B176" s="163" t="str">
        <f t="shared" si="9"/>
        <v>fo</v>
      </c>
      <c r="C176" s="117" t="s">
        <v>98</v>
      </c>
      <c r="E176" s="270" t="str">
        <f ca="1">_xll.DBRA(Server&amp;$C$24,$C176,$F$21)</f>
        <v>Dépenses de formation</v>
      </c>
      <c r="F176" s="270"/>
      <c r="G176" s="270"/>
      <c r="H176" s="40"/>
      <c r="I176" s="221" t="str">
        <f ca="1">_xll.DBRW(Server&amp;Cube1,$F$17,$F$18,$F$19,$F$16,$C$14,$F$15,$F$14,$F$20,I$2,I$1,$C176)</f>
        <v/>
      </c>
      <c r="J176" s="221" t="str">
        <f ca="1">_xll.DBRW(Server&amp;Cube1,$F$17,$F$18,$F$19,$F$16,$C$14,$F$15,$F$14,$F$20,J$2,J$1,$C176)</f>
        <v/>
      </c>
      <c r="K176" s="221" t="e">
        <f ca="1">_xll.DBRW(Server&amp;Cube1,$F$17,$F$18,$F$19,$F$16,$C$14,$F$15,$F$14,$F$20,I$2,I$1,$C176) -_xll.DBRW(Server&amp;Cube1,$F$17,$F$18,$F$19,$F$16,$C$14,$F$15,$F$14,$F$20,K$2,I$1,$C176)</f>
        <v>#VALUE!</v>
      </c>
      <c r="L176" s="221" t="e">
        <f t="shared" ca="1" si="8"/>
        <v>#VALUE!</v>
      </c>
      <c r="M176" s="221" t="e">
        <f t="shared" ca="1" si="7"/>
        <v>#VALUE!</v>
      </c>
      <c r="N176" s="229"/>
      <c r="O176" s="229" t="str">
        <f ca="1">_xll.DBRW(Server&amp;Cube1,$F$17,$F$18,$F$19,$F$16,$C$14,$F$15,$F$14,$F$20,O$2,O$1,$C176)</f>
        <v/>
      </c>
      <c r="P176" s="229"/>
      <c r="Q176" s="240" t="str">
        <f ca="1">IF(_xll.ELCOMPN(Server&amp;$C$24,C176)=0,"YES","NO")</f>
        <v>NO</v>
      </c>
      <c r="R176" s="229"/>
      <c r="S176" s="229"/>
      <c r="T176" s="230" t="str">
        <f ca="1">_xll.DBRW(Server&amp;Cube1,$F$17,$F$18,$F$19,$F$16,$C$14,$F$15,$F$14,$F$20,T$2,$T$1,$C176)</f>
        <v/>
      </c>
      <c r="U176" s="230" t="str">
        <f ca="1">_xll.DBRW(Server&amp;Cube1,$F$17,$F$18,$F$19,$F$16,$C$14,$F$15,$F$14,$F$20,U$2,$U$1,$C176)</f>
        <v/>
      </c>
      <c r="V176" s="230" t="str">
        <f ca="1">_xll.DBRW(Server&amp;Cube1,$F$17,$F$18,$F$19,$F$16,$C$14,$F$15,$F$14,$F$20,V$2,V$1,$C176)</f>
        <v/>
      </c>
      <c r="W176" s="230" t="str">
        <f ca="1">_xll.DBRW(Server&amp;Cube1,$F$17,$F$18,$F$19,$F$16,$C$14,$F$15,$F$14,$F$20,W$2,W$1,$C176)</f>
        <v/>
      </c>
      <c r="X176" s="229" t="str">
        <f ca="1">_xll.DBRW(Server&amp;Cube1,$F$17,$F$18,$F$19,$F$16,$C$14,$F$15,$F$14,$F$20,X$2,X$1,$C176)</f>
        <v/>
      </c>
      <c r="Y176" s="229" t="str">
        <f ca="1">_xll.DBRW(Server&amp;Cube1,$F$17,$F$18,$F$19,$F$16,$C$14,$F$15,$F$14,$F$20,Y$2,Y$1,$C176)</f>
        <v/>
      </c>
      <c r="Z176" s="229" t="str">
        <f ca="1">_xll.DBRW(Server&amp;Cube1,$F$17,$F$18,$F$19,$F$16,$C$14,$F$15,$F$14,$F$20,Z$2,Z$1,$C176)</f>
        <v/>
      </c>
      <c r="AA176" s="229" t="str">
        <f ca="1">_xll.DBRW(Server&amp;Cube1,$F$17,$F$18,$F$19,$F$16,$C$14,$F$15,$F$14,$F$20,AA$2,AA$1,$C176)</f>
        <v/>
      </c>
      <c r="AB176" s="229" t="str">
        <f ca="1">_xll.DBRW(Server&amp;Cube1,$F$17,$F$18,$F$19,$F$16,$C$14,$F$15,$F$14,$F$20,AB$2,AB$1,$C176)</f>
        <v/>
      </c>
      <c r="AC176" s="229" t="str">
        <f ca="1">_xll.DBRW(Server&amp;Cube1,$F$17,$F$18,$F$19,$F$16,$C$14,$F$15,$F$14,$F$20,AC$2,AC$1,$C176)</f>
        <v/>
      </c>
      <c r="AD176" s="229" t="str">
        <f ca="1">_xll.DBRW(Server&amp;Cube1,$F$17,$F$18,$F$19,$F$16,$C$14,$F$15,$F$14,$F$20,AD$2,AD$1,$C176)</f>
        <v/>
      </c>
      <c r="AE176" s="229" t="str">
        <f ca="1">_xll.DBRW(Server&amp;Cube1,$F$17,$F$18,$F$19,$F$16,$C$14,$F$15,$F$14,$F$20,AE$2,AE$1,$C176)</f>
        <v/>
      </c>
      <c r="AF176" s="229" t="str">
        <f ca="1">_xll.DBRW(Server&amp;Cube1,$F$17,$F$18,$F$19,$F$16,$C$14,$F$15,$F$14,$F$20,AF$2,$AF$1,$C176)</f>
        <v/>
      </c>
      <c r="AG176" s="53"/>
      <c r="AH176" s="53"/>
      <c r="AI176" s="53"/>
      <c r="AJ176" s="53"/>
      <c r="AK176" s="53"/>
      <c r="AL176" s="53"/>
      <c r="AM176" s="53"/>
      <c r="AN176" s="53"/>
      <c r="AO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1:53" s="9" customFormat="1" ht="24.75" customHeight="1" x14ac:dyDescent="0.35">
      <c r="A177" s="181" t="e">
        <f ca="1">IF($AT$35="YES",1,IF(_xll.ELCOMPN(Server&amp;$C$24,C177)&lt;&gt;0,1,IF(OR(B177=$AZ$35,B177="ALL"),1,0)))</f>
        <v>#VALUE!</v>
      </c>
      <c r="B177" s="163" t="str">
        <f t="shared" si="9"/>
        <v>DS</v>
      </c>
      <c r="C177" s="158" t="s">
        <v>276</v>
      </c>
      <c r="E177" s="268" t="str">
        <f ca="1">_xll.DBRA(Server&amp;$C$24,$C177,$F$21)</f>
        <v>Dépenses de formation (SO)</v>
      </c>
      <c r="F177" s="268"/>
      <c r="G177" s="268"/>
      <c r="H177" s="40"/>
      <c r="I177" s="221" t="str">
        <f ca="1">_xll.DBRW(Server&amp;Cube1,$F$17,$F$18,$F$19,$F$16,$C$14,$F$15,$F$14,$F$20,I$2,I$1,$C177)</f>
        <v/>
      </c>
      <c r="J177" s="221" t="str">
        <f ca="1">_xll.DBRW(Server&amp;Cube1,$F$17,$F$18,$F$19,$F$16,$C$14,$F$15,$F$14,$F$20,J$2,J$1,$C177)</f>
        <v/>
      </c>
      <c r="K177" s="221" t="e">
        <f ca="1">_xll.DBRW(Server&amp;Cube1,$F$17,$F$18,$F$19,$F$16,$C$14,$F$15,$F$14,$F$20,I$2,I$1,$C177) -_xll.DBRW(Server&amp;Cube1,$F$17,$F$18,$F$19,$F$16,$C$14,$F$15,$F$14,$F$20,K$2,I$1,$C177)</f>
        <v>#VALUE!</v>
      </c>
      <c r="L177" s="221" t="e">
        <f t="shared" ca="1" si="8"/>
        <v>#VALUE!</v>
      </c>
      <c r="M177" s="221" t="e">
        <f t="shared" ca="1" si="7"/>
        <v>#VALUE!</v>
      </c>
      <c r="N177" s="226"/>
      <c r="O177" s="221" t="str">
        <f ca="1">_xll.DBRW(Server&amp;Cube1,$F$17,$F$18,$F$19,$F$16,$C$14,$F$15,$F$14,$F$20,O$2,O$1,$C177)</f>
        <v/>
      </c>
      <c r="P177" s="226"/>
      <c r="Q177" s="240" t="str">
        <f ca="1">IF(_xll.ELCOMPN(Server&amp;$C$24,C177)=0,"YES","NO")</f>
        <v>YES</v>
      </c>
      <c r="R177" s="241">
        <v>0</v>
      </c>
      <c r="S177" s="226"/>
      <c r="T177" s="227" t="str">
        <f ca="1">_xll.DBRW(Server&amp;Cube1,$F$17,$F$18,$F$19,$F$16,$C$14,$F$15,$F$14,$F$20,T$2,$T$1,$C177)</f>
        <v/>
      </c>
      <c r="U177" s="227" t="str">
        <f ca="1">_xll.DBRW(Server&amp;Cube1,$F$17,$F$18,$F$19,$F$16,$C$14,$F$15,$F$14,$F$20,U$2,$U$1,$C177)</f>
        <v/>
      </c>
      <c r="V177" s="227" t="str">
        <f ca="1">_xll.DBRW(Server&amp;Cube1,$F$17,$F$18,$F$19,$F$16,$C$14,$F$15,$F$14,$F$20,V$2,V$1,$C177)</f>
        <v/>
      </c>
      <c r="W177" s="227" t="str">
        <f ca="1">_xll.DBRW(Server&amp;Cube1,$F$17,$F$18,$F$19,$F$16,$C$14,$F$15,$F$14,$F$20,W$2,W$1,$C177)</f>
        <v/>
      </c>
      <c r="X177" s="227" t="str">
        <f ca="1">_xll.DBRW(Server&amp;Cube1,$F$17,$F$18,$F$19,$F$16,$C$14,$F$15,$F$14,$F$20,X$2,X$1,$C177)</f>
        <v/>
      </c>
      <c r="Y177" s="227" t="str">
        <f ca="1">_xll.DBRW(Server&amp;Cube1,$F$17,$F$18,$F$19,$F$16,$C$14,$F$15,$F$14,$F$20,Y$2,Y$1,$C177)</f>
        <v/>
      </c>
      <c r="Z177" s="241"/>
      <c r="AA177" s="241"/>
      <c r="AB177" s="241"/>
      <c r="AC177" s="241"/>
      <c r="AD177" s="241"/>
      <c r="AE177" s="241"/>
      <c r="AF177" s="221" t="str">
        <f ca="1">_xll.DBRW(Server&amp;Cube1,$F$17,$F$18,$F$19,$F$16,$C$14,$F$15,$F$14,$F$20,AF$2,$AF$1,$C177)</f>
        <v/>
      </c>
      <c r="AG177" s="53"/>
      <c r="AH177" s="53"/>
      <c r="AI177" s="53"/>
      <c r="AJ177" s="53"/>
      <c r="AK177" s="53"/>
      <c r="AL177" s="53"/>
      <c r="AM177" s="53"/>
      <c r="AN177" s="53"/>
      <c r="AO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1:53" s="9" customFormat="1" ht="24.75" customHeight="1" x14ac:dyDescent="0.35">
      <c r="A178" s="181" t="e">
        <f ca="1">IF($AT$35="YES",1,IF(_xll.ELCOMPN(Server&amp;$C$24,C178)&lt;&gt;0,1,IF(OR(B178=$AZ$35,B178="ALL"),1,0)))</f>
        <v>#VALUE!</v>
      </c>
      <c r="B178" s="163" t="str">
        <f t="shared" si="9"/>
        <v>BD</v>
      </c>
      <c r="C178" s="158" t="s">
        <v>277</v>
      </c>
      <c r="E178" s="268" t="str">
        <f ca="1">_xll.DBRA(Server&amp;$C$24,$C178,$F$21)</f>
        <v>Dépenses de formation (DC)</v>
      </c>
      <c r="F178" s="268"/>
      <c r="G178" s="268"/>
      <c r="H178" s="40"/>
      <c r="I178" s="221" t="str">
        <f ca="1">_xll.DBRW(Server&amp;Cube1,$F$17,$F$18,$F$19,$F$16,$C$14,$F$15,$F$14,$F$20,I$2,I$1,$C178)</f>
        <v/>
      </c>
      <c r="J178" s="221" t="str">
        <f ca="1">_xll.DBRW(Server&amp;Cube1,$F$17,$F$18,$F$19,$F$16,$C$14,$F$15,$F$14,$F$20,J$2,J$1,$C178)</f>
        <v/>
      </c>
      <c r="K178" s="221" t="e">
        <f ca="1">_xll.DBRW(Server&amp;Cube1,$F$17,$F$18,$F$19,$F$16,$C$14,$F$15,$F$14,$F$20,I$2,I$1,$C178) -_xll.DBRW(Server&amp;Cube1,$F$17,$F$18,$F$19,$F$16,$C$14,$F$15,$F$14,$F$20,K$2,I$1,$C178)</f>
        <v>#VALUE!</v>
      </c>
      <c r="L178" s="221" t="e">
        <f t="shared" ca="1" si="8"/>
        <v>#VALUE!</v>
      </c>
      <c r="M178" s="221" t="e">
        <f t="shared" ca="1" si="7"/>
        <v>#VALUE!</v>
      </c>
      <c r="N178" s="226"/>
      <c r="O178" s="221" t="str">
        <f ca="1">_xll.DBRW(Server&amp;Cube1,$F$17,$F$18,$F$19,$F$16,$C$14,$F$15,$F$14,$F$20,O$2,O$1,$C178)</f>
        <v/>
      </c>
      <c r="P178" s="226"/>
      <c r="Q178" s="240" t="str">
        <f ca="1">IF(_xll.ELCOMPN(Server&amp;$C$24,C178)=0,"YES","NO")</f>
        <v>YES</v>
      </c>
      <c r="R178" s="241">
        <v>0</v>
      </c>
      <c r="S178" s="226"/>
      <c r="T178" s="227" t="str">
        <f ca="1">_xll.DBRW(Server&amp;Cube1,$F$17,$F$18,$F$19,$F$16,$C$14,$F$15,$F$14,$F$20,T$2,$T$1,$C178)</f>
        <v/>
      </c>
      <c r="U178" s="227" t="str">
        <f ca="1">_xll.DBRW(Server&amp;Cube1,$F$17,$F$18,$F$19,$F$16,$C$14,$F$15,$F$14,$F$20,U$2,$U$1,$C178)</f>
        <v/>
      </c>
      <c r="V178" s="227" t="str">
        <f ca="1">_xll.DBRW(Server&amp;Cube1,$F$17,$F$18,$F$19,$F$16,$C$14,$F$15,$F$14,$F$20,V$2,V$1,$C178)</f>
        <v/>
      </c>
      <c r="W178" s="227" t="str">
        <f ca="1">_xll.DBRW(Server&amp;Cube1,$F$17,$F$18,$F$19,$F$16,$C$14,$F$15,$F$14,$F$20,W$2,W$1,$C178)</f>
        <v/>
      </c>
      <c r="X178" s="227" t="str">
        <f ca="1">_xll.DBRW(Server&amp;Cube1,$F$17,$F$18,$F$19,$F$16,$C$14,$F$15,$F$14,$F$20,X$2,X$1,$C178)</f>
        <v/>
      </c>
      <c r="Y178" s="227" t="str">
        <f ca="1">_xll.DBRW(Server&amp;Cube1,$F$17,$F$18,$F$19,$F$16,$C$14,$F$15,$F$14,$F$20,Y$2,Y$1,$C178)</f>
        <v/>
      </c>
      <c r="Z178" s="241"/>
      <c r="AA178" s="241"/>
      <c r="AB178" s="241"/>
      <c r="AC178" s="241"/>
      <c r="AD178" s="241"/>
      <c r="AE178" s="241"/>
      <c r="AF178" s="221" t="str">
        <f ca="1">_xll.DBRW(Server&amp;Cube1,$F$17,$F$18,$F$19,$F$16,$C$14,$F$15,$F$14,$F$20,AF$2,$AF$1,$C178)</f>
        <v/>
      </c>
      <c r="AG178" s="53"/>
      <c r="AH178" s="53"/>
      <c r="AI178" s="53"/>
      <c r="AJ178" s="53"/>
      <c r="AK178" s="53"/>
      <c r="AL178" s="53"/>
      <c r="AM178" s="53"/>
      <c r="AN178" s="53"/>
      <c r="AO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1:53" s="9" customFormat="1" ht="24.75" customHeight="1" x14ac:dyDescent="0.35">
      <c r="A179" s="181" t="e">
        <f ca="1">IF($AT$35="YES",1,IF(_xll.ELCOMPN(Server&amp;$C$24,C179)&lt;&gt;0,1,IF(OR(B179=$AZ$35,B179="ALL"),1,0)))</f>
        <v>#VALUE!</v>
      </c>
      <c r="B179" s="163" t="str">
        <f t="shared" si="9"/>
        <v>FI</v>
      </c>
      <c r="C179" s="158" t="s">
        <v>278</v>
      </c>
      <c r="E179" s="268" t="str">
        <f ca="1">_xll.DBRA(Server&amp;$C$24,$C179,$F$21)</f>
        <v>Dépenses de formation (DF)</v>
      </c>
      <c r="F179" s="268"/>
      <c r="G179" s="268"/>
      <c r="H179" s="40"/>
      <c r="I179" s="221" t="str">
        <f ca="1">_xll.DBRW(Server&amp;Cube1,$F$17,$F$18,$F$19,$F$16,$C$14,$F$15,$F$14,$F$20,I$2,I$1,$C179)</f>
        <v/>
      </c>
      <c r="J179" s="221" t="str">
        <f ca="1">_xll.DBRW(Server&amp;Cube1,$F$17,$F$18,$F$19,$F$16,$C$14,$F$15,$F$14,$F$20,J$2,J$1,$C179)</f>
        <v/>
      </c>
      <c r="K179" s="221" t="e">
        <f ca="1">_xll.DBRW(Server&amp;Cube1,$F$17,$F$18,$F$19,$F$16,$C$14,$F$15,$F$14,$F$20,I$2,I$1,$C179) -_xll.DBRW(Server&amp;Cube1,$F$17,$F$18,$F$19,$F$16,$C$14,$F$15,$F$14,$F$20,K$2,I$1,$C179)</f>
        <v>#VALUE!</v>
      </c>
      <c r="L179" s="221" t="e">
        <f t="shared" ca="1" si="8"/>
        <v>#VALUE!</v>
      </c>
      <c r="M179" s="221" t="e">
        <f t="shared" ca="1" si="7"/>
        <v>#VALUE!</v>
      </c>
      <c r="N179" s="226"/>
      <c r="O179" s="221" t="str">
        <f ca="1">_xll.DBRW(Server&amp;Cube1,$F$17,$F$18,$F$19,$F$16,$C$14,$F$15,$F$14,$F$20,O$2,O$1,$C179)</f>
        <v/>
      </c>
      <c r="P179" s="226"/>
      <c r="Q179" s="240" t="str">
        <f ca="1">IF(_xll.ELCOMPN(Server&amp;$C$24,C179)=0,"YES","NO")</f>
        <v>YES</v>
      </c>
      <c r="R179" s="241">
        <v>0</v>
      </c>
      <c r="S179" s="226"/>
      <c r="T179" s="227" t="str">
        <f ca="1">_xll.DBRW(Server&amp;Cube1,$F$17,$F$18,$F$19,$F$16,$C$14,$F$15,$F$14,$F$20,T$2,$T$1,$C179)</f>
        <v/>
      </c>
      <c r="U179" s="227" t="str">
        <f ca="1">_xll.DBRW(Server&amp;Cube1,$F$17,$F$18,$F$19,$F$16,$C$14,$F$15,$F$14,$F$20,U$2,$U$1,$C179)</f>
        <v/>
      </c>
      <c r="V179" s="227" t="str">
        <f ca="1">_xll.DBRW(Server&amp;Cube1,$F$17,$F$18,$F$19,$F$16,$C$14,$F$15,$F$14,$F$20,V$2,V$1,$C179)</f>
        <v/>
      </c>
      <c r="W179" s="227" t="str">
        <f ca="1">_xll.DBRW(Server&amp;Cube1,$F$17,$F$18,$F$19,$F$16,$C$14,$F$15,$F$14,$F$20,W$2,W$1,$C179)</f>
        <v/>
      </c>
      <c r="X179" s="227" t="str">
        <f ca="1">_xll.DBRW(Server&amp;Cube1,$F$17,$F$18,$F$19,$F$16,$C$14,$F$15,$F$14,$F$20,X$2,X$1,$C179)</f>
        <v/>
      </c>
      <c r="Y179" s="227" t="str">
        <f ca="1">_xll.DBRW(Server&amp;Cube1,$F$17,$F$18,$F$19,$F$16,$C$14,$F$15,$F$14,$F$20,Y$2,Y$1,$C179)</f>
        <v/>
      </c>
      <c r="Z179" s="241"/>
      <c r="AA179" s="241"/>
      <c r="AB179" s="241"/>
      <c r="AC179" s="241"/>
      <c r="AD179" s="241"/>
      <c r="AE179" s="241"/>
      <c r="AF179" s="221" t="str">
        <f ca="1">_xll.DBRW(Server&amp;Cube1,$F$17,$F$18,$F$19,$F$16,$C$14,$F$15,$F$14,$F$20,AF$2,$AF$1,$C179)</f>
        <v/>
      </c>
      <c r="AG179" s="53"/>
      <c r="AH179" s="53"/>
      <c r="AI179" s="53"/>
      <c r="AJ179" s="53"/>
      <c r="AK179" s="53"/>
      <c r="AL179" s="53"/>
      <c r="AM179" s="53"/>
      <c r="AN179" s="53"/>
      <c r="AO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1:53" s="9" customFormat="1" ht="24.75" customHeight="1" x14ac:dyDescent="0.35">
      <c r="A180" s="181" t="e">
        <f ca="1">IF($AT$35="YES",1,IF(_xll.ELCOMPN(Server&amp;$C$24,C180)&lt;&gt;0,1,IF(OR(B180=$AZ$35,B180="ALL"),1,0)))</f>
        <v>#VALUE!</v>
      </c>
      <c r="B180" s="163" t="str">
        <f t="shared" si="9"/>
        <v>IT</v>
      </c>
      <c r="C180" s="158" t="s">
        <v>279</v>
      </c>
      <c r="E180" s="268" t="str">
        <f ca="1">_xll.DBRA(Server&amp;$C$24,$C180,$F$21)</f>
        <v>Dépenses de formation (IT)</v>
      </c>
      <c r="F180" s="268"/>
      <c r="G180" s="268"/>
      <c r="H180" s="40"/>
      <c r="I180" s="221" t="str">
        <f ca="1">_xll.DBRW(Server&amp;Cube1,$F$17,$F$18,$F$19,$F$16,$C$14,$F$15,$F$14,$F$20,I$2,I$1,$C180)</f>
        <v/>
      </c>
      <c r="J180" s="221" t="str">
        <f ca="1">_xll.DBRW(Server&amp;Cube1,$F$17,$F$18,$F$19,$F$16,$C$14,$F$15,$F$14,$F$20,J$2,J$1,$C180)</f>
        <v/>
      </c>
      <c r="K180" s="221" t="e">
        <f ca="1">_xll.DBRW(Server&amp;Cube1,$F$17,$F$18,$F$19,$F$16,$C$14,$F$15,$F$14,$F$20,I$2,I$1,$C180) -_xll.DBRW(Server&amp;Cube1,$F$17,$F$18,$F$19,$F$16,$C$14,$F$15,$F$14,$F$20,K$2,I$1,$C180)</f>
        <v>#VALUE!</v>
      </c>
      <c r="L180" s="221" t="e">
        <f t="shared" ca="1" si="8"/>
        <v>#VALUE!</v>
      </c>
      <c r="M180" s="221" t="e">
        <f t="shared" ca="1" si="7"/>
        <v>#VALUE!</v>
      </c>
      <c r="N180" s="226"/>
      <c r="O180" s="221" t="str">
        <f ca="1">_xll.DBRW(Server&amp;Cube1,$F$17,$F$18,$F$19,$F$16,$C$14,$F$15,$F$14,$F$20,O$2,O$1,$C180)</f>
        <v/>
      </c>
      <c r="P180" s="226"/>
      <c r="Q180" s="240" t="str">
        <f ca="1">IF(_xll.ELCOMPN(Server&amp;$C$24,C180)=0,"YES","NO")</f>
        <v>YES</v>
      </c>
      <c r="R180" s="241">
        <v>0</v>
      </c>
      <c r="S180" s="226"/>
      <c r="T180" s="227" t="str">
        <f ca="1">_xll.DBRW(Server&amp;Cube1,$F$17,$F$18,$F$19,$F$16,$C$14,$F$15,$F$14,$F$20,T$2,$T$1,$C180)</f>
        <v/>
      </c>
      <c r="U180" s="227" t="str">
        <f ca="1">_xll.DBRW(Server&amp;Cube1,$F$17,$F$18,$F$19,$F$16,$C$14,$F$15,$F$14,$F$20,U$2,$U$1,$C180)</f>
        <v/>
      </c>
      <c r="V180" s="227" t="str">
        <f ca="1">_xll.DBRW(Server&amp;Cube1,$F$17,$F$18,$F$19,$F$16,$C$14,$F$15,$F$14,$F$20,V$2,V$1,$C180)</f>
        <v/>
      </c>
      <c r="W180" s="227" t="str">
        <f ca="1">_xll.DBRW(Server&amp;Cube1,$F$17,$F$18,$F$19,$F$16,$C$14,$F$15,$F$14,$F$20,W$2,W$1,$C180)</f>
        <v/>
      </c>
      <c r="X180" s="227" t="str">
        <f ca="1">_xll.DBRW(Server&amp;Cube1,$F$17,$F$18,$F$19,$F$16,$C$14,$F$15,$F$14,$F$20,X$2,X$1,$C180)</f>
        <v/>
      </c>
      <c r="Y180" s="227" t="str">
        <f ca="1">_xll.DBRW(Server&amp;Cube1,$F$17,$F$18,$F$19,$F$16,$C$14,$F$15,$F$14,$F$20,Y$2,Y$1,$C180)</f>
        <v/>
      </c>
      <c r="Z180" s="241"/>
      <c r="AA180" s="241"/>
      <c r="AB180" s="241"/>
      <c r="AC180" s="241"/>
      <c r="AD180" s="241"/>
      <c r="AE180" s="241"/>
      <c r="AF180" s="221" t="str">
        <f ca="1">_xll.DBRW(Server&amp;Cube1,$F$17,$F$18,$F$19,$F$16,$C$14,$F$15,$F$14,$F$20,AF$2,$AF$1,$C180)</f>
        <v/>
      </c>
      <c r="AG180" s="53"/>
      <c r="AH180" s="53"/>
      <c r="AI180" s="53"/>
      <c r="AJ180" s="53"/>
      <c r="AK180" s="53"/>
      <c r="AL180" s="53"/>
      <c r="AM180" s="53"/>
      <c r="AN180" s="53"/>
      <c r="AO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1:53" s="9" customFormat="1" ht="24.75" customHeight="1" x14ac:dyDescent="0.35">
      <c r="A181" s="181" t="e">
        <f ca="1">IF($AT$35="YES",1,IF(_xll.ELCOMPN(Server&amp;$C$24,C181)&lt;&gt;0,1,IF(OR(B181=$AZ$35,B181="ALL"),1,0)))</f>
        <v>#VALUE!</v>
      </c>
      <c r="B181" s="163" t="str">
        <f t="shared" si="9"/>
        <v>HR</v>
      </c>
      <c r="C181" s="158" t="s">
        <v>280</v>
      </c>
      <c r="E181" s="268" t="str">
        <f ca="1">_xll.DBRA(Server&amp;$C$24,$C181,$F$21)</f>
        <v>Dépenses de formation (RH)</v>
      </c>
      <c r="F181" s="268"/>
      <c r="G181" s="268"/>
      <c r="H181" s="40"/>
      <c r="I181" s="221" t="str">
        <f ca="1">_xll.DBRW(Server&amp;Cube1,$F$17,$F$18,$F$19,$F$16,$C$14,$F$15,$F$14,$F$20,I$2,I$1,$C181)</f>
        <v/>
      </c>
      <c r="J181" s="221" t="str">
        <f ca="1">_xll.DBRW(Server&amp;Cube1,$F$17,$F$18,$F$19,$F$16,$C$14,$F$15,$F$14,$F$20,J$2,J$1,$C181)</f>
        <v/>
      </c>
      <c r="K181" s="221" t="e">
        <f ca="1">_xll.DBRW(Server&amp;Cube1,$F$17,$F$18,$F$19,$F$16,$C$14,$F$15,$F$14,$F$20,I$2,I$1,$C181) -_xll.DBRW(Server&amp;Cube1,$F$17,$F$18,$F$19,$F$16,$C$14,$F$15,$F$14,$F$20,K$2,I$1,$C181)</f>
        <v>#VALUE!</v>
      </c>
      <c r="L181" s="221" t="e">
        <f t="shared" ca="1" si="8"/>
        <v>#VALUE!</v>
      </c>
      <c r="M181" s="221" t="e">
        <f t="shared" ca="1" si="7"/>
        <v>#VALUE!</v>
      </c>
      <c r="N181" s="226"/>
      <c r="O181" s="221" t="str">
        <f ca="1">_xll.DBRW(Server&amp;Cube1,$F$17,$F$18,$F$19,$F$16,$C$14,$F$15,$F$14,$F$20,O$2,O$1,$C181)</f>
        <v/>
      </c>
      <c r="P181" s="226"/>
      <c r="Q181" s="240" t="str">
        <f ca="1">IF(_xll.ELCOMPN(Server&amp;$C$24,C181)=0,"YES","NO")</f>
        <v>YES</v>
      </c>
      <c r="R181" s="241">
        <v>0</v>
      </c>
      <c r="S181" s="226"/>
      <c r="T181" s="227" t="str">
        <f ca="1">_xll.DBRW(Server&amp;Cube1,$F$17,$F$18,$F$19,$F$16,$C$14,$F$15,$F$14,$F$20,T$2,$T$1,$C181)</f>
        <v/>
      </c>
      <c r="U181" s="227" t="str">
        <f ca="1">_xll.DBRW(Server&amp;Cube1,$F$17,$F$18,$F$19,$F$16,$C$14,$F$15,$F$14,$F$20,U$2,$U$1,$C181)</f>
        <v/>
      </c>
      <c r="V181" s="227" t="str">
        <f ca="1">_xll.DBRW(Server&amp;Cube1,$F$17,$F$18,$F$19,$F$16,$C$14,$F$15,$F$14,$F$20,V$2,V$1,$C181)</f>
        <v/>
      </c>
      <c r="W181" s="227" t="str">
        <f ca="1">_xll.DBRW(Server&amp;Cube1,$F$17,$F$18,$F$19,$F$16,$C$14,$F$15,$F$14,$F$20,W$2,W$1,$C181)</f>
        <v/>
      </c>
      <c r="X181" s="227" t="str">
        <f ca="1">_xll.DBRW(Server&amp;Cube1,$F$17,$F$18,$F$19,$F$16,$C$14,$F$15,$F$14,$F$20,X$2,X$1,$C181)</f>
        <v/>
      </c>
      <c r="Y181" s="227" t="str">
        <f ca="1">_xll.DBRW(Server&amp;Cube1,$F$17,$F$18,$F$19,$F$16,$C$14,$F$15,$F$14,$F$20,Y$2,Y$1,$C181)</f>
        <v/>
      </c>
      <c r="Z181" s="241"/>
      <c r="AA181" s="241"/>
      <c r="AB181" s="241"/>
      <c r="AC181" s="241"/>
      <c r="AD181" s="241"/>
      <c r="AE181" s="241"/>
      <c r="AF181" s="221" t="str">
        <f ca="1">_xll.DBRW(Server&amp;Cube1,$F$17,$F$18,$F$19,$F$16,$C$14,$F$15,$F$14,$F$20,AF$2,$AF$1,$C181)</f>
        <v/>
      </c>
      <c r="AG181" s="53"/>
      <c r="AH181" s="53"/>
      <c r="AI181" s="53"/>
      <c r="AJ181" s="53"/>
      <c r="AK181" s="53"/>
      <c r="AL181" s="53"/>
      <c r="AM181" s="53"/>
      <c r="AN181" s="53"/>
      <c r="AO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1:53" s="9" customFormat="1" ht="24.75" customHeight="1" x14ac:dyDescent="0.35">
      <c r="A182" s="181" t="e">
        <f ca="1">IF($AT$35="YES",1,IF(_xll.ELCOMPN(Server&amp;$C$24,C182)&lt;&gt;0,1,IF(OR(B182=$AZ$35,B182="ALL"),1,0)))</f>
        <v>#VALUE!</v>
      </c>
      <c r="B182" s="163" t="str">
        <f t="shared" si="9"/>
        <v>GM</v>
      </c>
      <c r="C182" s="158" t="s">
        <v>281</v>
      </c>
      <c r="E182" s="268" t="str">
        <f ca="1">_xll.DBRA(Server&amp;$C$24,$C182,$F$21)</f>
        <v>Dépenses de formation (DG)</v>
      </c>
      <c r="F182" s="268"/>
      <c r="G182" s="268"/>
      <c r="H182" s="40"/>
      <c r="I182" s="221" t="str">
        <f ca="1">_xll.DBRW(Server&amp;Cube1,$F$17,$F$18,$F$19,$F$16,$C$14,$F$15,$F$14,$F$20,I$2,I$1,$C182)</f>
        <v/>
      </c>
      <c r="J182" s="221" t="str">
        <f ca="1">_xll.DBRW(Server&amp;Cube1,$F$17,$F$18,$F$19,$F$16,$C$14,$F$15,$F$14,$F$20,J$2,J$1,$C182)</f>
        <v/>
      </c>
      <c r="K182" s="221" t="e">
        <f ca="1">_xll.DBRW(Server&amp;Cube1,$F$17,$F$18,$F$19,$F$16,$C$14,$F$15,$F$14,$F$20,I$2,I$1,$C182) -_xll.DBRW(Server&amp;Cube1,$F$17,$F$18,$F$19,$F$16,$C$14,$F$15,$F$14,$F$20,K$2,I$1,$C182)</f>
        <v>#VALUE!</v>
      </c>
      <c r="L182" s="221" t="e">
        <f t="shared" ca="1" si="8"/>
        <v>#VALUE!</v>
      </c>
      <c r="M182" s="221" t="e">
        <f t="shared" ca="1" si="7"/>
        <v>#VALUE!</v>
      </c>
      <c r="N182" s="226"/>
      <c r="O182" s="221" t="str">
        <f ca="1">_xll.DBRW(Server&amp;Cube1,$F$17,$F$18,$F$19,$F$16,$C$14,$F$15,$F$14,$F$20,O$2,O$1,$C182)</f>
        <v/>
      </c>
      <c r="P182" s="226"/>
      <c r="Q182" s="240" t="str">
        <f ca="1">IF(_xll.ELCOMPN(Server&amp;$C$24,C182)=0,"YES","NO")</f>
        <v>YES</v>
      </c>
      <c r="R182" s="241">
        <v>0</v>
      </c>
      <c r="S182" s="226"/>
      <c r="T182" s="227" t="str">
        <f ca="1">_xll.DBRW(Server&amp;Cube1,$F$17,$F$18,$F$19,$F$16,$C$14,$F$15,$F$14,$F$20,T$2,$T$1,$C182)</f>
        <v/>
      </c>
      <c r="U182" s="227" t="str">
        <f ca="1">_xll.DBRW(Server&amp;Cube1,$F$17,$F$18,$F$19,$F$16,$C$14,$F$15,$F$14,$F$20,U$2,$U$1,$C182)</f>
        <v/>
      </c>
      <c r="V182" s="227" t="str">
        <f ca="1">_xll.DBRW(Server&amp;Cube1,$F$17,$F$18,$F$19,$F$16,$C$14,$F$15,$F$14,$F$20,V$2,V$1,$C182)</f>
        <v/>
      </c>
      <c r="W182" s="227" t="str">
        <f ca="1">_xll.DBRW(Server&amp;Cube1,$F$17,$F$18,$F$19,$F$16,$C$14,$F$15,$F$14,$F$20,W$2,W$1,$C182)</f>
        <v/>
      </c>
      <c r="X182" s="227" t="str">
        <f ca="1">_xll.DBRW(Server&amp;Cube1,$F$17,$F$18,$F$19,$F$16,$C$14,$F$15,$F$14,$F$20,X$2,X$1,$C182)</f>
        <v/>
      </c>
      <c r="Y182" s="227" t="str">
        <f ca="1">_xll.DBRW(Server&amp;Cube1,$F$17,$F$18,$F$19,$F$16,$C$14,$F$15,$F$14,$F$20,Y$2,Y$1,$C182)</f>
        <v/>
      </c>
      <c r="Z182" s="241"/>
      <c r="AA182" s="241"/>
      <c r="AB182" s="241"/>
      <c r="AC182" s="241"/>
      <c r="AD182" s="241"/>
      <c r="AE182" s="241"/>
      <c r="AF182" s="221" t="str">
        <f ca="1">_xll.DBRW(Server&amp;Cube1,$F$17,$F$18,$F$19,$F$16,$C$14,$F$15,$F$14,$F$20,AF$2,$AF$1,$C182)</f>
        <v/>
      </c>
      <c r="AG182" s="53"/>
      <c r="AH182" s="53"/>
      <c r="AI182" s="53"/>
      <c r="AJ182" s="53"/>
      <c r="AK182" s="53"/>
      <c r="AL182" s="53"/>
      <c r="AM182" s="53"/>
      <c r="AN182" s="53"/>
      <c r="AO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1:53" s="9" customFormat="1" ht="24.75" customHeight="1" x14ac:dyDescent="0.35">
      <c r="A183" s="181" t="e">
        <f ca="1">IF($AT$35="YES",1,IF(_xll.ELCOMPN(Server&amp;$C$24,C183)&lt;&gt;0,1,IF(OR(B183=$AZ$35,B183="ALL"),1,0)))</f>
        <v>#VALUE!</v>
      </c>
      <c r="B183" s="163" t="str">
        <f t="shared" si="9"/>
        <v>IA</v>
      </c>
      <c r="C183" s="158" t="s">
        <v>282</v>
      </c>
      <c r="E183" s="268" t="str">
        <f ca="1">_xll.DBRA(Server&amp;$C$24,$C183,$F$21)</f>
        <v>Dépenses de formation (AI)</v>
      </c>
      <c r="F183" s="268"/>
      <c r="G183" s="268"/>
      <c r="H183" s="40"/>
      <c r="I183" s="221" t="str">
        <f ca="1">_xll.DBRW(Server&amp;Cube1,$F$17,$F$18,$F$19,$F$16,$C$14,$F$15,$F$14,$F$20,I$2,I$1,$C183)</f>
        <v/>
      </c>
      <c r="J183" s="221" t="str">
        <f ca="1">_xll.DBRW(Server&amp;Cube1,$F$17,$F$18,$F$19,$F$16,$C$14,$F$15,$F$14,$F$20,J$2,J$1,$C183)</f>
        <v/>
      </c>
      <c r="K183" s="221" t="e">
        <f ca="1">_xll.DBRW(Server&amp;Cube1,$F$17,$F$18,$F$19,$F$16,$C$14,$F$15,$F$14,$F$20,I$2,I$1,$C183) -_xll.DBRW(Server&amp;Cube1,$F$17,$F$18,$F$19,$F$16,$C$14,$F$15,$F$14,$F$20,K$2,I$1,$C183)</f>
        <v>#VALUE!</v>
      </c>
      <c r="L183" s="221" t="e">
        <f t="shared" ca="1" si="8"/>
        <v>#VALUE!</v>
      </c>
      <c r="M183" s="221" t="e">
        <f t="shared" ca="1" si="7"/>
        <v>#VALUE!</v>
      </c>
      <c r="N183" s="226"/>
      <c r="O183" s="221" t="str">
        <f ca="1">_xll.DBRW(Server&amp;Cube1,$F$17,$F$18,$F$19,$F$16,$C$14,$F$15,$F$14,$F$20,O$2,O$1,$C183)</f>
        <v/>
      </c>
      <c r="P183" s="226"/>
      <c r="Q183" s="240" t="str">
        <f ca="1">IF(_xll.ELCOMPN(Server&amp;$C$24,C183)=0,"YES","NO")</f>
        <v>YES</v>
      </c>
      <c r="R183" s="241">
        <v>0</v>
      </c>
      <c r="S183" s="226"/>
      <c r="T183" s="227" t="str">
        <f ca="1">_xll.DBRW(Server&amp;Cube1,$F$17,$F$18,$F$19,$F$16,$C$14,$F$15,$F$14,$F$20,T$2,$T$1,$C183)</f>
        <v/>
      </c>
      <c r="U183" s="227" t="str">
        <f ca="1">_xll.DBRW(Server&amp;Cube1,$F$17,$F$18,$F$19,$F$16,$C$14,$F$15,$F$14,$F$20,U$2,$U$1,$C183)</f>
        <v/>
      </c>
      <c r="V183" s="227" t="str">
        <f ca="1">_xll.DBRW(Server&amp;Cube1,$F$17,$F$18,$F$19,$F$16,$C$14,$F$15,$F$14,$F$20,V$2,V$1,$C183)</f>
        <v/>
      </c>
      <c r="W183" s="227" t="str">
        <f ca="1">_xll.DBRW(Server&amp;Cube1,$F$17,$F$18,$F$19,$F$16,$C$14,$F$15,$F$14,$F$20,W$2,W$1,$C183)</f>
        <v/>
      </c>
      <c r="X183" s="227" t="str">
        <f ca="1">_xll.DBRW(Server&amp;Cube1,$F$17,$F$18,$F$19,$F$16,$C$14,$F$15,$F$14,$F$20,X$2,X$1,$C183)</f>
        <v/>
      </c>
      <c r="Y183" s="227" t="str">
        <f ca="1">_xll.DBRW(Server&amp;Cube1,$F$17,$F$18,$F$19,$F$16,$C$14,$F$15,$F$14,$F$20,Y$2,Y$1,$C183)</f>
        <v/>
      </c>
      <c r="Z183" s="241"/>
      <c r="AA183" s="241"/>
      <c r="AB183" s="241"/>
      <c r="AC183" s="241"/>
      <c r="AD183" s="241"/>
      <c r="AE183" s="241"/>
      <c r="AF183" s="221" t="str">
        <f ca="1">_xll.DBRW(Server&amp;Cube1,$F$17,$F$18,$F$19,$F$16,$C$14,$F$15,$F$14,$F$20,AF$2,$AF$1,$C183)</f>
        <v/>
      </c>
      <c r="AG183" s="53"/>
      <c r="AH183" s="53"/>
      <c r="AI183" s="53"/>
      <c r="AJ183" s="53"/>
      <c r="AK183" s="53"/>
      <c r="AL183" s="53"/>
      <c r="AM183" s="53"/>
      <c r="AN183" s="53"/>
      <c r="AO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1:53" s="9" customFormat="1" ht="24.75" customHeight="1" x14ac:dyDescent="0.35">
      <c r="A184" s="181" t="e">
        <f ca="1">IF($AT$35="YES",1,IF(_xll.ELCOMPN(Server&amp;$C$24,C184)&lt;&gt;0,1,IF(OR(B184=$AZ$35,B184="ALL"),1,0)))</f>
        <v>#VALUE!</v>
      </c>
      <c r="B184" s="163" t="str">
        <f t="shared" si="9"/>
        <v>LE</v>
      </c>
      <c r="C184" s="158" t="s">
        <v>283</v>
      </c>
      <c r="E184" s="268" t="str">
        <f ca="1">_xll.DBRA(Server&amp;$C$24,$C184,$F$21)</f>
        <v>Dépenses de formation (JU)</v>
      </c>
      <c r="F184" s="268"/>
      <c r="G184" s="268"/>
      <c r="H184" s="40"/>
      <c r="I184" s="221" t="str">
        <f ca="1">_xll.DBRW(Server&amp;Cube1,$F$17,$F$18,$F$19,$F$16,$C$14,$F$15,$F$14,$F$20,I$2,I$1,$C184)</f>
        <v/>
      </c>
      <c r="J184" s="221" t="str">
        <f ca="1">_xll.DBRW(Server&amp;Cube1,$F$17,$F$18,$F$19,$F$16,$C$14,$F$15,$F$14,$F$20,J$2,J$1,$C184)</f>
        <v/>
      </c>
      <c r="K184" s="221" t="e">
        <f ca="1">_xll.DBRW(Server&amp;Cube1,$F$17,$F$18,$F$19,$F$16,$C$14,$F$15,$F$14,$F$20,I$2,I$1,$C184) -_xll.DBRW(Server&amp;Cube1,$F$17,$F$18,$F$19,$F$16,$C$14,$F$15,$F$14,$F$20,K$2,I$1,$C184)</f>
        <v>#VALUE!</v>
      </c>
      <c r="L184" s="221" t="e">
        <f t="shared" ca="1" si="8"/>
        <v>#VALUE!</v>
      </c>
      <c r="M184" s="221" t="e">
        <f t="shared" ca="1" si="7"/>
        <v>#VALUE!</v>
      </c>
      <c r="N184" s="226"/>
      <c r="O184" s="221" t="str">
        <f ca="1">_xll.DBRW(Server&amp;Cube1,$F$17,$F$18,$F$19,$F$16,$C$14,$F$15,$F$14,$F$20,O$2,O$1,$C184)</f>
        <v/>
      </c>
      <c r="P184" s="226"/>
      <c r="Q184" s="240" t="str">
        <f ca="1">IF(_xll.ELCOMPN(Server&amp;$C$24,C184)=0,"YES","NO")</f>
        <v>YES</v>
      </c>
      <c r="R184" s="241">
        <v>0</v>
      </c>
      <c r="S184" s="226"/>
      <c r="T184" s="227" t="str">
        <f ca="1">_xll.DBRW(Server&amp;Cube1,$F$17,$F$18,$F$19,$F$16,$C$14,$F$15,$F$14,$F$20,T$2,$T$1,$C184)</f>
        <v/>
      </c>
      <c r="U184" s="227" t="str">
        <f ca="1">_xll.DBRW(Server&amp;Cube1,$F$17,$F$18,$F$19,$F$16,$C$14,$F$15,$F$14,$F$20,U$2,$U$1,$C184)</f>
        <v/>
      </c>
      <c r="V184" s="227" t="str">
        <f ca="1">_xll.DBRW(Server&amp;Cube1,$F$17,$F$18,$F$19,$F$16,$C$14,$F$15,$F$14,$F$20,V$2,V$1,$C184)</f>
        <v/>
      </c>
      <c r="W184" s="227" t="str">
        <f ca="1">_xll.DBRW(Server&amp;Cube1,$F$17,$F$18,$F$19,$F$16,$C$14,$F$15,$F$14,$F$20,W$2,W$1,$C184)</f>
        <v/>
      </c>
      <c r="X184" s="227" t="str">
        <f ca="1">_xll.DBRW(Server&amp;Cube1,$F$17,$F$18,$F$19,$F$16,$C$14,$F$15,$F$14,$F$20,X$2,X$1,$C184)</f>
        <v/>
      </c>
      <c r="Y184" s="227" t="str">
        <f ca="1">_xll.DBRW(Server&amp;Cube1,$F$17,$F$18,$F$19,$F$16,$C$14,$F$15,$F$14,$F$20,Y$2,Y$1,$C184)</f>
        <v/>
      </c>
      <c r="Z184" s="241"/>
      <c r="AA184" s="241"/>
      <c r="AB184" s="241"/>
      <c r="AC184" s="241"/>
      <c r="AD184" s="241"/>
      <c r="AE184" s="241"/>
      <c r="AF184" s="221" t="str">
        <f ca="1">_xll.DBRW(Server&amp;Cube1,$F$17,$F$18,$F$19,$F$16,$C$14,$F$15,$F$14,$F$20,AF$2,$AF$1,$C184)</f>
        <v/>
      </c>
      <c r="AG184" s="53"/>
      <c r="AH184" s="53"/>
      <c r="AI184" s="53"/>
      <c r="AJ184" s="53"/>
      <c r="AK184" s="53"/>
      <c r="AL184" s="53"/>
      <c r="AM184" s="53"/>
      <c r="AN184" s="53"/>
      <c r="AO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1:53" s="9" customFormat="1" ht="24.75" customHeight="1" x14ac:dyDescent="0.35">
      <c r="A185" s="181" t="e">
        <f ca="1">IF($AT$35="YES",1,IF(_xll.ELCOMPN(Server&amp;$C$24,C185)&lt;&gt;0,1,IF(OR(B185=$AZ$35,B185="ALL"),1,0)))</f>
        <v>#VALUE!</v>
      </c>
      <c r="B185" s="163" t="str">
        <f t="shared" si="9"/>
        <v>RM</v>
      </c>
      <c r="C185" s="158" t="s">
        <v>284</v>
      </c>
      <c r="E185" s="268" t="str">
        <f ca="1">_xll.DBRA(Server&amp;$C$24,$C185,$F$21)</f>
        <v>Dépenses de formation (GR)</v>
      </c>
      <c r="F185" s="268"/>
      <c r="G185" s="268"/>
      <c r="H185" s="40"/>
      <c r="I185" s="221" t="str">
        <f ca="1">_xll.DBRW(Server&amp;Cube1,$F$17,$F$18,$F$19,$F$16,$C$14,$F$15,$F$14,$F$20,I$2,I$1,$C185)</f>
        <v/>
      </c>
      <c r="J185" s="221" t="str">
        <f ca="1">_xll.DBRW(Server&amp;Cube1,$F$17,$F$18,$F$19,$F$16,$C$14,$F$15,$F$14,$F$20,J$2,J$1,$C185)</f>
        <v/>
      </c>
      <c r="K185" s="221" t="e">
        <f ca="1">_xll.DBRW(Server&amp;Cube1,$F$17,$F$18,$F$19,$F$16,$C$14,$F$15,$F$14,$F$20,I$2,I$1,$C185) -_xll.DBRW(Server&amp;Cube1,$F$17,$F$18,$F$19,$F$16,$C$14,$F$15,$F$14,$F$20,K$2,I$1,$C185)</f>
        <v>#VALUE!</v>
      </c>
      <c r="L185" s="221" t="e">
        <f t="shared" ca="1" si="8"/>
        <v>#VALUE!</v>
      </c>
      <c r="M185" s="221" t="e">
        <f t="shared" ca="1" si="7"/>
        <v>#VALUE!</v>
      </c>
      <c r="N185" s="226"/>
      <c r="O185" s="221" t="str">
        <f ca="1">_xll.DBRW(Server&amp;Cube1,$F$17,$F$18,$F$19,$F$16,$C$14,$F$15,$F$14,$F$20,O$2,O$1,$C185)</f>
        <v/>
      </c>
      <c r="P185" s="226"/>
      <c r="Q185" s="240" t="str">
        <f ca="1">IF(_xll.ELCOMPN(Server&amp;$C$24,C185)=0,"YES","NO")</f>
        <v>YES</v>
      </c>
      <c r="R185" s="241">
        <v>0</v>
      </c>
      <c r="S185" s="226"/>
      <c r="T185" s="227" t="str">
        <f ca="1">_xll.DBRW(Server&amp;Cube1,$F$17,$F$18,$F$19,$F$16,$C$14,$F$15,$F$14,$F$20,T$2,$T$1,$C185)</f>
        <v/>
      </c>
      <c r="U185" s="227" t="str">
        <f ca="1">_xll.DBRW(Server&amp;Cube1,$F$17,$F$18,$F$19,$F$16,$C$14,$F$15,$F$14,$F$20,U$2,$U$1,$C185)</f>
        <v/>
      </c>
      <c r="V185" s="227" t="str">
        <f ca="1">_xll.DBRW(Server&amp;Cube1,$F$17,$F$18,$F$19,$F$16,$C$14,$F$15,$F$14,$F$20,V$2,V$1,$C185)</f>
        <v/>
      </c>
      <c r="W185" s="227" t="str">
        <f ca="1">_xll.DBRW(Server&amp;Cube1,$F$17,$F$18,$F$19,$F$16,$C$14,$F$15,$F$14,$F$20,W$2,W$1,$C185)</f>
        <v/>
      </c>
      <c r="X185" s="227" t="str">
        <f ca="1">_xll.DBRW(Server&amp;Cube1,$F$17,$F$18,$F$19,$F$16,$C$14,$F$15,$F$14,$F$20,X$2,X$1,$C185)</f>
        <v/>
      </c>
      <c r="Y185" s="227" t="str">
        <f ca="1">_xll.DBRW(Server&amp;Cube1,$F$17,$F$18,$F$19,$F$16,$C$14,$F$15,$F$14,$F$20,Y$2,Y$1,$C185)</f>
        <v/>
      </c>
      <c r="Z185" s="241"/>
      <c r="AA185" s="241"/>
      <c r="AB185" s="241"/>
      <c r="AC185" s="241"/>
      <c r="AD185" s="241"/>
      <c r="AE185" s="241"/>
      <c r="AF185" s="221" t="str">
        <f ca="1">_xll.DBRW(Server&amp;Cube1,$F$17,$F$18,$F$19,$F$16,$C$14,$F$15,$F$14,$F$20,AF$2,$AF$1,$C185)</f>
        <v/>
      </c>
      <c r="AG185" s="53"/>
      <c r="AH185" s="53"/>
      <c r="AI185" s="53"/>
      <c r="AJ185" s="53"/>
      <c r="AK185" s="53"/>
      <c r="AL185" s="53"/>
      <c r="AM185" s="53"/>
      <c r="AN185" s="53"/>
      <c r="AO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1:53" s="9" customFormat="1" ht="24.75" customHeight="1" x14ac:dyDescent="0.35">
      <c r="A186" s="181" t="e">
        <f ca="1">IF($AT$35="YES",1,IF(_xll.ELCOMPN(Server&amp;$C$24,C186)&lt;&gt;0,1,IF(OR(B186=$AZ$35,B186="ALL"),1,0)))</f>
        <v>#VALUE!</v>
      </c>
      <c r="B186" s="163" t="str">
        <f t="shared" si="9"/>
        <v>PU</v>
      </c>
      <c r="C186" s="158" t="s">
        <v>285</v>
      </c>
      <c r="E186" s="268" t="str">
        <f ca="1">_xll.DBRA(Server&amp;$C$24,$C186,$F$21)</f>
        <v>Dépenses de formation (AC)</v>
      </c>
      <c r="F186" s="268"/>
      <c r="G186" s="268"/>
      <c r="H186" s="40"/>
      <c r="I186" s="221" t="str">
        <f ca="1">_xll.DBRW(Server&amp;Cube1,$F$17,$F$18,$F$19,$F$16,$C$14,$F$15,$F$14,$F$20,I$2,I$1,$C186)</f>
        <v/>
      </c>
      <c r="J186" s="221" t="str">
        <f ca="1">_xll.DBRW(Server&amp;Cube1,$F$17,$F$18,$F$19,$F$16,$C$14,$F$15,$F$14,$F$20,J$2,J$1,$C186)</f>
        <v/>
      </c>
      <c r="K186" s="221" t="e">
        <f ca="1">_xll.DBRW(Server&amp;Cube1,$F$17,$F$18,$F$19,$F$16,$C$14,$F$15,$F$14,$F$20,I$2,I$1,$C186) -_xll.DBRW(Server&amp;Cube1,$F$17,$F$18,$F$19,$F$16,$C$14,$F$15,$F$14,$F$20,K$2,I$1,$C186)</f>
        <v>#VALUE!</v>
      </c>
      <c r="L186" s="221" t="e">
        <f t="shared" ca="1" si="8"/>
        <v>#VALUE!</v>
      </c>
      <c r="M186" s="221" t="e">
        <f t="shared" ca="1" si="7"/>
        <v>#VALUE!</v>
      </c>
      <c r="N186" s="226"/>
      <c r="O186" s="221" t="str">
        <f ca="1">_xll.DBRW(Server&amp;Cube1,$F$17,$F$18,$F$19,$F$16,$C$14,$F$15,$F$14,$F$20,O$2,O$1,$C186)</f>
        <v/>
      </c>
      <c r="P186" s="226"/>
      <c r="Q186" s="240" t="str">
        <f ca="1">IF(_xll.ELCOMPN(Server&amp;$C$24,C186)=0,"YES","NO")</f>
        <v>YES</v>
      </c>
      <c r="R186" s="241">
        <v>0</v>
      </c>
      <c r="S186" s="226"/>
      <c r="T186" s="227" t="str">
        <f ca="1">_xll.DBRW(Server&amp;Cube1,$F$17,$F$18,$F$19,$F$16,$C$14,$F$15,$F$14,$F$20,T$2,$T$1,$C186)</f>
        <v/>
      </c>
      <c r="U186" s="227" t="str">
        <f ca="1">_xll.DBRW(Server&amp;Cube1,$F$17,$F$18,$F$19,$F$16,$C$14,$F$15,$F$14,$F$20,U$2,$U$1,$C186)</f>
        <v/>
      </c>
      <c r="V186" s="227" t="str">
        <f ca="1">_xll.DBRW(Server&amp;Cube1,$F$17,$F$18,$F$19,$F$16,$C$14,$F$15,$F$14,$F$20,V$2,V$1,$C186)</f>
        <v/>
      </c>
      <c r="W186" s="227" t="str">
        <f ca="1">_xll.DBRW(Server&amp;Cube1,$F$17,$F$18,$F$19,$F$16,$C$14,$F$15,$F$14,$F$20,W$2,W$1,$C186)</f>
        <v/>
      </c>
      <c r="X186" s="227" t="str">
        <f ca="1">_xll.DBRW(Server&amp;Cube1,$F$17,$F$18,$F$19,$F$16,$C$14,$F$15,$F$14,$F$20,X$2,X$1,$C186)</f>
        <v/>
      </c>
      <c r="Y186" s="227" t="str">
        <f ca="1">_xll.DBRW(Server&amp;Cube1,$F$17,$F$18,$F$19,$F$16,$C$14,$F$15,$F$14,$F$20,Y$2,Y$1,$C186)</f>
        <v/>
      </c>
      <c r="Z186" s="241"/>
      <c r="AA186" s="241"/>
      <c r="AB186" s="241"/>
      <c r="AC186" s="241"/>
      <c r="AD186" s="241"/>
      <c r="AE186" s="241"/>
      <c r="AF186" s="221" t="str">
        <f ca="1">_xll.DBRW(Server&amp;Cube1,$F$17,$F$18,$F$19,$F$16,$C$14,$F$15,$F$14,$F$20,AF$2,$AF$1,$C186)</f>
        <v/>
      </c>
      <c r="AG186" s="53"/>
      <c r="AH186" s="53"/>
      <c r="AI186" s="53"/>
      <c r="AJ186" s="53"/>
      <c r="AK186" s="53"/>
      <c r="AL186" s="53"/>
      <c r="AM186" s="53"/>
      <c r="AN186" s="53"/>
      <c r="AO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1:53" s="9" customFormat="1" ht="24.75" customHeight="1" x14ac:dyDescent="0.35">
      <c r="A187" s="181" t="e">
        <f ca="1">IF($AT$35="YES",1,IF(_xll.ELCOMPN(Server&amp;$C$24,C187)&lt;&gt;0,1,IF(OR(B187=$AZ$35,B187="ALL"),1,0)))</f>
        <v>#VALUE!</v>
      </c>
      <c r="B187" s="163" t="str">
        <f t="shared" si="9"/>
        <v>CO</v>
      </c>
      <c r="C187" s="158" t="s">
        <v>286</v>
      </c>
      <c r="E187" s="268" t="str">
        <f ca="1">_xll.DBRA(Server&amp;$C$24,$C187,$F$21)</f>
        <v>Dépenses de formation (CO)</v>
      </c>
      <c r="F187" s="268"/>
      <c r="G187" s="268"/>
      <c r="H187" s="40"/>
      <c r="I187" s="221" t="str">
        <f ca="1">_xll.DBRW(Server&amp;Cube1,$F$17,$F$18,$F$19,$F$16,$C$14,$F$15,$F$14,$F$20,I$2,I$1,$C187)</f>
        <v/>
      </c>
      <c r="J187" s="221" t="str">
        <f ca="1">_xll.DBRW(Server&amp;Cube1,$F$17,$F$18,$F$19,$F$16,$C$14,$F$15,$F$14,$F$20,J$2,J$1,$C187)</f>
        <v/>
      </c>
      <c r="K187" s="221" t="e">
        <f ca="1">_xll.DBRW(Server&amp;Cube1,$F$17,$F$18,$F$19,$F$16,$C$14,$F$15,$F$14,$F$20,I$2,I$1,$C187) -_xll.DBRW(Server&amp;Cube1,$F$17,$F$18,$F$19,$F$16,$C$14,$F$15,$F$14,$F$20,K$2,I$1,$C187)</f>
        <v>#VALUE!</v>
      </c>
      <c r="L187" s="221" t="e">
        <f t="shared" ca="1" si="8"/>
        <v>#VALUE!</v>
      </c>
      <c r="M187" s="221" t="e">
        <f t="shared" ca="1" si="7"/>
        <v>#VALUE!</v>
      </c>
      <c r="N187" s="226"/>
      <c r="O187" s="221" t="str">
        <f ca="1">_xll.DBRW(Server&amp;Cube1,$F$17,$F$18,$F$19,$F$16,$C$14,$F$15,$F$14,$F$20,O$2,O$1,$C187)</f>
        <v/>
      </c>
      <c r="P187" s="226"/>
      <c r="Q187" s="240" t="str">
        <f ca="1">IF(_xll.ELCOMPN(Server&amp;$C$24,C187)=0,"YES","NO")</f>
        <v>YES</v>
      </c>
      <c r="R187" s="241">
        <v>0</v>
      </c>
      <c r="S187" s="226"/>
      <c r="T187" s="227" t="str">
        <f ca="1">_xll.DBRW(Server&amp;Cube1,$F$17,$F$18,$F$19,$F$16,$C$14,$F$15,$F$14,$F$20,T$2,$T$1,$C187)</f>
        <v/>
      </c>
      <c r="U187" s="227" t="str">
        <f ca="1">_xll.DBRW(Server&amp;Cube1,$F$17,$F$18,$F$19,$F$16,$C$14,$F$15,$F$14,$F$20,U$2,$U$1,$C187)</f>
        <v/>
      </c>
      <c r="V187" s="227" t="str">
        <f ca="1">_xll.DBRW(Server&amp;Cube1,$F$17,$F$18,$F$19,$F$16,$C$14,$F$15,$F$14,$F$20,V$2,V$1,$C187)</f>
        <v/>
      </c>
      <c r="W187" s="227" t="str">
        <f ca="1">_xll.DBRW(Server&amp;Cube1,$F$17,$F$18,$F$19,$F$16,$C$14,$F$15,$F$14,$F$20,W$2,W$1,$C187)</f>
        <v/>
      </c>
      <c r="X187" s="227" t="str">
        <f ca="1">_xll.DBRW(Server&amp;Cube1,$F$17,$F$18,$F$19,$F$16,$C$14,$F$15,$F$14,$F$20,X$2,X$1,$C187)</f>
        <v/>
      </c>
      <c r="Y187" s="227" t="str">
        <f ca="1">_xll.DBRW(Server&amp;Cube1,$F$17,$F$18,$F$19,$F$16,$C$14,$F$15,$F$14,$F$20,Y$2,Y$1,$C187)</f>
        <v/>
      </c>
      <c r="Z187" s="241"/>
      <c r="AA187" s="241"/>
      <c r="AB187" s="241"/>
      <c r="AC187" s="241"/>
      <c r="AD187" s="241"/>
      <c r="AE187" s="241"/>
      <c r="AF187" s="221" t="str">
        <f ca="1">_xll.DBRW(Server&amp;Cube1,$F$17,$F$18,$F$19,$F$16,$C$14,$F$15,$F$14,$F$20,AF$2,$AF$1,$C187)</f>
        <v/>
      </c>
      <c r="AG187" s="53"/>
      <c r="AH187" s="53"/>
      <c r="AI187" s="53"/>
      <c r="AJ187" s="53"/>
      <c r="AK187" s="53"/>
      <c r="AL187" s="53"/>
      <c r="AM187" s="53"/>
      <c r="AN187" s="53"/>
      <c r="AO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1:53" s="9" customFormat="1" ht="24.75" customHeight="1" x14ac:dyDescent="0.35">
      <c r="A188" s="181" t="e">
        <f ca="1">IF($AT$35="YES",1,IF(_xll.ELCOMPN(Server&amp;$C$24,C188)&lt;&gt;0,1,IF(OR(B188=$AZ$35,B188="ALL"),1,0)))</f>
        <v>#VALUE!</v>
      </c>
      <c r="B188" s="163" t="str">
        <f t="shared" si="9"/>
        <v>GS</v>
      </c>
      <c r="C188" s="158" t="s">
        <v>287</v>
      </c>
      <c r="E188" s="268" t="str">
        <f ca="1">_xll.DBRA(Server&amp;$C$24,$C188,$F$21)</f>
        <v>Dépenses de formation (SG)</v>
      </c>
      <c r="F188" s="268"/>
      <c r="G188" s="268"/>
      <c r="H188" s="40"/>
      <c r="I188" s="221" t="str">
        <f ca="1">_xll.DBRW(Server&amp;Cube1,$F$17,$F$18,$F$19,$F$16,$C$14,$F$15,$F$14,$F$20,I$2,I$1,$C188)</f>
        <v/>
      </c>
      <c r="J188" s="221" t="str">
        <f ca="1">_xll.DBRW(Server&amp;Cube1,$F$17,$F$18,$F$19,$F$16,$C$14,$F$15,$F$14,$F$20,J$2,J$1,$C188)</f>
        <v/>
      </c>
      <c r="K188" s="221" t="e">
        <f ca="1">_xll.DBRW(Server&amp;Cube1,$F$17,$F$18,$F$19,$F$16,$C$14,$F$15,$F$14,$F$20,I$2,I$1,$C188) -_xll.DBRW(Server&amp;Cube1,$F$17,$F$18,$F$19,$F$16,$C$14,$F$15,$F$14,$F$20,K$2,I$1,$C188)</f>
        <v>#VALUE!</v>
      </c>
      <c r="L188" s="221" t="e">
        <f t="shared" ca="1" si="8"/>
        <v>#VALUE!</v>
      </c>
      <c r="M188" s="221" t="e">
        <f t="shared" ca="1" si="7"/>
        <v>#VALUE!</v>
      </c>
      <c r="N188" s="226"/>
      <c r="O188" s="221" t="str">
        <f ca="1">_xll.DBRW(Server&amp;Cube1,$F$17,$F$18,$F$19,$F$16,$C$14,$F$15,$F$14,$F$20,O$2,O$1,$C188)</f>
        <v/>
      </c>
      <c r="P188" s="226"/>
      <c r="Q188" s="240" t="str">
        <f ca="1">IF(_xll.ELCOMPN(Server&amp;$C$24,C188)=0,"YES","NO")</f>
        <v>YES</v>
      </c>
      <c r="R188" s="241">
        <v>0</v>
      </c>
      <c r="S188" s="226"/>
      <c r="T188" s="227" t="str">
        <f ca="1">_xll.DBRW(Server&amp;Cube1,$F$17,$F$18,$F$19,$F$16,$C$14,$F$15,$F$14,$F$20,T$2,$T$1,$C188)</f>
        <v/>
      </c>
      <c r="U188" s="227" t="str">
        <f ca="1">_xll.DBRW(Server&amp;Cube1,$F$17,$F$18,$F$19,$F$16,$C$14,$F$15,$F$14,$F$20,U$2,$U$1,$C188)</f>
        <v/>
      </c>
      <c r="V188" s="227" t="str">
        <f ca="1">_xll.DBRW(Server&amp;Cube1,$F$17,$F$18,$F$19,$F$16,$C$14,$F$15,$F$14,$F$20,V$2,V$1,$C188)</f>
        <v/>
      </c>
      <c r="W188" s="227" t="str">
        <f ca="1">_xll.DBRW(Server&amp;Cube1,$F$17,$F$18,$F$19,$F$16,$C$14,$F$15,$F$14,$F$20,W$2,W$1,$C188)</f>
        <v/>
      </c>
      <c r="X188" s="227" t="str">
        <f ca="1">_xll.DBRW(Server&amp;Cube1,$F$17,$F$18,$F$19,$F$16,$C$14,$F$15,$F$14,$F$20,X$2,X$1,$C188)</f>
        <v/>
      </c>
      <c r="Y188" s="227" t="str">
        <f ca="1">_xll.DBRW(Server&amp;Cube1,$F$17,$F$18,$F$19,$F$16,$C$14,$F$15,$F$14,$F$20,Y$2,Y$1,$C188)</f>
        <v/>
      </c>
      <c r="Z188" s="241"/>
      <c r="AA188" s="241"/>
      <c r="AB188" s="241"/>
      <c r="AC188" s="241"/>
      <c r="AD188" s="241"/>
      <c r="AE188" s="241"/>
      <c r="AF188" s="221" t="str">
        <f ca="1">_xll.DBRW(Server&amp;Cube1,$F$17,$F$18,$F$19,$F$16,$C$14,$F$15,$F$14,$F$20,AF$2,$AF$1,$C188)</f>
        <v/>
      </c>
      <c r="AG188" s="53"/>
      <c r="AH188" s="53"/>
      <c r="AI188" s="53"/>
      <c r="AJ188" s="53"/>
      <c r="AK188" s="53"/>
      <c r="AL188" s="53"/>
      <c r="AM188" s="53"/>
      <c r="AN188" s="53"/>
      <c r="AO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1:53" s="9" customFormat="1" ht="24.75" customHeight="1" x14ac:dyDescent="0.35">
      <c r="A189" s="181" t="e">
        <f ca="1">IF($AT$35="YES",1,IF(_xll.ELCOMPN(Server&amp;$C$24,C189)&lt;&gt;0,1,IF(OR(B189=$AZ$35,B189="ALL"),1,0)))</f>
        <v>#VALUE!</v>
      </c>
      <c r="B189" s="163" t="str">
        <f t="shared" si="9"/>
        <v>RD</v>
      </c>
      <c r="C189" s="158" t="s">
        <v>288</v>
      </c>
      <c r="E189" s="268" t="str">
        <f ca="1">_xll.DBRA(Server&amp;$C$24,$C189,$F$21)</f>
        <v>Dépenses de formation (RD)</v>
      </c>
      <c r="F189" s="268"/>
      <c r="G189" s="268"/>
      <c r="H189" s="40"/>
      <c r="I189" s="221" t="str">
        <f ca="1">_xll.DBRW(Server&amp;Cube1,$F$17,$F$18,$F$19,$F$16,$C$14,$F$15,$F$14,$F$20,I$2,I$1,$C189)</f>
        <v/>
      </c>
      <c r="J189" s="221" t="str">
        <f ca="1">_xll.DBRW(Server&amp;Cube1,$F$17,$F$18,$F$19,$F$16,$C$14,$F$15,$F$14,$F$20,J$2,J$1,$C189)</f>
        <v/>
      </c>
      <c r="K189" s="221" t="e">
        <f ca="1">_xll.DBRW(Server&amp;Cube1,$F$17,$F$18,$F$19,$F$16,$C$14,$F$15,$F$14,$F$20,I$2,I$1,$C189) -_xll.DBRW(Server&amp;Cube1,$F$17,$F$18,$F$19,$F$16,$C$14,$F$15,$F$14,$F$20,K$2,I$1,$C189)</f>
        <v>#VALUE!</v>
      </c>
      <c r="L189" s="221" t="e">
        <f t="shared" ca="1" si="8"/>
        <v>#VALUE!</v>
      </c>
      <c r="M189" s="221" t="e">
        <f t="shared" ca="1" si="7"/>
        <v>#VALUE!</v>
      </c>
      <c r="N189" s="226"/>
      <c r="O189" s="221" t="str">
        <f ca="1">_xll.DBRW(Server&amp;Cube1,$F$17,$F$18,$F$19,$F$16,$C$14,$F$15,$F$14,$F$20,O$2,O$1,$C189)</f>
        <v/>
      </c>
      <c r="P189" s="226"/>
      <c r="Q189" s="240" t="str">
        <f ca="1">IF(_xll.ELCOMPN(Server&amp;$C$24,C189)=0,"YES","NO")</f>
        <v>YES</v>
      </c>
      <c r="R189" s="241">
        <v>0</v>
      </c>
      <c r="S189" s="226"/>
      <c r="T189" s="227" t="str">
        <f ca="1">_xll.DBRW(Server&amp;Cube1,$F$17,$F$18,$F$19,$F$16,$C$14,$F$15,$F$14,$F$20,T$2,$T$1,$C189)</f>
        <v/>
      </c>
      <c r="U189" s="227" t="str">
        <f ca="1">_xll.DBRW(Server&amp;Cube1,$F$17,$F$18,$F$19,$F$16,$C$14,$F$15,$F$14,$F$20,U$2,$U$1,$C189)</f>
        <v/>
      </c>
      <c r="V189" s="227" t="str">
        <f ca="1">_xll.DBRW(Server&amp;Cube1,$F$17,$F$18,$F$19,$F$16,$C$14,$F$15,$F$14,$F$20,V$2,V$1,$C189)</f>
        <v/>
      </c>
      <c r="W189" s="227" t="str">
        <f ca="1">_xll.DBRW(Server&amp;Cube1,$F$17,$F$18,$F$19,$F$16,$C$14,$F$15,$F$14,$F$20,W$2,W$1,$C189)</f>
        <v/>
      </c>
      <c r="X189" s="227" t="str">
        <f ca="1">_xll.DBRW(Server&amp;Cube1,$F$17,$F$18,$F$19,$F$16,$C$14,$F$15,$F$14,$F$20,X$2,X$1,$C189)</f>
        <v/>
      </c>
      <c r="Y189" s="227" t="str">
        <f ca="1">_xll.DBRW(Server&amp;Cube1,$F$17,$F$18,$F$19,$F$16,$C$14,$F$15,$F$14,$F$20,Y$2,Y$1,$C189)</f>
        <v/>
      </c>
      <c r="Z189" s="241"/>
      <c r="AA189" s="241"/>
      <c r="AB189" s="241"/>
      <c r="AC189" s="241"/>
      <c r="AD189" s="241"/>
      <c r="AE189" s="241"/>
      <c r="AF189" s="221" t="str">
        <f ca="1">_xll.DBRW(Server&amp;Cube1,$F$17,$F$18,$F$19,$F$16,$C$14,$F$15,$F$14,$F$20,AF$2,$AF$1,$C189)</f>
        <v/>
      </c>
      <c r="AG189" s="53"/>
      <c r="AH189" s="53"/>
      <c r="AI189" s="53"/>
      <c r="AJ189" s="53"/>
      <c r="AK189" s="53"/>
      <c r="AL189" s="53"/>
      <c r="AM189" s="53"/>
      <c r="AN189" s="53"/>
      <c r="AO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1:53" s="9" customFormat="1" ht="24.95" customHeight="1" collapsed="1" x14ac:dyDescent="0.35">
      <c r="A190" s="181">
        <f ca="1">IF($AT$35="YES",1,IF(_xll.ELCOMPN(Server&amp;$C$24,C190)&lt;&gt;0,1,IF(OR(B190=$AZ$35,B190="ALL"),1,0)))</f>
        <v>1</v>
      </c>
      <c r="B190" s="163" t="e">
        <f t="shared" si="9"/>
        <v>#VALUE!</v>
      </c>
      <c r="C190" s="117" t="s">
        <v>99</v>
      </c>
      <c r="E190" s="270" t="str">
        <f ca="1">_xll.DBRA(Server&amp;$C$24,$C190,$F$21)</f>
        <v>Assurances</v>
      </c>
      <c r="F190" s="270"/>
      <c r="G190" s="270"/>
      <c r="H190" s="40"/>
      <c r="I190" s="221" t="str">
        <f ca="1">_xll.DBRW(Server&amp;Cube1,$F$17,$F$18,$F$19,$F$16,$C$14,$F$15,$F$14,$F$20,I$2,I$1,$C190)</f>
        <v/>
      </c>
      <c r="J190" s="221" t="str">
        <f ca="1">_xll.DBRW(Server&amp;Cube1,$F$17,$F$18,$F$19,$F$16,$C$14,$F$15,$F$14,$F$20,J$2,J$1,$C190)</f>
        <v/>
      </c>
      <c r="K190" s="221" t="e">
        <f ca="1">_xll.DBRW(Server&amp;Cube1,$F$17,$F$18,$F$19,$F$16,$C$14,$F$15,$F$14,$F$20,I$2,I$1,$C190) -_xll.DBRW(Server&amp;Cube1,$F$17,$F$18,$F$19,$F$16,$C$14,$F$15,$F$14,$F$20,K$2,I$1,$C190)</f>
        <v>#VALUE!</v>
      </c>
      <c r="L190" s="221" t="e">
        <f t="shared" ca="1" si="8"/>
        <v>#VALUE!</v>
      </c>
      <c r="M190" s="221" t="e">
        <f t="shared" ca="1" si="7"/>
        <v>#VALUE!</v>
      </c>
      <c r="N190" s="229"/>
      <c r="O190" s="229" t="str">
        <f ca="1">_xll.DBRW(Server&amp;Cube1,$F$17,$F$18,$F$19,$F$16,$C$14,$F$15,$F$14,$F$20,O$2,O$1,$C190)</f>
        <v/>
      </c>
      <c r="P190" s="229"/>
      <c r="Q190" s="240" t="str">
        <f ca="1">IF(_xll.ELCOMPN(Server&amp;$C$24,C190)=0,"YES","NO")</f>
        <v>NO</v>
      </c>
      <c r="R190" s="229"/>
      <c r="S190" s="229"/>
      <c r="T190" s="230" t="str">
        <f ca="1">_xll.DBRW(Server&amp;Cube1,$F$17,$F$18,$F$19,$F$16,$C$14,$F$15,$F$14,$F$20,T$2,$T$1,$C190)</f>
        <v/>
      </c>
      <c r="U190" s="230" t="str">
        <f ca="1">_xll.DBRW(Server&amp;Cube1,$F$17,$F$18,$F$19,$F$16,$C$14,$F$15,$F$14,$F$20,U$2,$U$1,$C190)</f>
        <v/>
      </c>
      <c r="V190" s="230" t="str">
        <f ca="1">_xll.DBRW(Server&amp;Cube1,$F$17,$F$18,$F$19,$F$16,$C$14,$F$15,$F$14,$F$20,V$2,V$1,$C190)</f>
        <v/>
      </c>
      <c r="W190" s="230" t="str">
        <f ca="1">_xll.DBRW(Server&amp;Cube1,$F$17,$F$18,$F$19,$F$16,$C$14,$F$15,$F$14,$F$20,W$2,W$1,$C190)</f>
        <v/>
      </c>
      <c r="X190" s="229" t="str">
        <f ca="1">_xll.DBRW(Server&amp;Cube1,$F$17,$F$18,$F$19,$F$16,$C$14,$F$15,$F$14,$F$20,X$2,X$1,$C190)</f>
        <v/>
      </c>
      <c r="Y190" s="229" t="str">
        <f ca="1">_xll.DBRW(Server&amp;Cube1,$F$17,$F$18,$F$19,$F$16,$C$14,$F$15,$F$14,$F$20,Y$2,Y$1,$C190)</f>
        <v/>
      </c>
      <c r="Z190" s="229" t="str">
        <f ca="1">_xll.DBRW(Server&amp;Cube1,$F$17,$F$18,$F$19,$F$16,$C$14,$F$15,$F$14,$F$20,Z$2,Z$1,$C190)</f>
        <v/>
      </c>
      <c r="AA190" s="229" t="str">
        <f ca="1">_xll.DBRW(Server&amp;Cube1,$F$17,$F$18,$F$19,$F$16,$C$14,$F$15,$F$14,$F$20,AA$2,AA$1,$C190)</f>
        <v/>
      </c>
      <c r="AB190" s="229" t="str">
        <f ca="1">_xll.DBRW(Server&amp;Cube1,$F$17,$F$18,$F$19,$F$16,$C$14,$F$15,$F$14,$F$20,AB$2,AB$1,$C190)</f>
        <v/>
      </c>
      <c r="AC190" s="229" t="str">
        <f ca="1">_xll.DBRW(Server&amp;Cube1,$F$17,$F$18,$F$19,$F$16,$C$14,$F$15,$F$14,$F$20,AC$2,AC$1,$C190)</f>
        <v/>
      </c>
      <c r="AD190" s="229" t="str">
        <f ca="1">_xll.DBRW(Server&amp;Cube1,$F$17,$F$18,$F$19,$F$16,$C$14,$F$15,$F$14,$F$20,AD$2,AD$1,$C190)</f>
        <v/>
      </c>
      <c r="AE190" s="229" t="str">
        <f ca="1">_xll.DBRW(Server&amp;Cube1,$F$17,$F$18,$F$19,$F$16,$C$14,$F$15,$F$14,$F$20,AE$2,AE$1,$C190)</f>
        <v/>
      </c>
      <c r="AF190" s="229" t="str">
        <f ca="1">_xll.DBRW(Server&amp;Cube1,$F$17,$F$18,$F$19,$F$16,$C$14,$F$15,$F$14,$F$20,AF$2,$AF$1,$C190)</f>
        <v/>
      </c>
      <c r="AG190" s="53"/>
      <c r="AH190" s="53"/>
      <c r="AI190" s="53"/>
      <c r="AJ190" s="53"/>
      <c r="AK190" s="53"/>
      <c r="AL190" s="53"/>
      <c r="AM190" s="53"/>
      <c r="AN190" s="53"/>
      <c r="AO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1:53" s="9" customFormat="1" ht="24.95" customHeight="1" x14ac:dyDescent="0.35">
      <c r="A191" s="181" t="e">
        <f ca="1">IF($AT$35="YES",1,IF(_xll.ELCOMPN(Server&amp;$C$24,C191)&lt;&gt;0,1,IF(OR(B191=$AZ$35,B191="ALL"),1,0)))</f>
        <v>#VALUE!</v>
      </c>
      <c r="B191" s="163" t="str">
        <f t="shared" si="9"/>
        <v>DS</v>
      </c>
      <c r="C191" s="158" t="s">
        <v>289</v>
      </c>
      <c r="E191" s="268" t="str">
        <f ca="1">_xll.DBRA(Server&amp;$C$24,$C191,$F$21)</f>
        <v>Assurances (SO)</v>
      </c>
      <c r="F191" s="268"/>
      <c r="G191" s="268"/>
      <c r="H191" s="40"/>
      <c r="I191" s="221" t="str">
        <f ca="1">_xll.DBRW(Server&amp;Cube1,$F$17,$F$18,$F$19,$F$16,$C$14,$F$15,$F$14,$F$20,I$2,I$1,$C191)</f>
        <v/>
      </c>
      <c r="J191" s="221" t="str">
        <f ca="1">_xll.DBRW(Server&amp;Cube1,$F$17,$F$18,$F$19,$F$16,$C$14,$F$15,$F$14,$F$20,J$2,J$1,$C191)</f>
        <v/>
      </c>
      <c r="K191" s="221" t="e">
        <f ca="1">_xll.DBRW(Server&amp;Cube1,$F$17,$F$18,$F$19,$F$16,$C$14,$F$15,$F$14,$F$20,I$2,I$1,$C191) -_xll.DBRW(Server&amp;Cube1,$F$17,$F$18,$F$19,$F$16,$C$14,$F$15,$F$14,$F$20,K$2,I$1,$C191)</f>
        <v>#VALUE!</v>
      </c>
      <c r="L191" s="221" t="e">
        <f t="shared" ca="1" si="8"/>
        <v>#VALUE!</v>
      </c>
      <c r="M191" s="221" t="e">
        <f t="shared" ca="1" si="7"/>
        <v>#VALUE!</v>
      </c>
      <c r="N191" s="226"/>
      <c r="O191" s="221" t="str">
        <f ca="1">_xll.DBRW(Server&amp;Cube1,$F$17,$F$18,$F$19,$F$16,$C$14,$F$15,$F$14,$F$20,O$2,O$1,$C191)</f>
        <v/>
      </c>
      <c r="P191" s="226"/>
      <c r="Q191" s="240" t="str">
        <f ca="1">IF(_xll.ELCOMPN(Server&amp;$C$24,C191)=0,"YES","NO")</f>
        <v>YES</v>
      </c>
      <c r="R191" s="241">
        <v>0</v>
      </c>
      <c r="S191" s="226"/>
      <c r="T191" s="227" t="str">
        <f ca="1">_xll.DBRW(Server&amp;Cube1,$F$17,$F$18,$F$19,$F$16,$C$14,$F$15,$F$14,$F$20,T$2,$T$1,$C191)</f>
        <v/>
      </c>
      <c r="U191" s="227" t="str">
        <f ca="1">_xll.DBRW(Server&amp;Cube1,$F$17,$F$18,$F$19,$F$16,$C$14,$F$15,$F$14,$F$20,U$2,$U$1,$C191)</f>
        <v/>
      </c>
      <c r="V191" s="227" t="str">
        <f ca="1">_xll.DBRW(Server&amp;Cube1,$F$17,$F$18,$F$19,$F$16,$C$14,$F$15,$F$14,$F$20,V$2,V$1,$C191)</f>
        <v/>
      </c>
      <c r="W191" s="227" t="str">
        <f ca="1">_xll.DBRW(Server&amp;Cube1,$F$17,$F$18,$F$19,$F$16,$C$14,$F$15,$F$14,$F$20,W$2,W$1,$C191)</f>
        <v/>
      </c>
      <c r="X191" s="227" t="str">
        <f ca="1">_xll.DBRW(Server&amp;Cube1,$F$17,$F$18,$F$19,$F$16,$C$14,$F$15,$F$14,$F$20,X$2,X$1,$C191)</f>
        <v/>
      </c>
      <c r="Y191" s="227" t="str">
        <f ca="1">_xll.DBRW(Server&amp;Cube1,$F$17,$F$18,$F$19,$F$16,$C$14,$F$15,$F$14,$F$20,Y$2,Y$1,$C191)</f>
        <v/>
      </c>
      <c r="Z191" s="241"/>
      <c r="AA191" s="241"/>
      <c r="AB191" s="241"/>
      <c r="AC191" s="241"/>
      <c r="AD191" s="241"/>
      <c r="AE191" s="241"/>
      <c r="AF191" s="221" t="str">
        <f ca="1">_xll.DBRW(Server&amp;Cube1,$F$17,$F$18,$F$19,$F$16,$C$14,$F$15,$F$14,$F$20,AF$2,$AF$1,$C191)</f>
        <v/>
      </c>
      <c r="AG191" s="53"/>
      <c r="AH191" s="53"/>
      <c r="AI191" s="53"/>
      <c r="AJ191" s="53"/>
      <c r="AK191" s="53"/>
      <c r="AL191" s="53"/>
      <c r="AM191" s="53"/>
      <c r="AN191" s="53"/>
      <c r="AO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1:53" s="9" customFormat="1" ht="24.95" customHeight="1" x14ac:dyDescent="0.35">
      <c r="A192" s="181" t="e">
        <f ca="1">IF($AT$35="YES",1,IF(_xll.ELCOMPN(Server&amp;$C$24,C192)&lt;&gt;0,1,IF(OR(B192=$AZ$35,B192="ALL"),1,0)))</f>
        <v>#VALUE!</v>
      </c>
      <c r="B192" s="163" t="str">
        <f t="shared" si="9"/>
        <v>BD</v>
      </c>
      <c r="C192" s="158" t="s">
        <v>290</v>
      </c>
      <c r="E192" s="268" t="str">
        <f ca="1">_xll.DBRA(Server&amp;$C$24,$C192,$F$21)</f>
        <v>Assurances (DC)</v>
      </c>
      <c r="F192" s="268"/>
      <c r="G192" s="268"/>
      <c r="H192" s="40"/>
      <c r="I192" s="221" t="str">
        <f ca="1">_xll.DBRW(Server&amp;Cube1,$F$17,$F$18,$F$19,$F$16,$C$14,$F$15,$F$14,$F$20,I$2,I$1,$C192)</f>
        <v/>
      </c>
      <c r="J192" s="221" t="str">
        <f ca="1">_xll.DBRW(Server&amp;Cube1,$F$17,$F$18,$F$19,$F$16,$C$14,$F$15,$F$14,$F$20,J$2,J$1,$C192)</f>
        <v/>
      </c>
      <c r="K192" s="221" t="e">
        <f ca="1">_xll.DBRW(Server&amp;Cube1,$F$17,$F$18,$F$19,$F$16,$C$14,$F$15,$F$14,$F$20,I$2,I$1,$C192) -_xll.DBRW(Server&amp;Cube1,$F$17,$F$18,$F$19,$F$16,$C$14,$F$15,$F$14,$F$20,K$2,I$1,$C192)</f>
        <v>#VALUE!</v>
      </c>
      <c r="L192" s="221" t="e">
        <f t="shared" ca="1" si="8"/>
        <v>#VALUE!</v>
      </c>
      <c r="M192" s="221" t="e">
        <f t="shared" ca="1" si="7"/>
        <v>#VALUE!</v>
      </c>
      <c r="N192" s="226"/>
      <c r="O192" s="221" t="str">
        <f ca="1">_xll.DBRW(Server&amp;Cube1,$F$17,$F$18,$F$19,$F$16,$C$14,$F$15,$F$14,$F$20,O$2,O$1,$C192)</f>
        <v/>
      </c>
      <c r="P192" s="226"/>
      <c r="Q192" s="240" t="str">
        <f ca="1">IF(_xll.ELCOMPN(Server&amp;$C$24,C192)=0,"YES","NO")</f>
        <v>YES</v>
      </c>
      <c r="R192" s="241">
        <v>0</v>
      </c>
      <c r="S192" s="226"/>
      <c r="T192" s="227" t="str">
        <f ca="1">_xll.DBRW(Server&amp;Cube1,$F$17,$F$18,$F$19,$F$16,$C$14,$F$15,$F$14,$F$20,T$2,$T$1,$C192)</f>
        <v/>
      </c>
      <c r="U192" s="227" t="str">
        <f ca="1">_xll.DBRW(Server&amp;Cube1,$F$17,$F$18,$F$19,$F$16,$C$14,$F$15,$F$14,$F$20,U$2,$U$1,$C192)</f>
        <v/>
      </c>
      <c r="V192" s="227" t="str">
        <f ca="1">_xll.DBRW(Server&amp;Cube1,$F$17,$F$18,$F$19,$F$16,$C$14,$F$15,$F$14,$F$20,V$2,V$1,$C192)</f>
        <v/>
      </c>
      <c r="W192" s="227" t="str">
        <f ca="1">_xll.DBRW(Server&amp;Cube1,$F$17,$F$18,$F$19,$F$16,$C$14,$F$15,$F$14,$F$20,W$2,W$1,$C192)</f>
        <v/>
      </c>
      <c r="X192" s="227" t="str">
        <f ca="1">_xll.DBRW(Server&amp;Cube1,$F$17,$F$18,$F$19,$F$16,$C$14,$F$15,$F$14,$F$20,X$2,X$1,$C192)</f>
        <v/>
      </c>
      <c r="Y192" s="227" t="str">
        <f ca="1">_xll.DBRW(Server&amp;Cube1,$F$17,$F$18,$F$19,$F$16,$C$14,$F$15,$F$14,$F$20,Y$2,Y$1,$C192)</f>
        <v/>
      </c>
      <c r="Z192" s="241"/>
      <c r="AA192" s="241"/>
      <c r="AB192" s="241"/>
      <c r="AC192" s="241"/>
      <c r="AD192" s="241"/>
      <c r="AE192" s="241"/>
      <c r="AF192" s="221" t="str">
        <f ca="1">_xll.DBRW(Server&amp;Cube1,$F$17,$F$18,$F$19,$F$16,$C$14,$F$15,$F$14,$F$20,AF$2,$AF$1,$C192)</f>
        <v/>
      </c>
      <c r="AG192" s="53"/>
      <c r="AH192" s="53"/>
      <c r="AI192" s="53"/>
      <c r="AJ192" s="53"/>
      <c r="AK192" s="53"/>
      <c r="AL192" s="53"/>
      <c r="AM192" s="53"/>
      <c r="AN192" s="53"/>
      <c r="AO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1:53" s="9" customFormat="1" ht="24.95" customHeight="1" x14ac:dyDescent="0.35">
      <c r="A193" s="181" t="e">
        <f ca="1">IF($AT$35="YES",1,IF(_xll.ELCOMPN(Server&amp;$C$24,C193)&lt;&gt;0,1,IF(OR(B193=$AZ$35,B193="ALL"),1,0)))</f>
        <v>#VALUE!</v>
      </c>
      <c r="B193" s="163" t="str">
        <f t="shared" si="9"/>
        <v>FI</v>
      </c>
      <c r="C193" s="158" t="s">
        <v>291</v>
      </c>
      <c r="E193" s="268" t="str">
        <f ca="1">_xll.DBRA(Server&amp;$C$24,$C193,$F$21)</f>
        <v>Assurances (DF)</v>
      </c>
      <c r="F193" s="268"/>
      <c r="G193" s="268"/>
      <c r="H193" s="40"/>
      <c r="I193" s="221" t="str">
        <f ca="1">_xll.DBRW(Server&amp;Cube1,$F$17,$F$18,$F$19,$F$16,$C$14,$F$15,$F$14,$F$20,I$2,I$1,$C193)</f>
        <v/>
      </c>
      <c r="J193" s="221" t="str">
        <f ca="1">_xll.DBRW(Server&amp;Cube1,$F$17,$F$18,$F$19,$F$16,$C$14,$F$15,$F$14,$F$20,J$2,J$1,$C193)</f>
        <v/>
      </c>
      <c r="K193" s="221" t="e">
        <f ca="1">_xll.DBRW(Server&amp;Cube1,$F$17,$F$18,$F$19,$F$16,$C$14,$F$15,$F$14,$F$20,I$2,I$1,$C193) -_xll.DBRW(Server&amp;Cube1,$F$17,$F$18,$F$19,$F$16,$C$14,$F$15,$F$14,$F$20,K$2,I$1,$C193)</f>
        <v>#VALUE!</v>
      </c>
      <c r="L193" s="221" t="e">
        <f t="shared" ca="1" si="8"/>
        <v>#VALUE!</v>
      </c>
      <c r="M193" s="221" t="e">
        <f t="shared" ca="1" si="7"/>
        <v>#VALUE!</v>
      </c>
      <c r="N193" s="226"/>
      <c r="O193" s="221" t="str">
        <f ca="1">_xll.DBRW(Server&amp;Cube1,$F$17,$F$18,$F$19,$F$16,$C$14,$F$15,$F$14,$F$20,O$2,O$1,$C193)</f>
        <v/>
      </c>
      <c r="P193" s="226"/>
      <c r="Q193" s="240" t="str">
        <f ca="1">IF(_xll.ELCOMPN(Server&amp;$C$24,C193)=0,"YES","NO")</f>
        <v>YES</v>
      </c>
      <c r="R193" s="241">
        <v>0</v>
      </c>
      <c r="S193" s="226"/>
      <c r="T193" s="227" t="str">
        <f ca="1">_xll.DBRW(Server&amp;Cube1,$F$17,$F$18,$F$19,$F$16,$C$14,$F$15,$F$14,$F$20,T$2,$T$1,$C193)</f>
        <v/>
      </c>
      <c r="U193" s="227" t="str">
        <f ca="1">_xll.DBRW(Server&amp;Cube1,$F$17,$F$18,$F$19,$F$16,$C$14,$F$15,$F$14,$F$20,U$2,$U$1,$C193)</f>
        <v/>
      </c>
      <c r="V193" s="227" t="str">
        <f ca="1">_xll.DBRW(Server&amp;Cube1,$F$17,$F$18,$F$19,$F$16,$C$14,$F$15,$F$14,$F$20,V$2,V$1,$C193)</f>
        <v/>
      </c>
      <c r="W193" s="227" t="str">
        <f ca="1">_xll.DBRW(Server&amp;Cube1,$F$17,$F$18,$F$19,$F$16,$C$14,$F$15,$F$14,$F$20,W$2,W$1,$C193)</f>
        <v/>
      </c>
      <c r="X193" s="227" t="str">
        <f ca="1">_xll.DBRW(Server&amp;Cube1,$F$17,$F$18,$F$19,$F$16,$C$14,$F$15,$F$14,$F$20,X$2,X$1,$C193)</f>
        <v/>
      </c>
      <c r="Y193" s="227" t="str">
        <f ca="1">_xll.DBRW(Server&amp;Cube1,$F$17,$F$18,$F$19,$F$16,$C$14,$F$15,$F$14,$F$20,Y$2,Y$1,$C193)</f>
        <v/>
      </c>
      <c r="Z193" s="241"/>
      <c r="AA193" s="241"/>
      <c r="AB193" s="241"/>
      <c r="AC193" s="241"/>
      <c r="AD193" s="241"/>
      <c r="AE193" s="241"/>
      <c r="AF193" s="221" t="str">
        <f ca="1">_xll.DBRW(Server&amp;Cube1,$F$17,$F$18,$F$19,$F$16,$C$14,$F$15,$F$14,$F$20,AF$2,$AF$1,$C193)</f>
        <v/>
      </c>
      <c r="AG193" s="53"/>
      <c r="AH193" s="53"/>
      <c r="AI193" s="53"/>
      <c r="AJ193" s="53"/>
      <c r="AK193" s="53"/>
      <c r="AL193" s="53"/>
      <c r="AM193" s="53"/>
      <c r="AN193" s="53"/>
      <c r="AO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1:53" s="9" customFormat="1" ht="24.95" customHeight="1" x14ac:dyDescent="0.35">
      <c r="A194" s="181" t="e">
        <f ca="1">IF($AT$35="YES",1,IF(_xll.ELCOMPN(Server&amp;$C$24,C194)&lt;&gt;0,1,IF(OR(B194=$AZ$35,B194="ALL"),1,0)))</f>
        <v>#VALUE!</v>
      </c>
      <c r="B194" s="163" t="str">
        <f t="shared" si="9"/>
        <v>IT</v>
      </c>
      <c r="C194" s="158" t="s">
        <v>292</v>
      </c>
      <c r="E194" s="268" t="str">
        <f ca="1">_xll.DBRA(Server&amp;$C$24,$C194,$F$21)</f>
        <v>Assurances (IT)</v>
      </c>
      <c r="F194" s="268"/>
      <c r="G194" s="268"/>
      <c r="H194" s="40"/>
      <c r="I194" s="221" t="str">
        <f ca="1">_xll.DBRW(Server&amp;Cube1,$F$17,$F$18,$F$19,$F$16,$C$14,$F$15,$F$14,$F$20,I$2,I$1,$C194)</f>
        <v/>
      </c>
      <c r="J194" s="221" t="str">
        <f ca="1">_xll.DBRW(Server&amp;Cube1,$F$17,$F$18,$F$19,$F$16,$C$14,$F$15,$F$14,$F$20,J$2,J$1,$C194)</f>
        <v/>
      </c>
      <c r="K194" s="221" t="e">
        <f ca="1">_xll.DBRW(Server&amp;Cube1,$F$17,$F$18,$F$19,$F$16,$C$14,$F$15,$F$14,$F$20,I$2,I$1,$C194) -_xll.DBRW(Server&amp;Cube1,$F$17,$F$18,$F$19,$F$16,$C$14,$F$15,$F$14,$F$20,K$2,I$1,$C194)</f>
        <v>#VALUE!</v>
      </c>
      <c r="L194" s="221" t="e">
        <f t="shared" ca="1" si="8"/>
        <v>#VALUE!</v>
      </c>
      <c r="M194" s="221" t="e">
        <f t="shared" ca="1" si="7"/>
        <v>#VALUE!</v>
      </c>
      <c r="N194" s="226"/>
      <c r="O194" s="221" t="str">
        <f ca="1">_xll.DBRW(Server&amp;Cube1,$F$17,$F$18,$F$19,$F$16,$C$14,$F$15,$F$14,$F$20,O$2,O$1,$C194)</f>
        <v/>
      </c>
      <c r="P194" s="226"/>
      <c r="Q194" s="240" t="str">
        <f ca="1">IF(_xll.ELCOMPN(Server&amp;$C$24,C194)=0,"YES","NO")</f>
        <v>YES</v>
      </c>
      <c r="R194" s="241">
        <v>0</v>
      </c>
      <c r="S194" s="226"/>
      <c r="T194" s="227" t="str">
        <f ca="1">_xll.DBRW(Server&amp;Cube1,$F$17,$F$18,$F$19,$F$16,$C$14,$F$15,$F$14,$F$20,T$2,$T$1,$C194)</f>
        <v/>
      </c>
      <c r="U194" s="227" t="str">
        <f ca="1">_xll.DBRW(Server&amp;Cube1,$F$17,$F$18,$F$19,$F$16,$C$14,$F$15,$F$14,$F$20,U$2,$U$1,$C194)</f>
        <v/>
      </c>
      <c r="V194" s="227" t="str">
        <f ca="1">_xll.DBRW(Server&amp;Cube1,$F$17,$F$18,$F$19,$F$16,$C$14,$F$15,$F$14,$F$20,V$2,V$1,$C194)</f>
        <v/>
      </c>
      <c r="W194" s="227" t="str">
        <f ca="1">_xll.DBRW(Server&amp;Cube1,$F$17,$F$18,$F$19,$F$16,$C$14,$F$15,$F$14,$F$20,W$2,W$1,$C194)</f>
        <v/>
      </c>
      <c r="X194" s="227" t="str">
        <f ca="1">_xll.DBRW(Server&amp;Cube1,$F$17,$F$18,$F$19,$F$16,$C$14,$F$15,$F$14,$F$20,X$2,X$1,$C194)</f>
        <v/>
      </c>
      <c r="Y194" s="227" t="str">
        <f ca="1">_xll.DBRW(Server&amp;Cube1,$F$17,$F$18,$F$19,$F$16,$C$14,$F$15,$F$14,$F$20,Y$2,Y$1,$C194)</f>
        <v/>
      </c>
      <c r="Z194" s="241"/>
      <c r="AA194" s="241"/>
      <c r="AB194" s="241"/>
      <c r="AC194" s="241"/>
      <c r="AD194" s="241"/>
      <c r="AE194" s="241"/>
      <c r="AF194" s="221" t="str">
        <f ca="1">_xll.DBRW(Server&amp;Cube1,$F$17,$F$18,$F$19,$F$16,$C$14,$F$15,$F$14,$F$20,AF$2,$AF$1,$C194)</f>
        <v/>
      </c>
      <c r="AG194" s="53"/>
      <c r="AH194" s="53"/>
      <c r="AI194" s="53"/>
      <c r="AJ194" s="53"/>
      <c r="AK194" s="53"/>
      <c r="AL194" s="53"/>
      <c r="AM194" s="53"/>
      <c r="AN194" s="53"/>
      <c r="AO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1:53" s="9" customFormat="1" ht="24.95" customHeight="1" x14ac:dyDescent="0.35">
      <c r="A195" s="181" t="e">
        <f ca="1">IF($AT$35="YES",1,IF(_xll.ELCOMPN(Server&amp;$C$24,C195)&lt;&gt;0,1,IF(OR(B195=$AZ$35,B195="ALL"),1,0)))</f>
        <v>#VALUE!</v>
      </c>
      <c r="B195" s="163" t="str">
        <f t="shared" si="9"/>
        <v>HR</v>
      </c>
      <c r="C195" s="158" t="s">
        <v>293</v>
      </c>
      <c r="E195" s="268" t="str">
        <f ca="1">_xll.DBRA(Server&amp;$C$24,$C195,$F$21)</f>
        <v>Assurances (RH)</v>
      </c>
      <c r="F195" s="268"/>
      <c r="G195" s="268"/>
      <c r="H195" s="40"/>
      <c r="I195" s="221" t="str">
        <f ca="1">_xll.DBRW(Server&amp;Cube1,$F$17,$F$18,$F$19,$F$16,$C$14,$F$15,$F$14,$F$20,I$2,I$1,$C195)</f>
        <v/>
      </c>
      <c r="J195" s="221" t="str">
        <f ca="1">_xll.DBRW(Server&amp;Cube1,$F$17,$F$18,$F$19,$F$16,$C$14,$F$15,$F$14,$F$20,J$2,J$1,$C195)</f>
        <v/>
      </c>
      <c r="K195" s="221" t="e">
        <f ca="1">_xll.DBRW(Server&amp;Cube1,$F$17,$F$18,$F$19,$F$16,$C$14,$F$15,$F$14,$F$20,I$2,I$1,$C195) -_xll.DBRW(Server&amp;Cube1,$F$17,$F$18,$F$19,$F$16,$C$14,$F$15,$F$14,$F$20,K$2,I$1,$C195)</f>
        <v>#VALUE!</v>
      </c>
      <c r="L195" s="221" t="e">
        <f t="shared" ca="1" si="8"/>
        <v>#VALUE!</v>
      </c>
      <c r="M195" s="221" t="e">
        <f t="shared" ca="1" si="7"/>
        <v>#VALUE!</v>
      </c>
      <c r="N195" s="226"/>
      <c r="O195" s="221" t="str">
        <f ca="1">_xll.DBRW(Server&amp;Cube1,$F$17,$F$18,$F$19,$F$16,$C$14,$F$15,$F$14,$F$20,O$2,O$1,$C195)</f>
        <v/>
      </c>
      <c r="P195" s="226"/>
      <c r="Q195" s="240" t="str">
        <f ca="1">IF(_xll.ELCOMPN(Server&amp;$C$24,C195)=0,"YES","NO")</f>
        <v>YES</v>
      </c>
      <c r="R195" s="241">
        <v>0</v>
      </c>
      <c r="S195" s="226"/>
      <c r="T195" s="227" t="str">
        <f ca="1">_xll.DBRW(Server&amp;Cube1,$F$17,$F$18,$F$19,$F$16,$C$14,$F$15,$F$14,$F$20,T$2,$T$1,$C195)</f>
        <v/>
      </c>
      <c r="U195" s="227" t="str">
        <f ca="1">_xll.DBRW(Server&amp;Cube1,$F$17,$F$18,$F$19,$F$16,$C$14,$F$15,$F$14,$F$20,U$2,$U$1,$C195)</f>
        <v/>
      </c>
      <c r="V195" s="227" t="str">
        <f ca="1">_xll.DBRW(Server&amp;Cube1,$F$17,$F$18,$F$19,$F$16,$C$14,$F$15,$F$14,$F$20,V$2,V$1,$C195)</f>
        <v/>
      </c>
      <c r="W195" s="227" t="str">
        <f ca="1">_xll.DBRW(Server&amp;Cube1,$F$17,$F$18,$F$19,$F$16,$C$14,$F$15,$F$14,$F$20,W$2,W$1,$C195)</f>
        <v/>
      </c>
      <c r="X195" s="227" t="str">
        <f ca="1">_xll.DBRW(Server&amp;Cube1,$F$17,$F$18,$F$19,$F$16,$C$14,$F$15,$F$14,$F$20,X$2,X$1,$C195)</f>
        <v/>
      </c>
      <c r="Y195" s="227" t="str">
        <f ca="1">_xll.DBRW(Server&amp;Cube1,$F$17,$F$18,$F$19,$F$16,$C$14,$F$15,$F$14,$F$20,Y$2,Y$1,$C195)</f>
        <v/>
      </c>
      <c r="Z195" s="241"/>
      <c r="AA195" s="241"/>
      <c r="AB195" s="241"/>
      <c r="AC195" s="241"/>
      <c r="AD195" s="241"/>
      <c r="AE195" s="241"/>
      <c r="AF195" s="221" t="str">
        <f ca="1">_xll.DBRW(Server&amp;Cube1,$F$17,$F$18,$F$19,$F$16,$C$14,$F$15,$F$14,$F$20,AF$2,$AF$1,$C195)</f>
        <v/>
      </c>
      <c r="AG195" s="53"/>
      <c r="AH195" s="53"/>
      <c r="AI195" s="53"/>
      <c r="AJ195" s="53"/>
      <c r="AK195" s="53"/>
      <c r="AL195" s="53"/>
      <c r="AM195" s="53"/>
      <c r="AN195" s="53"/>
      <c r="AO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1:53" s="9" customFormat="1" ht="24.95" customHeight="1" x14ac:dyDescent="0.35">
      <c r="A196" s="181" t="e">
        <f ca="1">IF($AT$35="YES",1,IF(_xll.ELCOMPN(Server&amp;$C$24,C196)&lt;&gt;0,1,IF(OR(B196=$AZ$35,B196="ALL"),1,0)))</f>
        <v>#VALUE!</v>
      </c>
      <c r="B196" s="163" t="str">
        <f t="shared" si="9"/>
        <v>GM</v>
      </c>
      <c r="C196" s="158" t="s">
        <v>294</v>
      </c>
      <c r="E196" s="268" t="str">
        <f ca="1">_xll.DBRA(Server&amp;$C$24,$C196,$F$21)</f>
        <v>Assurances (DG)</v>
      </c>
      <c r="F196" s="268"/>
      <c r="G196" s="268"/>
      <c r="H196" s="40"/>
      <c r="I196" s="221" t="str">
        <f ca="1">_xll.DBRW(Server&amp;Cube1,$F$17,$F$18,$F$19,$F$16,$C$14,$F$15,$F$14,$F$20,I$2,I$1,$C196)</f>
        <v/>
      </c>
      <c r="J196" s="221" t="str">
        <f ca="1">_xll.DBRW(Server&amp;Cube1,$F$17,$F$18,$F$19,$F$16,$C$14,$F$15,$F$14,$F$20,J$2,J$1,$C196)</f>
        <v/>
      </c>
      <c r="K196" s="221" t="e">
        <f ca="1">_xll.DBRW(Server&amp;Cube1,$F$17,$F$18,$F$19,$F$16,$C$14,$F$15,$F$14,$F$20,I$2,I$1,$C196) -_xll.DBRW(Server&amp;Cube1,$F$17,$F$18,$F$19,$F$16,$C$14,$F$15,$F$14,$F$20,K$2,I$1,$C196)</f>
        <v>#VALUE!</v>
      </c>
      <c r="L196" s="221" t="e">
        <f t="shared" ca="1" si="8"/>
        <v>#VALUE!</v>
      </c>
      <c r="M196" s="221" t="e">
        <f t="shared" ca="1" si="7"/>
        <v>#VALUE!</v>
      </c>
      <c r="N196" s="226"/>
      <c r="O196" s="221" t="str">
        <f ca="1">_xll.DBRW(Server&amp;Cube1,$F$17,$F$18,$F$19,$F$16,$C$14,$F$15,$F$14,$F$20,O$2,O$1,$C196)</f>
        <v/>
      </c>
      <c r="P196" s="226"/>
      <c r="Q196" s="240" t="str">
        <f ca="1">IF(_xll.ELCOMPN(Server&amp;$C$24,C196)=0,"YES","NO")</f>
        <v>YES</v>
      </c>
      <c r="R196" s="241">
        <v>0</v>
      </c>
      <c r="S196" s="226"/>
      <c r="T196" s="227" t="str">
        <f ca="1">_xll.DBRW(Server&amp;Cube1,$F$17,$F$18,$F$19,$F$16,$C$14,$F$15,$F$14,$F$20,T$2,$T$1,$C196)</f>
        <v/>
      </c>
      <c r="U196" s="227" t="str">
        <f ca="1">_xll.DBRW(Server&amp;Cube1,$F$17,$F$18,$F$19,$F$16,$C$14,$F$15,$F$14,$F$20,U$2,$U$1,$C196)</f>
        <v/>
      </c>
      <c r="V196" s="227" t="str">
        <f ca="1">_xll.DBRW(Server&amp;Cube1,$F$17,$F$18,$F$19,$F$16,$C$14,$F$15,$F$14,$F$20,V$2,V$1,$C196)</f>
        <v/>
      </c>
      <c r="W196" s="227" t="str">
        <f ca="1">_xll.DBRW(Server&amp;Cube1,$F$17,$F$18,$F$19,$F$16,$C$14,$F$15,$F$14,$F$20,W$2,W$1,$C196)</f>
        <v/>
      </c>
      <c r="X196" s="227" t="str">
        <f ca="1">_xll.DBRW(Server&amp;Cube1,$F$17,$F$18,$F$19,$F$16,$C$14,$F$15,$F$14,$F$20,X$2,X$1,$C196)</f>
        <v/>
      </c>
      <c r="Y196" s="227" t="str">
        <f ca="1">_xll.DBRW(Server&amp;Cube1,$F$17,$F$18,$F$19,$F$16,$C$14,$F$15,$F$14,$F$20,Y$2,Y$1,$C196)</f>
        <v/>
      </c>
      <c r="Z196" s="241"/>
      <c r="AA196" s="241"/>
      <c r="AB196" s="241"/>
      <c r="AC196" s="241"/>
      <c r="AD196" s="241"/>
      <c r="AE196" s="241"/>
      <c r="AF196" s="221" t="str">
        <f ca="1">_xll.DBRW(Server&amp;Cube1,$F$17,$F$18,$F$19,$F$16,$C$14,$F$15,$F$14,$F$20,AF$2,$AF$1,$C196)</f>
        <v/>
      </c>
      <c r="AG196" s="53"/>
      <c r="AH196" s="53"/>
      <c r="AI196" s="53"/>
      <c r="AJ196" s="53"/>
      <c r="AK196" s="53"/>
      <c r="AL196" s="53"/>
      <c r="AM196" s="53"/>
      <c r="AN196" s="53"/>
      <c r="AO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1:53" s="9" customFormat="1" ht="24.95" customHeight="1" x14ac:dyDescent="0.35">
      <c r="A197" s="181" t="e">
        <f ca="1">IF($AT$35="YES",1,IF(_xll.ELCOMPN(Server&amp;$C$24,C197)&lt;&gt;0,1,IF(OR(B197=$AZ$35,B197="ALL"),1,0)))</f>
        <v>#VALUE!</v>
      </c>
      <c r="B197" s="163" t="str">
        <f t="shared" si="9"/>
        <v>IA</v>
      </c>
      <c r="C197" s="158" t="s">
        <v>295</v>
      </c>
      <c r="E197" s="268" t="str">
        <f ca="1">_xll.DBRA(Server&amp;$C$24,$C197,$F$21)</f>
        <v>Assurances (AI)</v>
      </c>
      <c r="F197" s="268"/>
      <c r="G197" s="268"/>
      <c r="H197" s="40"/>
      <c r="I197" s="221" t="str">
        <f ca="1">_xll.DBRW(Server&amp;Cube1,$F$17,$F$18,$F$19,$F$16,$C$14,$F$15,$F$14,$F$20,I$2,I$1,$C197)</f>
        <v/>
      </c>
      <c r="J197" s="221" t="str">
        <f ca="1">_xll.DBRW(Server&amp;Cube1,$F$17,$F$18,$F$19,$F$16,$C$14,$F$15,$F$14,$F$20,J$2,J$1,$C197)</f>
        <v/>
      </c>
      <c r="K197" s="221" t="e">
        <f ca="1">_xll.DBRW(Server&amp;Cube1,$F$17,$F$18,$F$19,$F$16,$C$14,$F$15,$F$14,$F$20,I$2,I$1,$C197) -_xll.DBRW(Server&amp;Cube1,$F$17,$F$18,$F$19,$F$16,$C$14,$F$15,$F$14,$F$20,K$2,I$1,$C197)</f>
        <v>#VALUE!</v>
      </c>
      <c r="L197" s="221" t="e">
        <f t="shared" ca="1" si="8"/>
        <v>#VALUE!</v>
      </c>
      <c r="M197" s="221" t="e">
        <f t="shared" ca="1" si="7"/>
        <v>#VALUE!</v>
      </c>
      <c r="N197" s="226"/>
      <c r="O197" s="221" t="str">
        <f ca="1">_xll.DBRW(Server&amp;Cube1,$F$17,$F$18,$F$19,$F$16,$C$14,$F$15,$F$14,$F$20,O$2,O$1,$C197)</f>
        <v/>
      </c>
      <c r="P197" s="226"/>
      <c r="Q197" s="240" t="str">
        <f ca="1">IF(_xll.ELCOMPN(Server&amp;$C$24,C197)=0,"YES","NO")</f>
        <v>YES</v>
      </c>
      <c r="R197" s="241">
        <v>0</v>
      </c>
      <c r="S197" s="226"/>
      <c r="T197" s="227" t="str">
        <f ca="1">_xll.DBRW(Server&amp;Cube1,$F$17,$F$18,$F$19,$F$16,$C$14,$F$15,$F$14,$F$20,T$2,$T$1,$C197)</f>
        <v/>
      </c>
      <c r="U197" s="227" t="str">
        <f ca="1">_xll.DBRW(Server&amp;Cube1,$F$17,$F$18,$F$19,$F$16,$C$14,$F$15,$F$14,$F$20,U$2,$U$1,$C197)</f>
        <v/>
      </c>
      <c r="V197" s="227" t="str">
        <f ca="1">_xll.DBRW(Server&amp;Cube1,$F$17,$F$18,$F$19,$F$16,$C$14,$F$15,$F$14,$F$20,V$2,V$1,$C197)</f>
        <v/>
      </c>
      <c r="W197" s="227" t="str">
        <f ca="1">_xll.DBRW(Server&amp;Cube1,$F$17,$F$18,$F$19,$F$16,$C$14,$F$15,$F$14,$F$20,W$2,W$1,$C197)</f>
        <v/>
      </c>
      <c r="X197" s="227" t="str">
        <f ca="1">_xll.DBRW(Server&amp;Cube1,$F$17,$F$18,$F$19,$F$16,$C$14,$F$15,$F$14,$F$20,X$2,X$1,$C197)</f>
        <v/>
      </c>
      <c r="Y197" s="227" t="str">
        <f ca="1">_xll.DBRW(Server&amp;Cube1,$F$17,$F$18,$F$19,$F$16,$C$14,$F$15,$F$14,$F$20,Y$2,Y$1,$C197)</f>
        <v/>
      </c>
      <c r="Z197" s="241"/>
      <c r="AA197" s="241"/>
      <c r="AB197" s="241"/>
      <c r="AC197" s="241"/>
      <c r="AD197" s="241"/>
      <c r="AE197" s="241"/>
      <c r="AF197" s="221" t="str">
        <f ca="1">_xll.DBRW(Server&amp;Cube1,$F$17,$F$18,$F$19,$F$16,$C$14,$F$15,$F$14,$F$20,AF$2,$AF$1,$C197)</f>
        <v/>
      </c>
      <c r="AG197" s="53"/>
      <c r="AH197" s="53"/>
      <c r="AI197" s="53"/>
      <c r="AJ197" s="53"/>
      <c r="AK197" s="53"/>
      <c r="AL197" s="53"/>
      <c r="AM197" s="53"/>
      <c r="AN197" s="53"/>
      <c r="AO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1:53" s="9" customFormat="1" ht="24.95" customHeight="1" x14ac:dyDescent="0.35">
      <c r="A198" s="181" t="e">
        <f ca="1">IF($AT$35="YES",1,IF(_xll.ELCOMPN(Server&amp;$C$24,C198)&lt;&gt;0,1,IF(OR(B198=$AZ$35,B198="ALL"),1,0)))</f>
        <v>#VALUE!</v>
      </c>
      <c r="B198" s="163" t="str">
        <f t="shared" si="9"/>
        <v>LE</v>
      </c>
      <c r="C198" s="158" t="s">
        <v>296</v>
      </c>
      <c r="E198" s="268" t="str">
        <f ca="1">_xll.DBRA(Server&amp;$C$24,$C198,$F$21)</f>
        <v>Assurances (JU)</v>
      </c>
      <c r="F198" s="268"/>
      <c r="G198" s="268"/>
      <c r="H198" s="40"/>
      <c r="I198" s="221" t="str">
        <f ca="1">_xll.DBRW(Server&amp;Cube1,$F$17,$F$18,$F$19,$F$16,$C$14,$F$15,$F$14,$F$20,I$2,I$1,$C198)</f>
        <v/>
      </c>
      <c r="J198" s="221" t="str">
        <f ca="1">_xll.DBRW(Server&amp;Cube1,$F$17,$F$18,$F$19,$F$16,$C$14,$F$15,$F$14,$F$20,J$2,J$1,$C198)</f>
        <v/>
      </c>
      <c r="K198" s="221" t="e">
        <f ca="1">_xll.DBRW(Server&amp;Cube1,$F$17,$F$18,$F$19,$F$16,$C$14,$F$15,$F$14,$F$20,I$2,I$1,$C198) -_xll.DBRW(Server&amp;Cube1,$F$17,$F$18,$F$19,$F$16,$C$14,$F$15,$F$14,$F$20,K$2,I$1,$C198)</f>
        <v>#VALUE!</v>
      </c>
      <c r="L198" s="221" t="e">
        <f t="shared" ca="1" si="8"/>
        <v>#VALUE!</v>
      </c>
      <c r="M198" s="221" t="e">
        <f t="shared" ca="1" si="7"/>
        <v>#VALUE!</v>
      </c>
      <c r="N198" s="226"/>
      <c r="O198" s="221" t="str">
        <f ca="1">_xll.DBRW(Server&amp;Cube1,$F$17,$F$18,$F$19,$F$16,$C$14,$F$15,$F$14,$F$20,O$2,O$1,$C198)</f>
        <v/>
      </c>
      <c r="P198" s="226"/>
      <c r="Q198" s="240" t="str">
        <f ca="1">IF(_xll.ELCOMPN(Server&amp;$C$24,C198)=0,"YES","NO")</f>
        <v>YES</v>
      </c>
      <c r="R198" s="241">
        <v>0</v>
      </c>
      <c r="S198" s="226"/>
      <c r="T198" s="227" t="str">
        <f ca="1">_xll.DBRW(Server&amp;Cube1,$F$17,$F$18,$F$19,$F$16,$C$14,$F$15,$F$14,$F$20,T$2,$T$1,$C198)</f>
        <v/>
      </c>
      <c r="U198" s="227" t="str">
        <f ca="1">_xll.DBRW(Server&amp;Cube1,$F$17,$F$18,$F$19,$F$16,$C$14,$F$15,$F$14,$F$20,U$2,$U$1,$C198)</f>
        <v/>
      </c>
      <c r="V198" s="227" t="str">
        <f ca="1">_xll.DBRW(Server&amp;Cube1,$F$17,$F$18,$F$19,$F$16,$C$14,$F$15,$F$14,$F$20,V$2,V$1,$C198)</f>
        <v/>
      </c>
      <c r="W198" s="227" t="str">
        <f ca="1">_xll.DBRW(Server&amp;Cube1,$F$17,$F$18,$F$19,$F$16,$C$14,$F$15,$F$14,$F$20,W$2,W$1,$C198)</f>
        <v/>
      </c>
      <c r="X198" s="227" t="str">
        <f ca="1">_xll.DBRW(Server&amp;Cube1,$F$17,$F$18,$F$19,$F$16,$C$14,$F$15,$F$14,$F$20,X$2,X$1,$C198)</f>
        <v/>
      </c>
      <c r="Y198" s="227" t="str">
        <f ca="1">_xll.DBRW(Server&amp;Cube1,$F$17,$F$18,$F$19,$F$16,$C$14,$F$15,$F$14,$F$20,Y$2,Y$1,$C198)</f>
        <v/>
      </c>
      <c r="Z198" s="241"/>
      <c r="AA198" s="241"/>
      <c r="AB198" s="241"/>
      <c r="AC198" s="241"/>
      <c r="AD198" s="241"/>
      <c r="AE198" s="241"/>
      <c r="AF198" s="221" t="str">
        <f ca="1">_xll.DBRW(Server&amp;Cube1,$F$17,$F$18,$F$19,$F$16,$C$14,$F$15,$F$14,$F$20,AF$2,$AF$1,$C198)</f>
        <v/>
      </c>
      <c r="AG198" s="53"/>
      <c r="AH198" s="53"/>
      <c r="AI198" s="53"/>
      <c r="AJ198" s="53"/>
      <c r="AK198" s="53"/>
      <c r="AL198" s="53"/>
      <c r="AM198" s="53"/>
      <c r="AN198" s="53"/>
      <c r="AO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1:53" s="9" customFormat="1" ht="24.95" customHeight="1" x14ac:dyDescent="0.35">
      <c r="A199" s="181" t="e">
        <f ca="1">IF($AT$35="YES",1,IF(_xll.ELCOMPN(Server&amp;$C$24,C199)&lt;&gt;0,1,IF(OR(B199=$AZ$35,B199="ALL"),1,0)))</f>
        <v>#VALUE!</v>
      </c>
      <c r="B199" s="163" t="str">
        <f t="shared" si="9"/>
        <v>RM</v>
      </c>
      <c r="C199" s="158" t="s">
        <v>297</v>
      </c>
      <c r="E199" s="268" t="str">
        <f ca="1">_xll.DBRA(Server&amp;$C$24,$C199,$F$21)</f>
        <v>Assurances (GR)</v>
      </c>
      <c r="F199" s="268"/>
      <c r="G199" s="268"/>
      <c r="H199" s="40"/>
      <c r="I199" s="221" t="str">
        <f ca="1">_xll.DBRW(Server&amp;Cube1,$F$17,$F$18,$F$19,$F$16,$C$14,$F$15,$F$14,$F$20,I$2,I$1,$C199)</f>
        <v/>
      </c>
      <c r="J199" s="221" t="str">
        <f ca="1">_xll.DBRW(Server&amp;Cube1,$F$17,$F$18,$F$19,$F$16,$C$14,$F$15,$F$14,$F$20,J$2,J$1,$C199)</f>
        <v/>
      </c>
      <c r="K199" s="221" t="e">
        <f ca="1">_xll.DBRW(Server&amp;Cube1,$F$17,$F$18,$F$19,$F$16,$C$14,$F$15,$F$14,$F$20,I$2,I$1,$C199) -_xll.DBRW(Server&amp;Cube1,$F$17,$F$18,$F$19,$F$16,$C$14,$F$15,$F$14,$F$20,K$2,I$1,$C199)</f>
        <v>#VALUE!</v>
      </c>
      <c r="L199" s="221" t="e">
        <f t="shared" ca="1" si="8"/>
        <v>#VALUE!</v>
      </c>
      <c r="M199" s="221" t="e">
        <f t="shared" ca="1" si="7"/>
        <v>#VALUE!</v>
      </c>
      <c r="N199" s="226"/>
      <c r="O199" s="221" t="str">
        <f ca="1">_xll.DBRW(Server&amp;Cube1,$F$17,$F$18,$F$19,$F$16,$C$14,$F$15,$F$14,$F$20,O$2,O$1,$C199)</f>
        <v/>
      </c>
      <c r="P199" s="226"/>
      <c r="Q199" s="240" t="str">
        <f ca="1">IF(_xll.ELCOMPN(Server&amp;$C$24,C199)=0,"YES","NO")</f>
        <v>YES</v>
      </c>
      <c r="R199" s="241">
        <v>0</v>
      </c>
      <c r="S199" s="226"/>
      <c r="T199" s="227" t="str">
        <f ca="1">_xll.DBRW(Server&amp;Cube1,$F$17,$F$18,$F$19,$F$16,$C$14,$F$15,$F$14,$F$20,T$2,$T$1,$C199)</f>
        <v/>
      </c>
      <c r="U199" s="227" t="str">
        <f ca="1">_xll.DBRW(Server&amp;Cube1,$F$17,$F$18,$F$19,$F$16,$C$14,$F$15,$F$14,$F$20,U$2,$U$1,$C199)</f>
        <v/>
      </c>
      <c r="V199" s="227" t="str">
        <f ca="1">_xll.DBRW(Server&amp;Cube1,$F$17,$F$18,$F$19,$F$16,$C$14,$F$15,$F$14,$F$20,V$2,V$1,$C199)</f>
        <v/>
      </c>
      <c r="W199" s="227" t="str">
        <f ca="1">_xll.DBRW(Server&amp;Cube1,$F$17,$F$18,$F$19,$F$16,$C$14,$F$15,$F$14,$F$20,W$2,W$1,$C199)</f>
        <v/>
      </c>
      <c r="X199" s="227" t="str">
        <f ca="1">_xll.DBRW(Server&amp;Cube1,$F$17,$F$18,$F$19,$F$16,$C$14,$F$15,$F$14,$F$20,X$2,X$1,$C199)</f>
        <v/>
      </c>
      <c r="Y199" s="227" t="str">
        <f ca="1">_xll.DBRW(Server&amp;Cube1,$F$17,$F$18,$F$19,$F$16,$C$14,$F$15,$F$14,$F$20,Y$2,Y$1,$C199)</f>
        <v/>
      </c>
      <c r="Z199" s="241"/>
      <c r="AA199" s="241"/>
      <c r="AB199" s="241"/>
      <c r="AC199" s="241"/>
      <c r="AD199" s="241"/>
      <c r="AE199" s="241"/>
      <c r="AF199" s="221" t="str">
        <f ca="1">_xll.DBRW(Server&amp;Cube1,$F$17,$F$18,$F$19,$F$16,$C$14,$F$15,$F$14,$F$20,AF$2,$AF$1,$C199)</f>
        <v/>
      </c>
      <c r="AG199" s="53"/>
      <c r="AH199" s="53"/>
      <c r="AI199" s="53"/>
      <c r="AJ199" s="53"/>
      <c r="AK199" s="53"/>
      <c r="AL199" s="53"/>
      <c r="AM199" s="53"/>
      <c r="AN199" s="53"/>
      <c r="AO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1:53" s="9" customFormat="1" ht="24.95" customHeight="1" x14ac:dyDescent="0.35">
      <c r="A200" s="181" t="e">
        <f ca="1">IF($AT$35="YES",1,IF(_xll.ELCOMPN(Server&amp;$C$24,C200)&lt;&gt;0,1,IF(OR(B200=$AZ$35,B200="ALL"),1,0)))</f>
        <v>#VALUE!</v>
      </c>
      <c r="B200" s="163" t="str">
        <f t="shared" si="9"/>
        <v>PU</v>
      </c>
      <c r="C200" s="158" t="s">
        <v>298</v>
      </c>
      <c r="E200" s="268" t="str">
        <f ca="1">_xll.DBRA(Server&amp;$C$24,$C200,$F$21)</f>
        <v>Assurances (AC)</v>
      </c>
      <c r="F200" s="268"/>
      <c r="G200" s="268"/>
      <c r="H200" s="40"/>
      <c r="I200" s="221" t="str">
        <f ca="1">_xll.DBRW(Server&amp;Cube1,$F$17,$F$18,$F$19,$F$16,$C$14,$F$15,$F$14,$F$20,I$2,I$1,$C200)</f>
        <v/>
      </c>
      <c r="J200" s="221" t="str">
        <f ca="1">_xll.DBRW(Server&amp;Cube1,$F$17,$F$18,$F$19,$F$16,$C$14,$F$15,$F$14,$F$20,J$2,J$1,$C200)</f>
        <v/>
      </c>
      <c r="K200" s="221" t="e">
        <f ca="1">_xll.DBRW(Server&amp;Cube1,$F$17,$F$18,$F$19,$F$16,$C$14,$F$15,$F$14,$F$20,I$2,I$1,$C200) -_xll.DBRW(Server&amp;Cube1,$F$17,$F$18,$F$19,$F$16,$C$14,$F$15,$F$14,$F$20,K$2,I$1,$C200)</f>
        <v>#VALUE!</v>
      </c>
      <c r="L200" s="221" t="e">
        <f t="shared" ca="1" si="8"/>
        <v>#VALUE!</v>
      </c>
      <c r="M200" s="221" t="e">
        <f t="shared" ca="1" si="7"/>
        <v>#VALUE!</v>
      </c>
      <c r="N200" s="226"/>
      <c r="O200" s="221" t="str">
        <f ca="1">_xll.DBRW(Server&amp;Cube1,$F$17,$F$18,$F$19,$F$16,$C$14,$F$15,$F$14,$F$20,O$2,O$1,$C200)</f>
        <v/>
      </c>
      <c r="P200" s="226"/>
      <c r="Q200" s="240" t="str">
        <f ca="1">IF(_xll.ELCOMPN(Server&amp;$C$24,C200)=0,"YES","NO")</f>
        <v>YES</v>
      </c>
      <c r="R200" s="241">
        <v>0</v>
      </c>
      <c r="S200" s="226"/>
      <c r="T200" s="227" t="str">
        <f ca="1">_xll.DBRW(Server&amp;Cube1,$F$17,$F$18,$F$19,$F$16,$C$14,$F$15,$F$14,$F$20,T$2,$T$1,$C200)</f>
        <v/>
      </c>
      <c r="U200" s="227" t="str">
        <f ca="1">_xll.DBRW(Server&amp;Cube1,$F$17,$F$18,$F$19,$F$16,$C$14,$F$15,$F$14,$F$20,U$2,$U$1,$C200)</f>
        <v/>
      </c>
      <c r="V200" s="227" t="str">
        <f ca="1">_xll.DBRW(Server&amp;Cube1,$F$17,$F$18,$F$19,$F$16,$C$14,$F$15,$F$14,$F$20,V$2,V$1,$C200)</f>
        <v/>
      </c>
      <c r="W200" s="227" t="str">
        <f ca="1">_xll.DBRW(Server&amp;Cube1,$F$17,$F$18,$F$19,$F$16,$C$14,$F$15,$F$14,$F$20,W$2,W$1,$C200)</f>
        <v/>
      </c>
      <c r="X200" s="227" t="str">
        <f ca="1">_xll.DBRW(Server&amp;Cube1,$F$17,$F$18,$F$19,$F$16,$C$14,$F$15,$F$14,$F$20,X$2,X$1,$C200)</f>
        <v/>
      </c>
      <c r="Y200" s="227" t="str">
        <f ca="1">_xll.DBRW(Server&amp;Cube1,$F$17,$F$18,$F$19,$F$16,$C$14,$F$15,$F$14,$F$20,Y$2,Y$1,$C200)</f>
        <v/>
      </c>
      <c r="Z200" s="241"/>
      <c r="AA200" s="241"/>
      <c r="AB200" s="241"/>
      <c r="AC200" s="241"/>
      <c r="AD200" s="241"/>
      <c r="AE200" s="241"/>
      <c r="AF200" s="221" t="str">
        <f ca="1">_xll.DBRW(Server&amp;Cube1,$F$17,$F$18,$F$19,$F$16,$C$14,$F$15,$F$14,$F$20,AF$2,$AF$1,$C200)</f>
        <v/>
      </c>
      <c r="AG200" s="53"/>
      <c r="AH200" s="53"/>
      <c r="AI200" s="53"/>
      <c r="AJ200" s="53"/>
      <c r="AK200" s="53"/>
      <c r="AL200" s="53"/>
      <c r="AM200" s="53"/>
      <c r="AN200" s="53"/>
      <c r="AO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1:53" s="9" customFormat="1" ht="24.95" customHeight="1" x14ac:dyDescent="0.35">
      <c r="A201" s="181" t="e">
        <f ca="1">IF($AT$35="YES",1,IF(_xll.ELCOMPN(Server&amp;$C$24,C201)&lt;&gt;0,1,IF(OR(B201=$AZ$35,B201="ALL"),1,0)))</f>
        <v>#VALUE!</v>
      </c>
      <c r="B201" s="163" t="str">
        <f t="shared" si="9"/>
        <v>CO</v>
      </c>
      <c r="C201" s="158" t="s">
        <v>299</v>
      </c>
      <c r="E201" s="268" t="str">
        <f ca="1">_xll.DBRA(Server&amp;$C$24,$C201,$F$21)</f>
        <v>Assurances (CO)</v>
      </c>
      <c r="F201" s="268"/>
      <c r="G201" s="268"/>
      <c r="H201" s="40"/>
      <c r="I201" s="221" t="str">
        <f ca="1">_xll.DBRW(Server&amp;Cube1,$F$17,$F$18,$F$19,$F$16,$C$14,$F$15,$F$14,$F$20,I$2,I$1,$C201)</f>
        <v/>
      </c>
      <c r="J201" s="221" t="str">
        <f ca="1">_xll.DBRW(Server&amp;Cube1,$F$17,$F$18,$F$19,$F$16,$C$14,$F$15,$F$14,$F$20,J$2,J$1,$C201)</f>
        <v/>
      </c>
      <c r="K201" s="221" t="e">
        <f ca="1">_xll.DBRW(Server&amp;Cube1,$F$17,$F$18,$F$19,$F$16,$C$14,$F$15,$F$14,$F$20,I$2,I$1,$C201) -_xll.DBRW(Server&amp;Cube1,$F$17,$F$18,$F$19,$F$16,$C$14,$F$15,$F$14,$F$20,K$2,I$1,$C201)</f>
        <v>#VALUE!</v>
      </c>
      <c r="L201" s="221" t="e">
        <f t="shared" ca="1" si="8"/>
        <v>#VALUE!</v>
      </c>
      <c r="M201" s="221" t="e">
        <f t="shared" ca="1" si="7"/>
        <v>#VALUE!</v>
      </c>
      <c r="N201" s="226"/>
      <c r="O201" s="221" t="str">
        <f ca="1">_xll.DBRW(Server&amp;Cube1,$F$17,$F$18,$F$19,$F$16,$C$14,$F$15,$F$14,$F$20,O$2,O$1,$C201)</f>
        <v/>
      </c>
      <c r="P201" s="226"/>
      <c r="Q201" s="240" t="str">
        <f ca="1">IF(_xll.ELCOMPN(Server&amp;$C$24,C201)=0,"YES","NO")</f>
        <v>YES</v>
      </c>
      <c r="R201" s="241">
        <v>0</v>
      </c>
      <c r="S201" s="226"/>
      <c r="T201" s="227" t="str">
        <f ca="1">_xll.DBRW(Server&amp;Cube1,$F$17,$F$18,$F$19,$F$16,$C$14,$F$15,$F$14,$F$20,T$2,$T$1,$C201)</f>
        <v/>
      </c>
      <c r="U201" s="227" t="str">
        <f ca="1">_xll.DBRW(Server&amp;Cube1,$F$17,$F$18,$F$19,$F$16,$C$14,$F$15,$F$14,$F$20,U$2,$U$1,$C201)</f>
        <v/>
      </c>
      <c r="V201" s="227" t="str">
        <f ca="1">_xll.DBRW(Server&amp;Cube1,$F$17,$F$18,$F$19,$F$16,$C$14,$F$15,$F$14,$F$20,V$2,V$1,$C201)</f>
        <v/>
      </c>
      <c r="W201" s="227" t="str">
        <f ca="1">_xll.DBRW(Server&amp;Cube1,$F$17,$F$18,$F$19,$F$16,$C$14,$F$15,$F$14,$F$20,W$2,W$1,$C201)</f>
        <v/>
      </c>
      <c r="X201" s="227" t="str">
        <f ca="1">_xll.DBRW(Server&amp;Cube1,$F$17,$F$18,$F$19,$F$16,$C$14,$F$15,$F$14,$F$20,X$2,X$1,$C201)</f>
        <v/>
      </c>
      <c r="Y201" s="227" t="str">
        <f ca="1">_xll.DBRW(Server&amp;Cube1,$F$17,$F$18,$F$19,$F$16,$C$14,$F$15,$F$14,$F$20,Y$2,Y$1,$C201)</f>
        <v/>
      </c>
      <c r="Z201" s="241"/>
      <c r="AA201" s="241"/>
      <c r="AB201" s="241"/>
      <c r="AC201" s="241"/>
      <c r="AD201" s="241"/>
      <c r="AE201" s="241"/>
      <c r="AF201" s="221" t="str">
        <f ca="1">_xll.DBRW(Server&amp;Cube1,$F$17,$F$18,$F$19,$F$16,$C$14,$F$15,$F$14,$F$20,AF$2,$AF$1,$C201)</f>
        <v/>
      </c>
      <c r="AG201" s="53"/>
      <c r="AH201" s="53"/>
      <c r="AI201" s="53"/>
      <c r="AJ201" s="53"/>
      <c r="AK201" s="53"/>
      <c r="AL201" s="53"/>
      <c r="AM201" s="53"/>
      <c r="AN201" s="53"/>
      <c r="AO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1:53" s="9" customFormat="1" ht="24.95" customHeight="1" x14ac:dyDescent="0.35">
      <c r="A202" s="181" t="e">
        <f ca="1">IF($AT$35="YES",1,IF(_xll.ELCOMPN(Server&amp;$C$24,C202)&lt;&gt;0,1,IF(OR(B202=$AZ$35,B202="ALL"),1,0)))</f>
        <v>#VALUE!</v>
      </c>
      <c r="B202" s="163" t="str">
        <f t="shared" si="9"/>
        <v>GS</v>
      </c>
      <c r="C202" s="158" t="s">
        <v>300</v>
      </c>
      <c r="E202" s="268" t="str">
        <f ca="1">_xll.DBRA(Server&amp;$C$24,$C202,$F$21)</f>
        <v>Assurances (SG)</v>
      </c>
      <c r="F202" s="268"/>
      <c r="G202" s="268"/>
      <c r="H202" s="40"/>
      <c r="I202" s="221" t="str">
        <f ca="1">_xll.DBRW(Server&amp;Cube1,$F$17,$F$18,$F$19,$F$16,$C$14,$F$15,$F$14,$F$20,I$2,I$1,$C202)</f>
        <v/>
      </c>
      <c r="J202" s="221" t="str">
        <f ca="1">_xll.DBRW(Server&amp;Cube1,$F$17,$F$18,$F$19,$F$16,$C$14,$F$15,$F$14,$F$20,J$2,J$1,$C202)</f>
        <v/>
      </c>
      <c r="K202" s="221" t="e">
        <f ca="1">_xll.DBRW(Server&amp;Cube1,$F$17,$F$18,$F$19,$F$16,$C$14,$F$15,$F$14,$F$20,I$2,I$1,$C202) -_xll.DBRW(Server&amp;Cube1,$F$17,$F$18,$F$19,$F$16,$C$14,$F$15,$F$14,$F$20,K$2,I$1,$C202)</f>
        <v>#VALUE!</v>
      </c>
      <c r="L202" s="221" t="e">
        <f t="shared" ca="1" si="8"/>
        <v>#VALUE!</v>
      </c>
      <c r="M202" s="221" t="e">
        <f t="shared" ca="1" si="7"/>
        <v>#VALUE!</v>
      </c>
      <c r="N202" s="226"/>
      <c r="O202" s="221" t="str">
        <f ca="1">_xll.DBRW(Server&amp;Cube1,$F$17,$F$18,$F$19,$F$16,$C$14,$F$15,$F$14,$F$20,O$2,O$1,$C202)</f>
        <v/>
      </c>
      <c r="P202" s="226"/>
      <c r="Q202" s="240" t="str">
        <f ca="1">IF(_xll.ELCOMPN(Server&amp;$C$24,C202)=0,"YES","NO")</f>
        <v>YES</v>
      </c>
      <c r="R202" s="241">
        <v>0</v>
      </c>
      <c r="S202" s="226"/>
      <c r="T202" s="227" t="str">
        <f ca="1">_xll.DBRW(Server&amp;Cube1,$F$17,$F$18,$F$19,$F$16,$C$14,$F$15,$F$14,$F$20,T$2,$T$1,$C202)</f>
        <v/>
      </c>
      <c r="U202" s="227" t="str">
        <f ca="1">_xll.DBRW(Server&amp;Cube1,$F$17,$F$18,$F$19,$F$16,$C$14,$F$15,$F$14,$F$20,U$2,$U$1,$C202)</f>
        <v/>
      </c>
      <c r="V202" s="227" t="str">
        <f ca="1">_xll.DBRW(Server&amp;Cube1,$F$17,$F$18,$F$19,$F$16,$C$14,$F$15,$F$14,$F$20,V$2,V$1,$C202)</f>
        <v/>
      </c>
      <c r="W202" s="227" t="str">
        <f ca="1">_xll.DBRW(Server&amp;Cube1,$F$17,$F$18,$F$19,$F$16,$C$14,$F$15,$F$14,$F$20,W$2,W$1,$C202)</f>
        <v/>
      </c>
      <c r="X202" s="227" t="str">
        <f ca="1">_xll.DBRW(Server&amp;Cube1,$F$17,$F$18,$F$19,$F$16,$C$14,$F$15,$F$14,$F$20,X$2,X$1,$C202)</f>
        <v/>
      </c>
      <c r="Y202" s="227" t="str">
        <f ca="1">_xll.DBRW(Server&amp;Cube1,$F$17,$F$18,$F$19,$F$16,$C$14,$F$15,$F$14,$F$20,Y$2,Y$1,$C202)</f>
        <v/>
      </c>
      <c r="Z202" s="241"/>
      <c r="AA202" s="241"/>
      <c r="AB202" s="241"/>
      <c r="AC202" s="241"/>
      <c r="AD202" s="241"/>
      <c r="AE202" s="241"/>
      <c r="AF202" s="221" t="str">
        <f ca="1">_xll.DBRW(Server&amp;Cube1,$F$17,$F$18,$F$19,$F$16,$C$14,$F$15,$F$14,$F$20,AF$2,$AF$1,$C202)</f>
        <v/>
      </c>
      <c r="AG202" s="53"/>
      <c r="AH202" s="53"/>
      <c r="AI202" s="53"/>
      <c r="AJ202" s="53"/>
      <c r="AK202" s="53"/>
      <c r="AL202" s="53"/>
      <c r="AM202" s="53"/>
      <c r="AN202" s="53"/>
      <c r="AO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1:53" s="9" customFormat="1" ht="24.95" customHeight="1" x14ac:dyDescent="0.35">
      <c r="A203" s="181" t="e">
        <f ca="1">IF($AT$35="YES",1,IF(_xll.ELCOMPN(Server&amp;$C$24,C203)&lt;&gt;0,1,IF(OR(B203=$AZ$35,B203="ALL"),1,0)))</f>
        <v>#VALUE!</v>
      </c>
      <c r="B203" s="163" t="str">
        <f t="shared" si="9"/>
        <v>RD</v>
      </c>
      <c r="C203" s="158" t="s">
        <v>301</v>
      </c>
      <c r="E203" s="268" t="str">
        <f ca="1">_xll.DBRA(Server&amp;$C$24,$C203,$F$21)</f>
        <v>Assurances (RD)</v>
      </c>
      <c r="F203" s="268"/>
      <c r="G203" s="268"/>
      <c r="H203" s="40"/>
      <c r="I203" s="221" t="str">
        <f ca="1">_xll.DBRW(Server&amp;Cube1,$F$17,$F$18,$F$19,$F$16,$C$14,$F$15,$F$14,$F$20,I$2,I$1,$C203)</f>
        <v/>
      </c>
      <c r="J203" s="221" t="str">
        <f ca="1">_xll.DBRW(Server&amp;Cube1,$F$17,$F$18,$F$19,$F$16,$C$14,$F$15,$F$14,$F$20,J$2,J$1,$C203)</f>
        <v/>
      </c>
      <c r="K203" s="221" t="e">
        <f ca="1">_xll.DBRW(Server&amp;Cube1,$F$17,$F$18,$F$19,$F$16,$C$14,$F$15,$F$14,$F$20,I$2,I$1,$C203) -_xll.DBRW(Server&amp;Cube1,$F$17,$F$18,$F$19,$F$16,$C$14,$F$15,$F$14,$F$20,K$2,I$1,$C203)</f>
        <v>#VALUE!</v>
      </c>
      <c r="L203" s="221" t="e">
        <f t="shared" ca="1" si="8"/>
        <v>#VALUE!</v>
      </c>
      <c r="M203" s="221" t="e">
        <f t="shared" ca="1" si="7"/>
        <v>#VALUE!</v>
      </c>
      <c r="N203" s="226"/>
      <c r="O203" s="221" t="str">
        <f ca="1">_xll.DBRW(Server&amp;Cube1,$F$17,$F$18,$F$19,$F$16,$C$14,$F$15,$F$14,$F$20,O$2,O$1,$C203)</f>
        <v/>
      </c>
      <c r="P203" s="226"/>
      <c r="Q203" s="240" t="str">
        <f ca="1">IF(_xll.ELCOMPN(Server&amp;$C$24,C203)=0,"YES","NO")</f>
        <v>YES</v>
      </c>
      <c r="R203" s="241">
        <v>0</v>
      </c>
      <c r="S203" s="226"/>
      <c r="T203" s="227" t="str">
        <f ca="1">_xll.DBRW(Server&amp;Cube1,$F$17,$F$18,$F$19,$F$16,$C$14,$F$15,$F$14,$F$20,T$2,$T$1,$C203)</f>
        <v/>
      </c>
      <c r="U203" s="227" t="str">
        <f ca="1">_xll.DBRW(Server&amp;Cube1,$F$17,$F$18,$F$19,$F$16,$C$14,$F$15,$F$14,$F$20,U$2,$U$1,$C203)</f>
        <v/>
      </c>
      <c r="V203" s="227" t="str">
        <f ca="1">_xll.DBRW(Server&amp;Cube1,$F$17,$F$18,$F$19,$F$16,$C$14,$F$15,$F$14,$F$20,V$2,V$1,$C203)</f>
        <v/>
      </c>
      <c r="W203" s="227" t="str">
        <f ca="1">_xll.DBRW(Server&amp;Cube1,$F$17,$F$18,$F$19,$F$16,$C$14,$F$15,$F$14,$F$20,W$2,W$1,$C203)</f>
        <v/>
      </c>
      <c r="X203" s="227" t="str">
        <f ca="1">_xll.DBRW(Server&amp;Cube1,$F$17,$F$18,$F$19,$F$16,$C$14,$F$15,$F$14,$F$20,X$2,X$1,$C203)</f>
        <v/>
      </c>
      <c r="Y203" s="227" t="str">
        <f ca="1">_xll.DBRW(Server&amp;Cube1,$F$17,$F$18,$F$19,$F$16,$C$14,$F$15,$F$14,$F$20,Y$2,Y$1,$C203)</f>
        <v/>
      </c>
      <c r="Z203" s="241"/>
      <c r="AA203" s="241"/>
      <c r="AB203" s="241"/>
      <c r="AC203" s="241"/>
      <c r="AD203" s="241"/>
      <c r="AE203" s="241"/>
      <c r="AF203" s="221" t="str">
        <f ca="1">_xll.DBRW(Server&amp;Cube1,$F$17,$F$18,$F$19,$F$16,$C$14,$F$15,$F$14,$F$20,AF$2,$AF$1,$C203)</f>
        <v/>
      </c>
      <c r="AG203" s="53"/>
      <c r="AH203" s="53"/>
      <c r="AI203" s="53"/>
      <c r="AJ203" s="53"/>
      <c r="AK203" s="53"/>
      <c r="AL203" s="53"/>
      <c r="AM203" s="53"/>
      <c r="AN203" s="53"/>
      <c r="AO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1:53" s="9" customFormat="1" ht="24.95" customHeight="1" collapsed="1" x14ac:dyDescent="0.35">
      <c r="A204" s="181">
        <f ca="1">IF($AT$35="YES",1,IF(_xll.ELCOMPN(Server&amp;$C$24,C204)&lt;&gt;0,1,IF(OR(B204=$AZ$35,B204="ALL"),1,0)))</f>
        <v>1</v>
      </c>
      <c r="B204" s="163" t="str">
        <f t="shared" si="9"/>
        <v>ba</v>
      </c>
      <c r="C204" s="117" t="s">
        <v>100</v>
      </c>
      <c r="E204" s="270" t="str">
        <f ca="1">_xll.DBRA(Server&amp;$C$24,$C204,$F$21)</f>
        <v>Services bancaires</v>
      </c>
      <c r="F204" s="270"/>
      <c r="G204" s="270"/>
      <c r="H204" s="40"/>
      <c r="I204" s="221" t="str">
        <f ca="1">_xll.DBRW(Server&amp;Cube1,$F$17,$F$18,$F$19,$F$16,$C$14,$F$15,$F$14,$F$20,I$2,I$1,$C204)</f>
        <v/>
      </c>
      <c r="J204" s="221" t="str">
        <f ca="1">_xll.DBRW(Server&amp;Cube1,$F$17,$F$18,$F$19,$F$16,$C$14,$F$15,$F$14,$F$20,J$2,J$1,$C204)</f>
        <v/>
      </c>
      <c r="K204" s="221" t="e">
        <f ca="1">_xll.DBRW(Server&amp;Cube1,$F$17,$F$18,$F$19,$F$16,$C$14,$F$15,$F$14,$F$20,I$2,I$1,$C204) -_xll.DBRW(Server&amp;Cube1,$F$17,$F$18,$F$19,$F$16,$C$14,$F$15,$F$14,$F$20,K$2,I$1,$C204)</f>
        <v>#VALUE!</v>
      </c>
      <c r="L204" s="221" t="e">
        <f t="shared" ca="1" si="8"/>
        <v>#VALUE!</v>
      </c>
      <c r="M204" s="221" t="e">
        <f t="shared" ca="1" si="7"/>
        <v>#VALUE!</v>
      </c>
      <c r="N204" s="229"/>
      <c r="O204" s="229" t="str">
        <f ca="1">_xll.DBRW(Server&amp;Cube1,$F$17,$F$18,$F$19,$F$16,$C$14,$F$15,$F$14,$F$20,O$2,O$1,$C204)</f>
        <v/>
      </c>
      <c r="P204" s="229"/>
      <c r="Q204" s="240" t="str">
        <f ca="1">IF(_xll.ELCOMPN(Server&amp;$C$24,C204)=0,"YES","NO")</f>
        <v>NO</v>
      </c>
      <c r="R204" s="229"/>
      <c r="S204" s="229"/>
      <c r="T204" s="230" t="str">
        <f ca="1">_xll.DBRW(Server&amp;Cube1,$F$17,$F$18,$F$19,$F$16,$C$14,$F$15,$F$14,$F$20,T$2,$T$1,$C204)</f>
        <v/>
      </c>
      <c r="U204" s="230" t="str">
        <f ca="1">_xll.DBRW(Server&amp;Cube1,$F$17,$F$18,$F$19,$F$16,$C$14,$F$15,$F$14,$F$20,U$2,$U$1,$C204)</f>
        <v/>
      </c>
      <c r="V204" s="230" t="str">
        <f ca="1">_xll.DBRW(Server&amp;Cube1,$F$17,$F$18,$F$19,$F$16,$C$14,$F$15,$F$14,$F$20,V$2,V$1,$C204)</f>
        <v/>
      </c>
      <c r="W204" s="230" t="str">
        <f ca="1">_xll.DBRW(Server&amp;Cube1,$F$17,$F$18,$F$19,$F$16,$C$14,$F$15,$F$14,$F$20,W$2,W$1,$C204)</f>
        <v/>
      </c>
      <c r="X204" s="229" t="str">
        <f ca="1">_xll.DBRW(Server&amp;Cube1,$F$17,$F$18,$F$19,$F$16,$C$14,$F$15,$F$14,$F$20,X$2,X$1,$C204)</f>
        <v/>
      </c>
      <c r="Y204" s="229" t="str">
        <f ca="1">_xll.DBRW(Server&amp;Cube1,$F$17,$F$18,$F$19,$F$16,$C$14,$F$15,$F$14,$F$20,Y$2,Y$1,$C204)</f>
        <v/>
      </c>
      <c r="Z204" s="229" t="str">
        <f ca="1">_xll.DBRW(Server&amp;Cube1,$F$17,$F$18,$F$19,$F$16,$C$14,$F$15,$F$14,$F$20,Z$2,Z$1,$C204)</f>
        <v/>
      </c>
      <c r="AA204" s="229" t="str">
        <f ca="1">_xll.DBRW(Server&amp;Cube1,$F$17,$F$18,$F$19,$F$16,$C$14,$F$15,$F$14,$F$20,AA$2,AA$1,$C204)</f>
        <v/>
      </c>
      <c r="AB204" s="229" t="str">
        <f ca="1">_xll.DBRW(Server&amp;Cube1,$F$17,$F$18,$F$19,$F$16,$C$14,$F$15,$F$14,$F$20,AB$2,AB$1,$C204)</f>
        <v/>
      </c>
      <c r="AC204" s="229" t="str">
        <f ca="1">_xll.DBRW(Server&amp;Cube1,$F$17,$F$18,$F$19,$F$16,$C$14,$F$15,$F$14,$F$20,AC$2,AC$1,$C204)</f>
        <v/>
      </c>
      <c r="AD204" s="229" t="str">
        <f ca="1">_xll.DBRW(Server&amp;Cube1,$F$17,$F$18,$F$19,$F$16,$C$14,$F$15,$F$14,$F$20,AD$2,AD$1,$C204)</f>
        <v/>
      </c>
      <c r="AE204" s="229" t="str">
        <f ca="1">_xll.DBRW(Server&amp;Cube1,$F$17,$F$18,$F$19,$F$16,$C$14,$F$15,$F$14,$F$20,AE$2,AE$1,$C204)</f>
        <v/>
      </c>
      <c r="AF204" s="229" t="str">
        <f ca="1">_xll.DBRW(Server&amp;Cube1,$F$17,$F$18,$F$19,$F$16,$C$14,$F$15,$F$14,$F$20,AF$2,$AF$1,$C204)</f>
        <v/>
      </c>
      <c r="AG204" s="53"/>
      <c r="AH204" s="53"/>
      <c r="AI204" s="53"/>
      <c r="AJ204" s="53"/>
      <c r="AK204" s="53"/>
      <c r="AL204" s="53"/>
      <c r="AM204" s="53"/>
      <c r="AN204" s="53"/>
      <c r="AO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1:53" s="9" customFormat="1" ht="24.95" customHeight="1" x14ac:dyDescent="0.35">
      <c r="A205" s="181" t="e">
        <f ca="1">IF($AT$35="YES",1,IF(_xll.ELCOMPN(Server&amp;$C$24,C205)&lt;&gt;0,1,IF(OR(B205=$AZ$35,B205="ALL"),1,0)))</f>
        <v>#VALUE!</v>
      </c>
      <c r="B205" s="163" t="str">
        <f t="shared" si="9"/>
        <v>DS</v>
      </c>
      <c r="C205" s="158" t="s">
        <v>302</v>
      </c>
      <c r="E205" s="268" t="str">
        <f ca="1">_xll.DBRA(Server&amp;$C$24,$C205,$F$21)</f>
        <v>Services bancaires (SO)</v>
      </c>
      <c r="F205" s="268"/>
      <c r="G205" s="268"/>
      <c r="H205" s="40"/>
      <c r="I205" s="221" t="str">
        <f ca="1">_xll.DBRW(Server&amp;Cube1,$F$17,$F$18,$F$19,$F$16,$C$14,$F$15,$F$14,$F$20,I$2,I$1,$C205)</f>
        <v/>
      </c>
      <c r="J205" s="221" t="str">
        <f ca="1">_xll.DBRW(Server&amp;Cube1,$F$17,$F$18,$F$19,$F$16,$C$14,$F$15,$F$14,$F$20,J$2,J$1,$C205)</f>
        <v/>
      </c>
      <c r="K205" s="221" t="e">
        <f ca="1">_xll.DBRW(Server&amp;Cube1,$F$17,$F$18,$F$19,$F$16,$C$14,$F$15,$F$14,$F$20,I$2,I$1,$C205) -_xll.DBRW(Server&amp;Cube1,$F$17,$F$18,$F$19,$F$16,$C$14,$F$15,$F$14,$F$20,K$2,I$1,$C205)</f>
        <v>#VALUE!</v>
      </c>
      <c r="L205" s="221" t="e">
        <f t="shared" ca="1" si="8"/>
        <v>#VALUE!</v>
      </c>
      <c r="M205" s="221" t="e">
        <f t="shared" ca="1" si="7"/>
        <v>#VALUE!</v>
      </c>
      <c r="N205" s="226"/>
      <c r="O205" s="221" t="str">
        <f ca="1">_xll.DBRW(Server&amp;Cube1,$F$17,$F$18,$F$19,$F$16,$C$14,$F$15,$F$14,$F$20,O$2,O$1,$C205)</f>
        <v/>
      </c>
      <c r="P205" s="226"/>
      <c r="Q205" s="240" t="str">
        <f ca="1">IF(_xll.ELCOMPN(Server&amp;$C$24,C205)=0,"YES","NO")</f>
        <v>YES</v>
      </c>
      <c r="R205" s="241">
        <v>0</v>
      </c>
      <c r="S205" s="226"/>
      <c r="T205" s="227" t="str">
        <f ca="1">_xll.DBRW(Server&amp;Cube1,$F$17,$F$18,$F$19,$F$16,$C$14,$F$15,$F$14,$F$20,T$2,$T$1,$C205)</f>
        <v/>
      </c>
      <c r="U205" s="227" t="str">
        <f ca="1">_xll.DBRW(Server&amp;Cube1,$F$17,$F$18,$F$19,$F$16,$C$14,$F$15,$F$14,$F$20,U$2,$U$1,$C205)</f>
        <v/>
      </c>
      <c r="V205" s="227" t="str">
        <f ca="1">_xll.DBRW(Server&amp;Cube1,$F$17,$F$18,$F$19,$F$16,$C$14,$F$15,$F$14,$F$20,V$2,V$1,$C205)</f>
        <v/>
      </c>
      <c r="W205" s="227" t="str">
        <f ca="1">_xll.DBRW(Server&amp;Cube1,$F$17,$F$18,$F$19,$F$16,$C$14,$F$15,$F$14,$F$20,W$2,W$1,$C205)</f>
        <v/>
      </c>
      <c r="X205" s="227" t="str">
        <f ca="1">_xll.DBRW(Server&amp;Cube1,$F$17,$F$18,$F$19,$F$16,$C$14,$F$15,$F$14,$F$20,X$2,X$1,$C205)</f>
        <v/>
      </c>
      <c r="Y205" s="227" t="str">
        <f ca="1">_xll.DBRW(Server&amp;Cube1,$F$17,$F$18,$F$19,$F$16,$C$14,$F$15,$F$14,$F$20,Y$2,Y$1,$C205)</f>
        <v/>
      </c>
      <c r="Z205" s="241"/>
      <c r="AA205" s="241"/>
      <c r="AB205" s="241"/>
      <c r="AC205" s="241"/>
      <c r="AD205" s="241"/>
      <c r="AE205" s="241"/>
      <c r="AF205" s="221" t="str">
        <f ca="1">_xll.DBRW(Server&amp;Cube1,$F$17,$F$18,$F$19,$F$16,$C$14,$F$15,$F$14,$F$20,AF$2,$AF$1,$C205)</f>
        <v/>
      </c>
      <c r="AG205" s="53"/>
      <c r="AH205" s="53"/>
      <c r="AI205" s="53"/>
      <c r="AJ205" s="53"/>
      <c r="AK205" s="53"/>
      <c r="AL205" s="53"/>
      <c r="AM205" s="53"/>
      <c r="AN205" s="53"/>
      <c r="AO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1:53" s="9" customFormat="1" ht="24.95" customHeight="1" x14ac:dyDescent="0.35">
      <c r="A206" s="181" t="e">
        <f ca="1">IF($AT$35="YES",1,IF(_xll.ELCOMPN(Server&amp;$C$24,C206)&lt;&gt;0,1,IF(OR(B206=$AZ$35,B206="ALL"),1,0)))</f>
        <v>#VALUE!</v>
      </c>
      <c r="B206" s="163" t="str">
        <f t="shared" si="9"/>
        <v>BD</v>
      </c>
      <c r="C206" s="158" t="s">
        <v>303</v>
      </c>
      <c r="E206" s="268" t="str">
        <f ca="1">_xll.DBRA(Server&amp;$C$24,$C206,$F$21)</f>
        <v>Services bancaires (DC)</v>
      </c>
      <c r="F206" s="268"/>
      <c r="G206" s="268"/>
      <c r="H206" s="40"/>
      <c r="I206" s="221" t="str">
        <f ca="1">_xll.DBRW(Server&amp;Cube1,$F$17,$F$18,$F$19,$F$16,$C$14,$F$15,$F$14,$F$20,I$2,I$1,$C206)</f>
        <v/>
      </c>
      <c r="J206" s="221" t="str">
        <f ca="1">_xll.DBRW(Server&amp;Cube1,$F$17,$F$18,$F$19,$F$16,$C$14,$F$15,$F$14,$F$20,J$2,J$1,$C206)</f>
        <v/>
      </c>
      <c r="K206" s="221" t="e">
        <f ca="1">_xll.DBRW(Server&amp;Cube1,$F$17,$F$18,$F$19,$F$16,$C$14,$F$15,$F$14,$F$20,I$2,I$1,$C206) -_xll.DBRW(Server&amp;Cube1,$F$17,$F$18,$F$19,$F$16,$C$14,$F$15,$F$14,$F$20,K$2,I$1,$C206)</f>
        <v>#VALUE!</v>
      </c>
      <c r="L206" s="221" t="e">
        <f t="shared" ca="1" si="8"/>
        <v>#VALUE!</v>
      </c>
      <c r="M206" s="221" t="e">
        <f t="shared" ca="1" si="7"/>
        <v>#VALUE!</v>
      </c>
      <c r="N206" s="226"/>
      <c r="O206" s="221" t="str">
        <f ca="1">_xll.DBRW(Server&amp;Cube1,$F$17,$F$18,$F$19,$F$16,$C$14,$F$15,$F$14,$F$20,O$2,O$1,$C206)</f>
        <v/>
      </c>
      <c r="P206" s="226"/>
      <c r="Q206" s="240" t="str">
        <f ca="1">IF(_xll.ELCOMPN(Server&amp;$C$24,C206)=0,"YES","NO")</f>
        <v>YES</v>
      </c>
      <c r="R206" s="241">
        <v>0</v>
      </c>
      <c r="S206" s="226"/>
      <c r="T206" s="227" t="str">
        <f ca="1">_xll.DBRW(Server&amp;Cube1,$F$17,$F$18,$F$19,$F$16,$C$14,$F$15,$F$14,$F$20,T$2,$T$1,$C206)</f>
        <v/>
      </c>
      <c r="U206" s="227" t="str">
        <f ca="1">_xll.DBRW(Server&amp;Cube1,$F$17,$F$18,$F$19,$F$16,$C$14,$F$15,$F$14,$F$20,U$2,$U$1,$C206)</f>
        <v/>
      </c>
      <c r="V206" s="227" t="str">
        <f ca="1">_xll.DBRW(Server&amp;Cube1,$F$17,$F$18,$F$19,$F$16,$C$14,$F$15,$F$14,$F$20,V$2,V$1,$C206)</f>
        <v/>
      </c>
      <c r="W206" s="227" t="str">
        <f ca="1">_xll.DBRW(Server&amp;Cube1,$F$17,$F$18,$F$19,$F$16,$C$14,$F$15,$F$14,$F$20,W$2,W$1,$C206)</f>
        <v/>
      </c>
      <c r="X206" s="227" t="str">
        <f ca="1">_xll.DBRW(Server&amp;Cube1,$F$17,$F$18,$F$19,$F$16,$C$14,$F$15,$F$14,$F$20,X$2,X$1,$C206)</f>
        <v/>
      </c>
      <c r="Y206" s="227" t="str">
        <f ca="1">_xll.DBRW(Server&amp;Cube1,$F$17,$F$18,$F$19,$F$16,$C$14,$F$15,$F$14,$F$20,Y$2,Y$1,$C206)</f>
        <v/>
      </c>
      <c r="Z206" s="241"/>
      <c r="AA206" s="241"/>
      <c r="AB206" s="241"/>
      <c r="AC206" s="241"/>
      <c r="AD206" s="241"/>
      <c r="AE206" s="241"/>
      <c r="AF206" s="221" t="str">
        <f ca="1">_xll.DBRW(Server&amp;Cube1,$F$17,$F$18,$F$19,$F$16,$C$14,$F$15,$F$14,$F$20,AF$2,$AF$1,$C206)</f>
        <v/>
      </c>
      <c r="AG206" s="53"/>
      <c r="AH206" s="53"/>
      <c r="AI206" s="53"/>
      <c r="AJ206" s="53"/>
      <c r="AK206" s="53"/>
      <c r="AL206" s="53"/>
      <c r="AM206" s="53"/>
      <c r="AN206" s="53"/>
      <c r="AO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1:53" s="9" customFormat="1" ht="24.95" customHeight="1" x14ac:dyDescent="0.35">
      <c r="A207" s="181" t="e">
        <f ca="1">IF($AT$35="YES",1,IF(_xll.ELCOMPN(Server&amp;$C$24,C207)&lt;&gt;0,1,IF(OR(B207=$AZ$35,B207="ALL"),1,0)))</f>
        <v>#VALUE!</v>
      </c>
      <c r="B207" s="163" t="str">
        <f t="shared" si="9"/>
        <v>FI</v>
      </c>
      <c r="C207" s="158" t="s">
        <v>304</v>
      </c>
      <c r="E207" s="268" t="str">
        <f ca="1">_xll.DBRA(Server&amp;$C$24,$C207,$F$21)</f>
        <v>Services bancaires (DF)</v>
      </c>
      <c r="F207" s="268"/>
      <c r="G207" s="268"/>
      <c r="H207" s="40"/>
      <c r="I207" s="221" t="str">
        <f ca="1">_xll.DBRW(Server&amp;Cube1,$F$17,$F$18,$F$19,$F$16,$C$14,$F$15,$F$14,$F$20,I$2,I$1,$C207)</f>
        <v/>
      </c>
      <c r="J207" s="221" t="str">
        <f ca="1">_xll.DBRW(Server&amp;Cube1,$F$17,$F$18,$F$19,$F$16,$C$14,$F$15,$F$14,$F$20,J$2,J$1,$C207)</f>
        <v/>
      </c>
      <c r="K207" s="221" t="e">
        <f ca="1">_xll.DBRW(Server&amp;Cube1,$F$17,$F$18,$F$19,$F$16,$C$14,$F$15,$F$14,$F$20,I$2,I$1,$C207) -_xll.DBRW(Server&amp;Cube1,$F$17,$F$18,$F$19,$F$16,$C$14,$F$15,$F$14,$F$20,K$2,I$1,$C207)</f>
        <v>#VALUE!</v>
      </c>
      <c r="L207" s="221" t="e">
        <f t="shared" ca="1" si="8"/>
        <v>#VALUE!</v>
      </c>
      <c r="M207" s="221" t="e">
        <f t="shared" ca="1" si="7"/>
        <v>#VALUE!</v>
      </c>
      <c r="N207" s="226"/>
      <c r="O207" s="221" t="str">
        <f ca="1">_xll.DBRW(Server&amp;Cube1,$F$17,$F$18,$F$19,$F$16,$C$14,$F$15,$F$14,$F$20,O$2,O$1,$C207)</f>
        <v/>
      </c>
      <c r="P207" s="226"/>
      <c r="Q207" s="240" t="str">
        <f ca="1">IF(_xll.ELCOMPN(Server&amp;$C$24,C207)=0,"YES","NO")</f>
        <v>YES</v>
      </c>
      <c r="R207" s="241">
        <v>0</v>
      </c>
      <c r="S207" s="226"/>
      <c r="T207" s="227" t="str">
        <f ca="1">_xll.DBRW(Server&amp;Cube1,$F$17,$F$18,$F$19,$F$16,$C$14,$F$15,$F$14,$F$20,T$2,$T$1,$C207)</f>
        <v/>
      </c>
      <c r="U207" s="227" t="str">
        <f ca="1">_xll.DBRW(Server&amp;Cube1,$F$17,$F$18,$F$19,$F$16,$C$14,$F$15,$F$14,$F$20,U$2,$U$1,$C207)</f>
        <v/>
      </c>
      <c r="V207" s="227" t="str">
        <f ca="1">_xll.DBRW(Server&amp;Cube1,$F$17,$F$18,$F$19,$F$16,$C$14,$F$15,$F$14,$F$20,V$2,V$1,$C207)</f>
        <v/>
      </c>
      <c r="W207" s="227" t="str">
        <f ca="1">_xll.DBRW(Server&amp;Cube1,$F$17,$F$18,$F$19,$F$16,$C$14,$F$15,$F$14,$F$20,W$2,W$1,$C207)</f>
        <v/>
      </c>
      <c r="X207" s="227" t="str">
        <f ca="1">_xll.DBRW(Server&amp;Cube1,$F$17,$F$18,$F$19,$F$16,$C$14,$F$15,$F$14,$F$20,X$2,X$1,$C207)</f>
        <v/>
      </c>
      <c r="Y207" s="227" t="str">
        <f ca="1">_xll.DBRW(Server&amp;Cube1,$F$17,$F$18,$F$19,$F$16,$C$14,$F$15,$F$14,$F$20,Y$2,Y$1,$C207)</f>
        <v/>
      </c>
      <c r="Z207" s="241"/>
      <c r="AA207" s="241"/>
      <c r="AB207" s="241"/>
      <c r="AC207" s="241"/>
      <c r="AD207" s="241"/>
      <c r="AE207" s="241"/>
      <c r="AF207" s="221" t="str">
        <f ca="1">_xll.DBRW(Server&amp;Cube1,$F$17,$F$18,$F$19,$F$16,$C$14,$F$15,$F$14,$F$20,AF$2,$AF$1,$C207)</f>
        <v/>
      </c>
      <c r="AG207" s="53"/>
      <c r="AH207" s="53"/>
      <c r="AI207" s="53"/>
      <c r="AJ207" s="53"/>
      <c r="AK207" s="53"/>
      <c r="AL207" s="53"/>
      <c r="AM207" s="53"/>
      <c r="AN207" s="53"/>
      <c r="AO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1:53" s="9" customFormat="1" ht="24.95" customHeight="1" x14ac:dyDescent="0.35">
      <c r="A208" s="181" t="e">
        <f ca="1">IF($AT$35="YES",1,IF(_xll.ELCOMPN(Server&amp;$C$24,C208)&lt;&gt;0,1,IF(OR(B208=$AZ$35,B208="ALL"),1,0)))</f>
        <v>#VALUE!</v>
      </c>
      <c r="B208" s="163" t="str">
        <f t="shared" si="9"/>
        <v>IT</v>
      </c>
      <c r="C208" s="158" t="s">
        <v>305</v>
      </c>
      <c r="E208" s="268" t="str">
        <f ca="1">_xll.DBRA(Server&amp;$C$24,$C208,$F$21)</f>
        <v>Services bancaires (IT)</v>
      </c>
      <c r="F208" s="268"/>
      <c r="G208" s="268"/>
      <c r="H208" s="40"/>
      <c r="I208" s="221" t="str">
        <f ca="1">_xll.DBRW(Server&amp;Cube1,$F$17,$F$18,$F$19,$F$16,$C$14,$F$15,$F$14,$F$20,I$2,I$1,$C208)</f>
        <v/>
      </c>
      <c r="J208" s="221" t="str">
        <f ca="1">_xll.DBRW(Server&amp;Cube1,$F$17,$F$18,$F$19,$F$16,$C$14,$F$15,$F$14,$F$20,J$2,J$1,$C208)</f>
        <v/>
      </c>
      <c r="K208" s="221" t="e">
        <f ca="1">_xll.DBRW(Server&amp;Cube1,$F$17,$F$18,$F$19,$F$16,$C$14,$F$15,$F$14,$F$20,I$2,I$1,$C208) -_xll.DBRW(Server&amp;Cube1,$F$17,$F$18,$F$19,$F$16,$C$14,$F$15,$F$14,$F$20,K$2,I$1,$C208)</f>
        <v>#VALUE!</v>
      </c>
      <c r="L208" s="221" t="e">
        <f t="shared" ca="1" si="8"/>
        <v>#VALUE!</v>
      </c>
      <c r="M208" s="221" t="e">
        <f t="shared" ca="1" si="7"/>
        <v>#VALUE!</v>
      </c>
      <c r="N208" s="226"/>
      <c r="O208" s="221" t="str">
        <f ca="1">_xll.DBRW(Server&amp;Cube1,$F$17,$F$18,$F$19,$F$16,$C$14,$F$15,$F$14,$F$20,O$2,O$1,$C208)</f>
        <v/>
      </c>
      <c r="P208" s="226"/>
      <c r="Q208" s="240" t="str">
        <f ca="1">IF(_xll.ELCOMPN(Server&amp;$C$24,C208)=0,"YES","NO")</f>
        <v>YES</v>
      </c>
      <c r="R208" s="241">
        <v>0</v>
      </c>
      <c r="S208" s="226"/>
      <c r="T208" s="227" t="str">
        <f ca="1">_xll.DBRW(Server&amp;Cube1,$F$17,$F$18,$F$19,$F$16,$C$14,$F$15,$F$14,$F$20,T$2,$T$1,$C208)</f>
        <v/>
      </c>
      <c r="U208" s="227" t="str">
        <f ca="1">_xll.DBRW(Server&amp;Cube1,$F$17,$F$18,$F$19,$F$16,$C$14,$F$15,$F$14,$F$20,U$2,$U$1,$C208)</f>
        <v/>
      </c>
      <c r="V208" s="227" t="str">
        <f ca="1">_xll.DBRW(Server&amp;Cube1,$F$17,$F$18,$F$19,$F$16,$C$14,$F$15,$F$14,$F$20,V$2,V$1,$C208)</f>
        <v/>
      </c>
      <c r="W208" s="227" t="str">
        <f ca="1">_xll.DBRW(Server&amp;Cube1,$F$17,$F$18,$F$19,$F$16,$C$14,$F$15,$F$14,$F$20,W$2,W$1,$C208)</f>
        <v/>
      </c>
      <c r="X208" s="227" t="str">
        <f ca="1">_xll.DBRW(Server&amp;Cube1,$F$17,$F$18,$F$19,$F$16,$C$14,$F$15,$F$14,$F$20,X$2,X$1,$C208)</f>
        <v/>
      </c>
      <c r="Y208" s="227" t="str">
        <f ca="1">_xll.DBRW(Server&amp;Cube1,$F$17,$F$18,$F$19,$F$16,$C$14,$F$15,$F$14,$F$20,Y$2,Y$1,$C208)</f>
        <v/>
      </c>
      <c r="Z208" s="241"/>
      <c r="AA208" s="241"/>
      <c r="AB208" s="241"/>
      <c r="AC208" s="241"/>
      <c r="AD208" s="241"/>
      <c r="AE208" s="241"/>
      <c r="AF208" s="221" t="str">
        <f ca="1">_xll.DBRW(Server&amp;Cube1,$F$17,$F$18,$F$19,$F$16,$C$14,$F$15,$F$14,$F$20,AF$2,$AF$1,$C208)</f>
        <v/>
      </c>
      <c r="AG208" s="53"/>
      <c r="AH208" s="53"/>
      <c r="AI208" s="53"/>
      <c r="AJ208" s="53"/>
      <c r="AK208" s="53"/>
      <c r="AL208" s="53"/>
      <c r="AM208" s="53"/>
      <c r="AN208" s="53"/>
      <c r="AO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:53" s="9" customFormat="1" ht="24.95" customHeight="1" x14ac:dyDescent="0.35">
      <c r="A209" s="181" t="e">
        <f ca="1">IF($AT$35="YES",1,IF(_xll.ELCOMPN(Server&amp;$C$24,C209)&lt;&gt;0,1,IF(OR(B209=$AZ$35,B209="ALL"),1,0)))</f>
        <v>#VALUE!</v>
      </c>
      <c r="B209" s="163" t="str">
        <f t="shared" si="9"/>
        <v>HR</v>
      </c>
      <c r="C209" s="158" t="s">
        <v>306</v>
      </c>
      <c r="E209" s="268" t="str">
        <f ca="1">_xll.DBRA(Server&amp;$C$24,$C209,$F$21)</f>
        <v>Services bancaires (RH)</v>
      </c>
      <c r="F209" s="268"/>
      <c r="G209" s="268"/>
      <c r="H209" s="40"/>
      <c r="I209" s="221" t="str">
        <f ca="1">_xll.DBRW(Server&amp;Cube1,$F$17,$F$18,$F$19,$F$16,$C$14,$F$15,$F$14,$F$20,I$2,I$1,$C209)</f>
        <v/>
      </c>
      <c r="J209" s="221" t="str">
        <f ca="1">_xll.DBRW(Server&amp;Cube1,$F$17,$F$18,$F$19,$F$16,$C$14,$F$15,$F$14,$F$20,J$2,J$1,$C209)</f>
        <v/>
      </c>
      <c r="K209" s="221" t="e">
        <f ca="1">_xll.DBRW(Server&amp;Cube1,$F$17,$F$18,$F$19,$F$16,$C$14,$F$15,$F$14,$F$20,I$2,I$1,$C209) -_xll.DBRW(Server&amp;Cube1,$F$17,$F$18,$F$19,$F$16,$C$14,$F$15,$F$14,$F$20,K$2,I$1,$C209)</f>
        <v>#VALUE!</v>
      </c>
      <c r="L209" s="221" t="e">
        <f t="shared" ca="1" si="8"/>
        <v>#VALUE!</v>
      </c>
      <c r="M209" s="221" t="e">
        <f t="shared" ca="1" si="7"/>
        <v>#VALUE!</v>
      </c>
      <c r="N209" s="226"/>
      <c r="O209" s="221" t="str">
        <f ca="1">_xll.DBRW(Server&amp;Cube1,$F$17,$F$18,$F$19,$F$16,$C$14,$F$15,$F$14,$F$20,O$2,O$1,$C209)</f>
        <v/>
      </c>
      <c r="P209" s="226"/>
      <c r="Q209" s="240" t="str">
        <f ca="1">IF(_xll.ELCOMPN(Server&amp;$C$24,C209)=0,"YES","NO")</f>
        <v>YES</v>
      </c>
      <c r="R209" s="241">
        <v>0</v>
      </c>
      <c r="S209" s="226"/>
      <c r="T209" s="227" t="str">
        <f ca="1">_xll.DBRW(Server&amp;Cube1,$F$17,$F$18,$F$19,$F$16,$C$14,$F$15,$F$14,$F$20,T$2,$T$1,$C209)</f>
        <v/>
      </c>
      <c r="U209" s="227" t="str">
        <f ca="1">_xll.DBRW(Server&amp;Cube1,$F$17,$F$18,$F$19,$F$16,$C$14,$F$15,$F$14,$F$20,U$2,$U$1,$C209)</f>
        <v/>
      </c>
      <c r="V209" s="227" t="str">
        <f ca="1">_xll.DBRW(Server&amp;Cube1,$F$17,$F$18,$F$19,$F$16,$C$14,$F$15,$F$14,$F$20,V$2,V$1,$C209)</f>
        <v/>
      </c>
      <c r="W209" s="227" t="str">
        <f ca="1">_xll.DBRW(Server&amp;Cube1,$F$17,$F$18,$F$19,$F$16,$C$14,$F$15,$F$14,$F$20,W$2,W$1,$C209)</f>
        <v/>
      </c>
      <c r="X209" s="227" t="str">
        <f ca="1">_xll.DBRW(Server&amp;Cube1,$F$17,$F$18,$F$19,$F$16,$C$14,$F$15,$F$14,$F$20,X$2,X$1,$C209)</f>
        <v/>
      </c>
      <c r="Y209" s="227" t="str">
        <f ca="1">_xll.DBRW(Server&amp;Cube1,$F$17,$F$18,$F$19,$F$16,$C$14,$F$15,$F$14,$F$20,Y$2,Y$1,$C209)</f>
        <v/>
      </c>
      <c r="Z209" s="241"/>
      <c r="AA209" s="241"/>
      <c r="AB209" s="241"/>
      <c r="AC209" s="241"/>
      <c r="AD209" s="241"/>
      <c r="AE209" s="241"/>
      <c r="AF209" s="221" t="str">
        <f ca="1">_xll.DBRW(Server&amp;Cube1,$F$17,$F$18,$F$19,$F$16,$C$14,$F$15,$F$14,$F$20,AF$2,$AF$1,$C209)</f>
        <v/>
      </c>
      <c r="AG209" s="53"/>
      <c r="AH209" s="53"/>
      <c r="AI209" s="53"/>
      <c r="AJ209" s="53"/>
      <c r="AK209" s="53"/>
      <c r="AL209" s="53"/>
      <c r="AM209" s="53"/>
      <c r="AN209" s="53"/>
      <c r="AO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:53" s="9" customFormat="1" ht="24.95" customHeight="1" x14ac:dyDescent="0.35">
      <c r="A210" s="181" t="e">
        <f ca="1">IF($AT$35="YES",1,IF(_xll.ELCOMPN(Server&amp;$C$24,C210)&lt;&gt;0,1,IF(OR(B210=$AZ$35,B210="ALL"),1,0)))</f>
        <v>#VALUE!</v>
      </c>
      <c r="B210" s="163" t="str">
        <f t="shared" si="9"/>
        <v>GM</v>
      </c>
      <c r="C210" s="158" t="s">
        <v>307</v>
      </c>
      <c r="E210" s="268" t="str">
        <f ca="1">_xll.DBRA(Server&amp;$C$24,$C210,$F$21)</f>
        <v>Services bancaires (DG)</v>
      </c>
      <c r="F210" s="268"/>
      <c r="G210" s="268"/>
      <c r="H210" s="40"/>
      <c r="I210" s="221" t="str">
        <f ca="1">_xll.DBRW(Server&amp;Cube1,$F$17,$F$18,$F$19,$F$16,$C$14,$F$15,$F$14,$F$20,I$2,I$1,$C210)</f>
        <v/>
      </c>
      <c r="J210" s="221" t="str">
        <f ca="1">_xll.DBRW(Server&amp;Cube1,$F$17,$F$18,$F$19,$F$16,$C$14,$F$15,$F$14,$F$20,J$2,J$1,$C210)</f>
        <v/>
      </c>
      <c r="K210" s="221" t="e">
        <f ca="1">_xll.DBRW(Server&amp;Cube1,$F$17,$F$18,$F$19,$F$16,$C$14,$F$15,$F$14,$F$20,I$2,I$1,$C210) -_xll.DBRW(Server&amp;Cube1,$F$17,$F$18,$F$19,$F$16,$C$14,$F$15,$F$14,$F$20,K$2,I$1,$C210)</f>
        <v>#VALUE!</v>
      </c>
      <c r="L210" s="221" t="e">
        <f t="shared" ca="1" si="8"/>
        <v>#VALUE!</v>
      </c>
      <c r="M210" s="221" t="e">
        <f t="shared" ca="1" si="7"/>
        <v>#VALUE!</v>
      </c>
      <c r="N210" s="226"/>
      <c r="O210" s="221" t="str">
        <f ca="1">_xll.DBRW(Server&amp;Cube1,$F$17,$F$18,$F$19,$F$16,$C$14,$F$15,$F$14,$F$20,O$2,O$1,$C210)</f>
        <v/>
      </c>
      <c r="P210" s="226"/>
      <c r="Q210" s="240" t="str">
        <f ca="1">IF(_xll.ELCOMPN(Server&amp;$C$24,C210)=0,"YES","NO")</f>
        <v>YES</v>
      </c>
      <c r="R210" s="241">
        <v>0</v>
      </c>
      <c r="S210" s="226"/>
      <c r="T210" s="227" t="str">
        <f ca="1">_xll.DBRW(Server&amp;Cube1,$F$17,$F$18,$F$19,$F$16,$C$14,$F$15,$F$14,$F$20,T$2,$T$1,$C210)</f>
        <v/>
      </c>
      <c r="U210" s="227" t="str">
        <f ca="1">_xll.DBRW(Server&amp;Cube1,$F$17,$F$18,$F$19,$F$16,$C$14,$F$15,$F$14,$F$20,U$2,$U$1,$C210)</f>
        <v/>
      </c>
      <c r="V210" s="227" t="str">
        <f ca="1">_xll.DBRW(Server&amp;Cube1,$F$17,$F$18,$F$19,$F$16,$C$14,$F$15,$F$14,$F$20,V$2,V$1,$C210)</f>
        <v/>
      </c>
      <c r="W210" s="227" t="str">
        <f ca="1">_xll.DBRW(Server&amp;Cube1,$F$17,$F$18,$F$19,$F$16,$C$14,$F$15,$F$14,$F$20,W$2,W$1,$C210)</f>
        <v/>
      </c>
      <c r="X210" s="227" t="str">
        <f ca="1">_xll.DBRW(Server&amp;Cube1,$F$17,$F$18,$F$19,$F$16,$C$14,$F$15,$F$14,$F$20,X$2,X$1,$C210)</f>
        <v/>
      </c>
      <c r="Y210" s="227" t="str">
        <f ca="1">_xll.DBRW(Server&amp;Cube1,$F$17,$F$18,$F$19,$F$16,$C$14,$F$15,$F$14,$F$20,Y$2,Y$1,$C210)</f>
        <v/>
      </c>
      <c r="Z210" s="241"/>
      <c r="AA210" s="241"/>
      <c r="AB210" s="241"/>
      <c r="AC210" s="241"/>
      <c r="AD210" s="241"/>
      <c r="AE210" s="241"/>
      <c r="AF210" s="221" t="str">
        <f ca="1">_xll.DBRW(Server&amp;Cube1,$F$17,$F$18,$F$19,$F$16,$C$14,$F$15,$F$14,$F$20,AF$2,$AF$1,$C210)</f>
        <v/>
      </c>
      <c r="AG210" s="53"/>
      <c r="AH210" s="53"/>
      <c r="AI210" s="53"/>
      <c r="AJ210" s="53"/>
      <c r="AK210" s="53"/>
      <c r="AL210" s="53"/>
      <c r="AM210" s="53"/>
      <c r="AN210" s="53"/>
      <c r="AO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:53" s="9" customFormat="1" ht="24.95" customHeight="1" x14ac:dyDescent="0.35">
      <c r="A211" s="181" t="e">
        <f ca="1">IF($AT$35="YES",1,IF(_xll.ELCOMPN(Server&amp;$C$24,C211)&lt;&gt;0,1,IF(OR(B211=$AZ$35,B211="ALL"),1,0)))</f>
        <v>#VALUE!</v>
      </c>
      <c r="B211" s="163" t="str">
        <f t="shared" si="9"/>
        <v>IA</v>
      </c>
      <c r="C211" s="158" t="s">
        <v>308</v>
      </c>
      <c r="E211" s="268" t="str">
        <f ca="1">_xll.DBRA(Server&amp;$C$24,$C211,$F$21)</f>
        <v>Services bancaires (AI)</v>
      </c>
      <c r="F211" s="268"/>
      <c r="G211" s="268"/>
      <c r="H211" s="40"/>
      <c r="I211" s="221" t="str">
        <f ca="1">_xll.DBRW(Server&amp;Cube1,$F$17,$F$18,$F$19,$F$16,$C$14,$F$15,$F$14,$F$20,I$2,I$1,$C211)</f>
        <v/>
      </c>
      <c r="J211" s="221" t="str">
        <f ca="1">_xll.DBRW(Server&amp;Cube1,$F$17,$F$18,$F$19,$F$16,$C$14,$F$15,$F$14,$F$20,J$2,J$1,$C211)</f>
        <v/>
      </c>
      <c r="K211" s="221" t="e">
        <f ca="1">_xll.DBRW(Server&amp;Cube1,$F$17,$F$18,$F$19,$F$16,$C$14,$F$15,$F$14,$F$20,I$2,I$1,$C211) -_xll.DBRW(Server&amp;Cube1,$F$17,$F$18,$F$19,$F$16,$C$14,$F$15,$F$14,$F$20,K$2,I$1,$C211)</f>
        <v>#VALUE!</v>
      </c>
      <c r="L211" s="221" t="e">
        <f t="shared" ca="1" si="8"/>
        <v>#VALUE!</v>
      </c>
      <c r="M211" s="221" t="e">
        <f t="shared" ca="1" si="7"/>
        <v>#VALUE!</v>
      </c>
      <c r="N211" s="226"/>
      <c r="O211" s="221" t="str">
        <f ca="1">_xll.DBRW(Server&amp;Cube1,$F$17,$F$18,$F$19,$F$16,$C$14,$F$15,$F$14,$F$20,O$2,O$1,$C211)</f>
        <v/>
      </c>
      <c r="P211" s="226"/>
      <c r="Q211" s="240" t="str">
        <f ca="1">IF(_xll.ELCOMPN(Server&amp;$C$24,C211)=0,"YES","NO")</f>
        <v>YES</v>
      </c>
      <c r="R211" s="241">
        <v>0</v>
      </c>
      <c r="S211" s="226"/>
      <c r="T211" s="227" t="str">
        <f ca="1">_xll.DBRW(Server&amp;Cube1,$F$17,$F$18,$F$19,$F$16,$C$14,$F$15,$F$14,$F$20,T$2,$T$1,$C211)</f>
        <v/>
      </c>
      <c r="U211" s="227" t="str">
        <f ca="1">_xll.DBRW(Server&amp;Cube1,$F$17,$F$18,$F$19,$F$16,$C$14,$F$15,$F$14,$F$20,U$2,$U$1,$C211)</f>
        <v/>
      </c>
      <c r="V211" s="227" t="str">
        <f ca="1">_xll.DBRW(Server&amp;Cube1,$F$17,$F$18,$F$19,$F$16,$C$14,$F$15,$F$14,$F$20,V$2,V$1,$C211)</f>
        <v/>
      </c>
      <c r="W211" s="227" t="str">
        <f ca="1">_xll.DBRW(Server&amp;Cube1,$F$17,$F$18,$F$19,$F$16,$C$14,$F$15,$F$14,$F$20,W$2,W$1,$C211)</f>
        <v/>
      </c>
      <c r="X211" s="227" t="str">
        <f ca="1">_xll.DBRW(Server&amp;Cube1,$F$17,$F$18,$F$19,$F$16,$C$14,$F$15,$F$14,$F$20,X$2,X$1,$C211)</f>
        <v/>
      </c>
      <c r="Y211" s="227" t="str">
        <f ca="1">_xll.DBRW(Server&amp;Cube1,$F$17,$F$18,$F$19,$F$16,$C$14,$F$15,$F$14,$F$20,Y$2,Y$1,$C211)</f>
        <v/>
      </c>
      <c r="Z211" s="241"/>
      <c r="AA211" s="241"/>
      <c r="AB211" s="241"/>
      <c r="AC211" s="241"/>
      <c r="AD211" s="241"/>
      <c r="AE211" s="241"/>
      <c r="AF211" s="221" t="str">
        <f ca="1">_xll.DBRW(Server&amp;Cube1,$F$17,$F$18,$F$19,$F$16,$C$14,$F$15,$F$14,$F$20,AF$2,$AF$1,$C211)</f>
        <v/>
      </c>
      <c r="AG211" s="53"/>
      <c r="AH211" s="53"/>
      <c r="AI211" s="53"/>
      <c r="AJ211" s="53"/>
      <c r="AK211" s="53"/>
      <c r="AL211" s="53"/>
      <c r="AM211" s="53"/>
      <c r="AN211" s="53"/>
      <c r="AO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:53" s="9" customFormat="1" ht="24.95" customHeight="1" x14ac:dyDescent="0.35">
      <c r="A212" s="181" t="e">
        <f ca="1">IF($AT$35="YES",1,IF(_xll.ELCOMPN(Server&amp;$C$24,C212)&lt;&gt;0,1,IF(OR(B212=$AZ$35,B212="ALL"),1,0)))</f>
        <v>#VALUE!</v>
      </c>
      <c r="B212" s="163" t="str">
        <f t="shared" si="9"/>
        <v>LE</v>
      </c>
      <c r="C212" s="158" t="s">
        <v>309</v>
      </c>
      <c r="E212" s="268" t="str">
        <f ca="1">_xll.DBRA(Server&amp;$C$24,$C212,$F$21)</f>
        <v>Services bancaires (JU)</v>
      </c>
      <c r="F212" s="268"/>
      <c r="G212" s="268"/>
      <c r="H212" s="40"/>
      <c r="I212" s="221" t="str">
        <f ca="1">_xll.DBRW(Server&amp;Cube1,$F$17,$F$18,$F$19,$F$16,$C$14,$F$15,$F$14,$F$20,I$2,I$1,$C212)</f>
        <v/>
      </c>
      <c r="J212" s="221" t="str">
        <f ca="1">_xll.DBRW(Server&amp;Cube1,$F$17,$F$18,$F$19,$F$16,$C$14,$F$15,$F$14,$F$20,J$2,J$1,$C212)</f>
        <v/>
      </c>
      <c r="K212" s="221" t="e">
        <f ca="1">_xll.DBRW(Server&amp;Cube1,$F$17,$F$18,$F$19,$F$16,$C$14,$F$15,$F$14,$F$20,I$2,I$1,$C212) -_xll.DBRW(Server&amp;Cube1,$F$17,$F$18,$F$19,$F$16,$C$14,$F$15,$F$14,$F$20,K$2,I$1,$C212)</f>
        <v>#VALUE!</v>
      </c>
      <c r="L212" s="221" t="e">
        <f t="shared" ca="1" si="8"/>
        <v>#VALUE!</v>
      </c>
      <c r="M212" s="221" t="e">
        <f t="shared" ca="1" si="7"/>
        <v>#VALUE!</v>
      </c>
      <c r="N212" s="226"/>
      <c r="O212" s="221" t="str">
        <f ca="1">_xll.DBRW(Server&amp;Cube1,$F$17,$F$18,$F$19,$F$16,$C$14,$F$15,$F$14,$F$20,O$2,O$1,$C212)</f>
        <v/>
      </c>
      <c r="P212" s="226"/>
      <c r="Q212" s="240" t="str">
        <f ca="1">IF(_xll.ELCOMPN(Server&amp;$C$24,C212)=0,"YES","NO")</f>
        <v>YES</v>
      </c>
      <c r="R212" s="241">
        <v>0</v>
      </c>
      <c r="S212" s="226"/>
      <c r="T212" s="227" t="str">
        <f ca="1">_xll.DBRW(Server&amp;Cube1,$F$17,$F$18,$F$19,$F$16,$C$14,$F$15,$F$14,$F$20,T$2,$T$1,$C212)</f>
        <v/>
      </c>
      <c r="U212" s="227" t="str">
        <f ca="1">_xll.DBRW(Server&amp;Cube1,$F$17,$F$18,$F$19,$F$16,$C$14,$F$15,$F$14,$F$20,U$2,$U$1,$C212)</f>
        <v/>
      </c>
      <c r="V212" s="227" t="str">
        <f ca="1">_xll.DBRW(Server&amp;Cube1,$F$17,$F$18,$F$19,$F$16,$C$14,$F$15,$F$14,$F$20,V$2,V$1,$C212)</f>
        <v/>
      </c>
      <c r="W212" s="227" t="str">
        <f ca="1">_xll.DBRW(Server&amp;Cube1,$F$17,$F$18,$F$19,$F$16,$C$14,$F$15,$F$14,$F$20,W$2,W$1,$C212)</f>
        <v/>
      </c>
      <c r="X212" s="227" t="str">
        <f ca="1">_xll.DBRW(Server&amp;Cube1,$F$17,$F$18,$F$19,$F$16,$C$14,$F$15,$F$14,$F$20,X$2,X$1,$C212)</f>
        <v/>
      </c>
      <c r="Y212" s="227" t="str">
        <f ca="1">_xll.DBRW(Server&amp;Cube1,$F$17,$F$18,$F$19,$F$16,$C$14,$F$15,$F$14,$F$20,Y$2,Y$1,$C212)</f>
        <v/>
      </c>
      <c r="Z212" s="241"/>
      <c r="AA212" s="241"/>
      <c r="AB212" s="241"/>
      <c r="AC212" s="241"/>
      <c r="AD212" s="241"/>
      <c r="AE212" s="241"/>
      <c r="AF212" s="221" t="str">
        <f ca="1">_xll.DBRW(Server&amp;Cube1,$F$17,$F$18,$F$19,$F$16,$C$14,$F$15,$F$14,$F$20,AF$2,$AF$1,$C212)</f>
        <v/>
      </c>
      <c r="AG212" s="53"/>
      <c r="AH212" s="53"/>
      <c r="AI212" s="53"/>
      <c r="AJ212" s="53"/>
      <c r="AK212" s="53"/>
      <c r="AL212" s="53"/>
      <c r="AM212" s="53"/>
      <c r="AN212" s="53"/>
      <c r="AO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:53" s="9" customFormat="1" ht="24.95" customHeight="1" x14ac:dyDescent="0.35">
      <c r="A213" s="181" t="e">
        <f ca="1">IF($AT$35="YES",1,IF(_xll.ELCOMPN(Server&amp;$C$24,C213)&lt;&gt;0,1,IF(OR(B213=$AZ$35,B213="ALL"),1,0)))</f>
        <v>#VALUE!</v>
      </c>
      <c r="B213" s="163" t="str">
        <f t="shared" si="9"/>
        <v>RM</v>
      </c>
      <c r="C213" s="158" t="s">
        <v>310</v>
      </c>
      <c r="E213" s="268" t="str">
        <f ca="1">_xll.DBRA(Server&amp;$C$24,$C213,$F$21)</f>
        <v>Services bancaires (GR)</v>
      </c>
      <c r="F213" s="268"/>
      <c r="G213" s="268"/>
      <c r="H213" s="40"/>
      <c r="I213" s="221" t="str">
        <f ca="1">_xll.DBRW(Server&amp;Cube1,$F$17,$F$18,$F$19,$F$16,$C$14,$F$15,$F$14,$F$20,I$2,I$1,$C213)</f>
        <v/>
      </c>
      <c r="J213" s="221" t="str">
        <f ca="1">_xll.DBRW(Server&amp;Cube1,$F$17,$F$18,$F$19,$F$16,$C$14,$F$15,$F$14,$F$20,J$2,J$1,$C213)</f>
        <v/>
      </c>
      <c r="K213" s="221" t="e">
        <f ca="1">_xll.DBRW(Server&amp;Cube1,$F$17,$F$18,$F$19,$F$16,$C$14,$F$15,$F$14,$F$20,I$2,I$1,$C213) -_xll.DBRW(Server&amp;Cube1,$F$17,$F$18,$F$19,$F$16,$C$14,$F$15,$F$14,$F$20,K$2,I$1,$C213)</f>
        <v>#VALUE!</v>
      </c>
      <c r="L213" s="221" t="e">
        <f t="shared" ca="1" si="8"/>
        <v>#VALUE!</v>
      </c>
      <c r="M213" s="221" t="e">
        <f t="shared" ca="1" si="7"/>
        <v>#VALUE!</v>
      </c>
      <c r="N213" s="226"/>
      <c r="O213" s="221" t="str">
        <f ca="1">_xll.DBRW(Server&amp;Cube1,$F$17,$F$18,$F$19,$F$16,$C$14,$F$15,$F$14,$F$20,O$2,O$1,$C213)</f>
        <v/>
      </c>
      <c r="P213" s="226"/>
      <c r="Q213" s="240" t="str">
        <f ca="1">IF(_xll.ELCOMPN(Server&amp;$C$24,C213)=0,"YES","NO")</f>
        <v>YES</v>
      </c>
      <c r="R213" s="241">
        <v>0</v>
      </c>
      <c r="S213" s="226"/>
      <c r="T213" s="227" t="str">
        <f ca="1">_xll.DBRW(Server&amp;Cube1,$F$17,$F$18,$F$19,$F$16,$C$14,$F$15,$F$14,$F$20,T$2,$T$1,$C213)</f>
        <v/>
      </c>
      <c r="U213" s="227" t="str">
        <f ca="1">_xll.DBRW(Server&amp;Cube1,$F$17,$F$18,$F$19,$F$16,$C$14,$F$15,$F$14,$F$20,U$2,$U$1,$C213)</f>
        <v/>
      </c>
      <c r="V213" s="227" t="str">
        <f ca="1">_xll.DBRW(Server&amp;Cube1,$F$17,$F$18,$F$19,$F$16,$C$14,$F$15,$F$14,$F$20,V$2,V$1,$C213)</f>
        <v/>
      </c>
      <c r="W213" s="227" t="str">
        <f ca="1">_xll.DBRW(Server&amp;Cube1,$F$17,$F$18,$F$19,$F$16,$C$14,$F$15,$F$14,$F$20,W$2,W$1,$C213)</f>
        <v/>
      </c>
      <c r="X213" s="227" t="str">
        <f ca="1">_xll.DBRW(Server&amp;Cube1,$F$17,$F$18,$F$19,$F$16,$C$14,$F$15,$F$14,$F$20,X$2,X$1,$C213)</f>
        <v/>
      </c>
      <c r="Y213" s="227" t="str">
        <f ca="1">_xll.DBRW(Server&amp;Cube1,$F$17,$F$18,$F$19,$F$16,$C$14,$F$15,$F$14,$F$20,Y$2,Y$1,$C213)</f>
        <v/>
      </c>
      <c r="Z213" s="241"/>
      <c r="AA213" s="241"/>
      <c r="AB213" s="241"/>
      <c r="AC213" s="241"/>
      <c r="AD213" s="241"/>
      <c r="AE213" s="241"/>
      <c r="AF213" s="221" t="str">
        <f ca="1">_xll.DBRW(Server&amp;Cube1,$F$17,$F$18,$F$19,$F$16,$C$14,$F$15,$F$14,$F$20,AF$2,$AF$1,$C213)</f>
        <v/>
      </c>
      <c r="AG213" s="53"/>
      <c r="AH213" s="53"/>
      <c r="AI213" s="53"/>
      <c r="AJ213" s="53"/>
      <c r="AK213" s="53"/>
      <c r="AL213" s="53"/>
      <c r="AM213" s="53"/>
      <c r="AN213" s="53"/>
      <c r="AO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:53" s="9" customFormat="1" ht="24.95" customHeight="1" x14ac:dyDescent="0.35">
      <c r="A214" s="181" t="e">
        <f ca="1">IF($AT$35="YES",1,IF(_xll.ELCOMPN(Server&amp;$C$24,C214)&lt;&gt;0,1,IF(OR(B214=$AZ$35,B214="ALL"),1,0)))</f>
        <v>#VALUE!</v>
      </c>
      <c r="B214" s="163" t="str">
        <f t="shared" si="9"/>
        <v>PU</v>
      </c>
      <c r="C214" s="158" t="s">
        <v>311</v>
      </c>
      <c r="E214" s="268" t="str">
        <f ca="1">_xll.DBRA(Server&amp;$C$24,$C214,$F$21)</f>
        <v>Services bancaires (AC)</v>
      </c>
      <c r="F214" s="268"/>
      <c r="G214" s="268"/>
      <c r="H214" s="40"/>
      <c r="I214" s="221" t="str">
        <f ca="1">_xll.DBRW(Server&amp;Cube1,$F$17,$F$18,$F$19,$F$16,$C$14,$F$15,$F$14,$F$20,I$2,I$1,$C214)</f>
        <v/>
      </c>
      <c r="J214" s="221" t="str">
        <f ca="1">_xll.DBRW(Server&amp;Cube1,$F$17,$F$18,$F$19,$F$16,$C$14,$F$15,$F$14,$F$20,J$2,J$1,$C214)</f>
        <v/>
      </c>
      <c r="K214" s="221" t="e">
        <f ca="1">_xll.DBRW(Server&amp;Cube1,$F$17,$F$18,$F$19,$F$16,$C$14,$F$15,$F$14,$F$20,I$2,I$1,$C214) -_xll.DBRW(Server&amp;Cube1,$F$17,$F$18,$F$19,$F$16,$C$14,$F$15,$F$14,$F$20,K$2,I$1,$C214)</f>
        <v>#VALUE!</v>
      </c>
      <c r="L214" s="221" t="e">
        <f t="shared" ca="1" si="8"/>
        <v>#VALUE!</v>
      </c>
      <c r="M214" s="221" t="e">
        <f t="shared" ca="1" si="7"/>
        <v>#VALUE!</v>
      </c>
      <c r="N214" s="226"/>
      <c r="O214" s="221" t="str">
        <f ca="1">_xll.DBRW(Server&amp;Cube1,$F$17,$F$18,$F$19,$F$16,$C$14,$F$15,$F$14,$F$20,O$2,O$1,$C214)</f>
        <v/>
      </c>
      <c r="P214" s="226"/>
      <c r="Q214" s="240" t="str">
        <f ca="1">IF(_xll.ELCOMPN(Server&amp;$C$24,C214)=0,"YES","NO")</f>
        <v>YES</v>
      </c>
      <c r="R214" s="241">
        <v>0</v>
      </c>
      <c r="S214" s="226"/>
      <c r="T214" s="227" t="str">
        <f ca="1">_xll.DBRW(Server&amp;Cube1,$F$17,$F$18,$F$19,$F$16,$C$14,$F$15,$F$14,$F$20,T$2,$T$1,$C214)</f>
        <v/>
      </c>
      <c r="U214" s="227" t="str">
        <f ca="1">_xll.DBRW(Server&amp;Cube1,$F$17,$F$18,$F$19,$F$16,$C$14,$F$15,$F$14,$F$20,U$2,$U$1,$C214)</f>
        <v/>
      </c>
      <c r="V214" s="227" t="str">
        <f ca="1">_xll.DBRW(Server&amp;Cube1,$F$17,$F$18,$F$19,$F$16,$C$14,$F$15,$F$14,$F$20,V$2,V$1,$C214)</f>
        <v/>
      </c>
      <c r="W214" s="227" t="str">
        <f ca="1">_xll.DBRW(Server&amp;Cube1,$F$17,$F$18,$F$19,$F$16,$C$14,$F$15,$F$14,$F$20,W$2,W$1,$C214)</f>
        <v/>
      </c>
      <c r="X214" s="227" t="str">
        <f ca="1">_xll.DBRW(Server&amp;Cube1,$F$17,$F$18,$F$19,$F$16,$C$14,$F$15,$F$14,$F$20,X$2,X$1,$C214)</f>
        <v/>
      </c>
      <c r="Y214" s="227" t="str">
        <f ca="1">_xll.DBRW(Server&amp;Cube1,$F$17,$F$18,$F$19,$F$16,$C$14,$F$15,$F$14,$F$20,Y$2,Y$1,$C214)</f>
        <v/>
      </c>
      <c r="Z214" s="241"/>
      <c r="AA214" s="241"/>
      <c r="AB214" s="241"/>
      <c r="AC214" s="241"/>
      <c r="AD214" s="241"/>
      <c r="AE214" s="241"/>
      <c r="AF214" s="221" t="str">
        <f ca="1">_xll.DBRW(Server&amp;Cube1,$F$17,$F$18,$F$19,$F$16,$C$14,$F$15,$F$14,$F$20,AF$2,$AF$1,$C214)</f>
        <v/>
      </c>
      <c r="AG214" s="53"/>
      <c r="AH214" s="53"/>
      <c r="AI214" s="53"/>
      <c r="AJ214" s="53"/>
      <c r="AK214" s="53"/>
      <c r="AL214" s="53"/>
      <c r="AM214" s="53"/>
      <c r="AN214" s="53"/>
      <c r="AO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:53" s="9" customFormat="1" ht="24.95" customHeight="1" x14ac:dyDescent="0.35">
      <c r="A215" s="181" t="e">
        <f ca="1">IF($AT$35="YES",1,IF(_xll.ELCOMPN(Server&amp;$C$24,C215)&lt;&gt;0,1,IF(OR(B215=$AZ$35,B215="ALL"),1,0)))</f>
        <v>#VALUE!</v>
      </c>
      <c r="B215" s="163" t="str">
        <f t="shared" si="9"/>
        <v>CO</v>
      </c>
      <c r="C215" s="158" t="s">
        <v>312</v>
      </c>
      <c r="E215" s="268" t="str">
        <f ca="1">_xll.DBRA(Server&amp;$C$24,$C215,$F$21)</f>
        <v>Services bancaires (CO)</v>
      </c>
      <c r="F215" s="268"/>
      <c r="G215" s="268"/>
      <c r="H215" s="40"/>
      <c r="I215" s="221" t="str">
        <f ca="1">_xll.DBRW(Server&amp;Cube1,$F$17,$F$18,$F$19,$F$16,$C$14,$F$15,$F$14,$F$20,I$2,I$1,$C215)</f>
        <v/>
      </c>
      <c r="J215" s="221" t="str">
        <f ca="1">_xll.DBRW(Server&amp;Cube1,$F$17,$F$18,$F$19,$F$16,$C$14,$F$15,$F$14,$F$20,J$2,J$1,$C215)</f>
        <v/>
      </c>
      <c r="K215" s="221" t="e">
        <f ca="1">_xll.DBRW(Server&amp;Cube1,$F$17,$F$18,$F$19,$F$16,$C$14,$F$15,$F$14,$F$20,I$2,I$1,$C215) -_xll.DBRW(Server&amp;Cube1,$F$17,$F$18,$F$19,$F$16,$C$14,$F$15,$F$14,$F$20,K$2,I$1,$C215)</f>
        <v>#VALUE!</v>
      </c>
      <c r="L215" s="221" t="e">
        <f t="shared" ca="1" si="8"/>
        <v>#VALUE!</v>
      </c>
      <c r="M215" s="221" t="e">
        <f t="shared" ca="1" si="7"/>
        <v>#VALUE!</v>
      </c>
      <c r="N215" s="226"/>
      <c r="O215" s="221" t="str">
        <f ca="1">_xll.DBRW(Server&amp;Cube1,$F$17,$F$18,$F$19,$F$16,$C$14,$F$15,$F$14,$F$20,O$2,O$1,$C215)</f>
        <v/>
      </c>
      <c r="P215" s="226"/>
      <c r="Q215" s="240" t="str">
        <f ca="1">IF(_xll.ELCOMPN(Server&amp;$C$24,C215)=0,"YES","NO")</f>
        <v>YES</v>
      </c>
      <c r="R215" s="241">
        <v>0</v>
      </c>
      <c r="S215" s="226"/>
      <c r="T215" s="227" t="str">
        <f ca="1">_xll.DBRW(Server&amp;Cube1,$F$17,$F$18,$F$19,$F$16,$C$14,$F$15,$F$14,$F$20,T$2,$T$1,$C215)</f>
        <v/>
      </c>
      <c r="U215" s="227" t="str">
        <f ca="1">_xll.DBRW(Server&amp;Cube1,$F$17,$F$18,$F$19,$F$16,$C$14,$F$15,$F$14,$F$20,U$2,$U$1,$C215)</f>
        <v/>
      </c>
      <c r="V215" s="227" t="str">
        <f ca="1">_xll.DBRW(Server&amp;Cube1,$F$17,$F$18,$F$19,$F$16,$C$14,$F$15,$F$14,$F$20,V$2,V$1,$C215)</f>
        <v/>
      </c>
      <c r="W215" s="227" t="str">
        <f ca="1">_xll.DBRW(Server&amp;Cube1,$F$17,$F$18,$F$19,$F$16,$C$14,$F$15,$F$14,$F$20,W$2,W$1,$C215)</f>
        <v/>
      </c>
      <c r="X215" s="227" t="str">
        <f ca="1">_xll.DBRW(Server&amp;Cube1,$F$17,$F$18,$F$19,$F$16,$C$14,$F$15,$F$14,$F$20,X$2,X$1,$C215)</f>
        <v/>
      </c>
      <c r="Y215" s="227" t="str">
        <f ca="1">_xll.DBRW(Server&amp;Cube1,$F$17,$F$18,$F$19,$F$16,$C$14,$F$15,$F$14,$F$20,Y$2,Y$1,$C215)</f>
        <v/>
      </c>
      <c r="Z215" s="241"/>
      <c r="AA215" s="241"/>
      <c r="AB215" s="241"/>
      <c r="AC215" s="241"/>
      <c r="AD215" s="241"/>
      <c r="AE215" s="241"/>
      <c r="AF215" s="221" t="str">
        <f ca="1">_xll.DBRW(Server&amp;Cube1,$F$17,$F$18,$F$19,$F$16,$C$14,$F$15,$F$14,$F$20,AF$2,$AF$1,$C215)</f>
        <v/>
      </c>
      <c r="AG215" s="53"/>
      <c r="AH215" s="53"/>
      <c r="AI215" s="53"/>
      <c r="AJ215" s="53"/>
      <c r="AK215" s="53"/>
      <c r="AL215" s="53"/>
      <c r="AM215" s="53"/>
      <c r="AN215" s="53"/>
      <c r="AO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:53" s="9" customFormat="1" ht="24.95" customHeight="1" x14ac:dyDescent="0.35">
      <c r="A216" s="181" t="e">
        <f ca="1">IF($AT$35="YES",1,IF(_xll.ELCOMPN(Server&amp;$C$24,C216)&lt;&gt;0,1,IF(OR(B216=$AZ$35,B216="ALL"),1,0)))</f>
        <v>#VALUE!</v>
      </c>
      <c r="B216" s="163" t="str">
        <f t="shared" si="9"/>
        <v>GS</v>
      </c>
      <c r="C216" s="158" t="s">
        <v>313</v>
      </c>
      <c r="E216" s="268" t="str">
        <f ca="1">_xll.DBRA(Server&amp;$C$24,$C216,$F$21)</f>
        <v>Services bancaires (SG)</v>
      </c>
      <c r="F216" s="268"/>
      <c r="G216" s="268"/>
      <c r="H216" s="40"/>
      <c r="I216" s="221" t="str">
        <f ca="1">_xll.DBRW(Server&amp;Cube1,$F$17,$F$18,$F$19,$F$16,$C$14,$F$15,$F$14,$F$20,I$2,I$1,$C216)</f>
        <v/>
      </c>
      <c r="J216" s="221" t="str">
        <f ca="1">_xll.DBRW(Server&amp;Cube1,$F$17,$F$18,$F$19,$F$16,$C$14,$F$15,$F$14,$F$20,J$2,J$1,$C216)</f>
        <v/>
      </c>
      <c r="K216" s="221" t="e">
        <f ca="1">_xll.DBRW(Server&amp;Cube1,$F$17,$F$18,$F$19,$F$16,$C$14,$F$15,$F$14,$F$20,I$2,I$1,$C216) -_xll.DBRW(Server&amp;Cube1,$F$17,$F$18,$F$19,$F$16,$C$14,$F$15,$F$14,$F$20,K$2,I$1,$C216)</f>
        <v>#VALUE!</v>
      </c>
      <c r="L216" s="221" t="e">
        <f t="shared" ca="1" si="8"/>
        <v>#VALUE!</v>
      </c>
      <c r="M216" s="221" t="e">
        <f t="shared" ca="1" si="7"/>
        <v>#VALUE!</v>
      </c>
      <c r="N216" s="226"/>
      <c r="O216" s="221" t="str">
        <f ca="1">_xll.DBRW(Server&amp;Cube1,$F$17,$F$18,$F$19,$F$16,$C$14,$F$15,$F$14,$F$20,O$2,O$1,$C216)</f>
        <v/>
      </c>
      <c r="P216" s="226"/>
      <c r="Q216" s="240" t="str">
        <f ca="1">IF(_xll.ELCOMPN(Server&amp;$C$24,C216)=0,"YES","NO")</f>
        <v>YES</v>
      </c>
      <c r="R216" s="241">
        <v>0</v>
      </c>
      <c r="S216" s="226"/>
      <c r="T216" s="227" t="str">
        <f ca="1">_xll.DBRW(Server&amp;Cube1,$F$17,$F$18,$F$19,$F$16,$C$14,$F$15,$F$14,$F$20,T$2,$T$1,$C216)</f>
        <v/>
      </c>
      <c r="U216" s="227" t="str">
        <f ca="1">_xll.DBRW(Server&amp;Cube1,$F$17,$F$18,$F$19,$F$16,$C$14,$F$15,$F$14,$F$20,U$2,$U$1,$C216)</f>
        <v/>
      </c>
      <c r="V216" s="227" t="str">
        <f ca="1">_xll.DBRW(Server&amp;Cube1,$F$17,$F$18,$F$19,$F$16,$C$14,$F$15,$F$14,$F$20,V$2,V$1,$C216)</f>
        <v/>
      </c>
      <c r="W216" s="227" t="str">
        <f ca="1">_xll.DBRW(Server&amp;Cube1,$F$17,$F$18,$F$19,$F$16,$C$14,$F$15,$F$14,$F$20,W$2,W$1,$C216)</f>
        <v/>
      </c>
      <c r="X216" s="227" t="str">
        <f ca="1">_xll.DBRW(Server&amp;Cube1,$F$17,$F$18,$F$19,$F$16,$C$14,$F$15,$F$14,$F$20,X$2,X$1,$C216)</f>
        <v/>
      </c>
      <c r="Y216" s="227" t="str">
        <f ca="1">_xll.DBRW(Server&amp;Cube1,$F$17,$F$18,$F$19,$F$16,$C$14,$F$15,$F$14,$F$20,Y$2,Y$1,$C216)</f>
        <v/>
      </c>
      <c r="Z216" s="241"/>
      <c r="AA216" s="241"/>
      <c r="AB216" s="241"/>
      <c r="AC216" s="241"/>
      <c r="AD216" s="241"/>
      <c r="AE216" s="241"/>
      <c r="AF216" s="221" t="str">
        <f ca="1">_xll.DBRW(Server&amp;Cube1,$F$17,$F$18,$F$19,$F$16,$C$14,$F$15,$F$14,$F$20,AF$2,$AF$1,$C216)</f>
        <v/>
      </c>
      <c r="AG216" s="53"/>
      <c r="AH216" s="53"/>
      <c r="AI216" s="53"/>
      <c r="AJ216" s="53"/>
      <c r="AK216" s="53"/>
      <c r="AL216" s="53"/>
      <c r="AM216" s="53"/>
      <c r="AN216" s="53"/>
      <c r="AO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:53" s="9" customFormat="1" ht="24.95" customHeight="1" x14ac:dyDescent="0.35">
      <c r="A217" s="181" t="e">
        <f ca="1">IF($AT$35="YES",1,IF(_xll.ELCOMPN(Server&amp;$C$24,C217)&lt;&gt;0,1,IF(OR(B217=$AZ$35,B217="ALL"),1,0)))</f>
        <v>#VALUE!</v>
      </c>
      <c r="B217" s="163" t="str">
        <f t="shared" si="9"/>
        <v>RD</v>
      </c>
      <c r="C217" s="158" t="s">
        <v>314</v>
      </c>
      <c r="E217" s="268" t="str">
        <f ca="1">_xll.DBRA(Server&amp;$C$24,$C217,$F$21)</f>
        <v>Services bancaires (RD)</v>
      </c>
      <c r="F217" s="268"/>
      <c r="G217" s="268"/>
      <c r="H217" s="40"/>
      <c r="I217" s="221" t="str">
        <f ca="1">_xll.DBRW(Server&amp;Cube1,$F$17,$F$18,$F$19,$F$16,$C$14,$F$15,$F$14,$F$20,I$2,I$1,$C217)</f>
        <v/>
      </c>
      <c r="J217" s="221" t="str">
        <f ca="1">_xll.DBRW(Server&amp;Cube1,$F$17,$F$18,$F$19,$F$16,$C$14,$F$15,$F$14,$F$20,J$2,J$1,$C217)</f>
        <v/>
      </c>
      <c r="K217" s="221" t="e">
        <f ca="1">_xll.DBRW(Server&amp;Cube1,$F$17,$F$18,$F$19,$F$16,$C$14,$F$15,$F$14,$F$20,I$2,I$1,$C217) -_xll.DBRW(Server&amp;Cube1,$F$17,$F$18,$F$19,$F$16,$C$14,$F$15,$F$14,$F$20,K$2,I$1,$C217)</f>
        <v>#VALUE!</v>
      </c>
      <c r="L217" s="221" t="e">
        <f t="shared" ca="1" si="8"/>
        <v>#VALUE!</v>
      </c>
      <c r="M217" s="221" t="e">
        <f t="shared" ca="1" si="7"/>
        <v>#VALUE!</v>
      </c>
      <c r="N217" s="226"/>
      <c r="O217" s="221" t="str">
        <f ca="1">_xll.DBRW(Server&amp;Cube1,$F$17,$F$18,$F$19,$F$16,$C$14,$F$15,$F$14,$F$20,O$2,O$1,$C217)</f>
        <v/>
      </c>
      <c r="P217" s="226"/>
      <c r="Q217" s="240" t="str">
        <f ca="1">IF(_xll.ELCOMPN(Server&amp;$C$24,C217)=0,"YES","NO")</f>
        <v>YES</v>
      </c>
      <c r="R217" s="241">
        <v>0</v>
      </c>
      <c r="S217" s="226"/>
      <c r="T217" s="227" t="str">
        <f ca="1">_xll.DBRW(Server&amp;Cube1,$F$17,$F$18,$F$19,$F$16,$C$14,$F$15,$F$14,$F$20,T$2,$T$1,$C217)</f>
        <v/>
      </c>
      <c r="U217" s="227" t="str">
        <f ca="1">_xll.DBRW(Server&amp;Cube1,$F$17,$F$18,$F$19,$F$16,$C$14,$F$15,$F$14,$F$20,U$2,$U$1,$C217)</f>
        <v/>
      </c>
      <c r="V217" s="227" t="str">
        <f ca="1">_xll.DBRW(Server&amp;Cube1,$F$17,$F$18,$F$19,$F$16,$C$14,$F$15,$F$14,$F$20,V$2,V$1,$C217)</f>
        <v/>
      </c>
      <c r="W217" s="227" t="str">
        <f ca="1">_xll.DBRW(Server&amp;Cube1,$F$17,$F$18,$F$19,$F$16,$C$14,$F$15,$F$14,$F$20,W$2,W$1,$C217)</f>
        <v/>
      </c>
      <c r="X217" s="227" t="str">
        <f ca="1">_xll.DBRW(Server&amp;Cube1,$F$17,$F$18,$F$19,$F$16,$C$14,$F$15,$F$14,$F$20,X$2,X$1,$C217)</f>
        <v/>
      </c>
      <c r="Y217" s="227" t="str">
        <f ca="1">_xll.DBRW(Server&amp;Cube1,$F$17,$F$18,$F$19,$F$16,$C$14,$F$15,$F$14,$F$20,Y$2,Y$1,$C217)</f>
        <v/>
      </c>
      <c r="Z217" s="241"/>
      <c r="AA217" s="241"/>
      <c r="AB217" s="241"/>
      <c r="AC217" s="241"/>
      <c r="AD217" s="241"/>
      <c r="AE217" s="241"/>
      <c r="AF217" s="221" t="str">
        <f ca="1">_xll.DBRW(Server&amp;Cube1,$F$17,$F$18,$F$19,$F$16,$C$14,$F$15,$F$14,$F$20,AF$2,$AF$1,$C217)</f>
        <v/>
      </c>
      <c r="AG217" s="53"/>
      <c r="AH217" s="53"/>
      <c r="AI217" s="53"/>
      <c r="AJ217" s="53"/>
      <c r="AK217" s="53"/>
      <c r="AL217" s="53"/>
      <c r="AM217" s="53"/>
      <c r="AN217" s="53"/>
      <c r="AO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:53" s="9" customFormat="1" ht="24.95" customHeight="1" collapsed="1" x14ac:dyDescent="0.35">
      <c r="A218" s="181">
        <f ca="1">IF($AT$35="YES",1,IF(_xll.ELCOMPN(Server&amp;$C$24,C218)&lt;&gt;0,1,IF(OR(B218=$AZ$35,B218="ALL"),1,0)))</f>
        <v>1</v>
      </c>
      <c r="B218" s="163" t="str">
        <f t="shared" si="9"/>
        <v>si</v>
      </c>
      <c r="C218" s="117" t="s">
        <v>101</v>
      </c>
      <c r="E218" s="270" t="str">
        <f ca="1">_xll.DBRA(Server&amp;$C$24,$C218,$F$21)</f>
        <v>Frais de Siège</v>
      </c>
      <c r="F218" s="270"/>
      <c r="G218" s="270"/>
      <c r="H218" s="40"/>
      <c r="I218" s="221" t="str">
        <f ca="1">_xll.DBRW(Server&amp;Cube1,$F$17,$F$18,$F$19,$F$16,$C$14,$F$15,$F$14,$F$20,I$2,I$1,$C218)</f>
        <v/>
      </c>
      <c r="J218" s="221" t="str">
        <f ca="1">_xll.DBRW(Server&amp;Cube1,$F$17,$F$18,$F$19,$F$16,$C$14,$F$15,$F$14,$F$20,J$2,J$1,$C218)</f>
        <v/>
      </c>
      <c r="K218" s="221" t="e">
        <f ca="1">_xll.DBRW(Server&amp;Cube1,$F$17,$F$18,$F$19,$F$16,$C$14,$F$15,$F$14,$F$20,I$2,I$1,$C218) -_xll.DBRW(Server&amp;Cube1,$F$17,$F$18,$F$19,$F$16,$C$14,$F$15,$F$14,$F$20,K$2,I$1,$C218)</f>
        <v>#VALUE!</v>
      </c>
      <c r="L218" s="221" t="e">
        <f t="shared" ca="1" si="8"/>
        <v>#VALUE!</v>
      </c>
      <c r="M218" s="221" t="e">
        <f t="shared" ref="M218:M281" ca="1" si="10">$L218-$I218</f>
        <v>#VALUE!</v>
      </c>
      <c r="N218" s="229"/>
      <c r="O218" s="229" t="str">
        <f ca="1">_xll.DBRW(Server&amp;Cube1,$F$17,$F$18,$F$19,$F$16,$C$14,$F$15,$F$14,$F$20,O$2,O$1,$C218)</f>
        <v/>
      </c>
      <c r="P218" s="229"/>
      <c r="Q218" s="240" t="str">
        <f ca="1">IF(_xll.ELCOMPN(Server&amp;$C$24,C218)=0,"YES","NO")</f>
        <v>NO</v>
      </c>
      <c r="R218" s="229"/>
      <c r="S218" s="229"/>
      <c r="T218" s="230" t="str">
        <f ca="1">_xll.DBRW(Server&amp;Cube1,$F$17,$F$18,$F$19,$F$16,$C$14,$F$15,$F$14,$F$20,T$2,$T$1,$C218)</f>
        <v/>
      </c>
      <c r="U218" s="230" t="str">
        <f ca="1">_xll.DBRW(Server&amp;Cube1,$F$17,$F$18,$F$19,$F$16,$C$14,$F$15,$F$14,$F$20,U$2,$U$1,$C218)</f>
        <v/>
      </c>
      <c r="V218" s="230" t="str">
        <f ca="1">_xll.DBRW(Server&amp;Cube1,$F$17,$F$18,$F$19,$F$16,$C$14,$F$15,$F$14,$F$20,V$2,V$1,$C218)</f>
        <v/>
      </c>
      <c r="W218" s="230" t="str">
        <f ca="1">_xll.DBRW(Server&amp;Cube1,$F$17,$F$18,$F$19,$F$16,$C$14,$F$15,$F$14,$F$20,W$2,W$1,$C218)</f>
        <v/>
      </c>
      <c r="X218" s="230" t="str">
        <f ca="1">_xll.DBRW(Server&amp;Cube1,$F$17,$F$18,$F$19,$F$16,$C$14,$F$15,$F$14,$F$20,X$2,X$1,$C218)</f>
        <v/>
      </c>
      <c r="Y218" s="230" t="str">
        <f ca="1">_xll.DBRW(Server&amp;Cube1,$F$17,$F$18,$F$19,$F$16,$C$14,$F$15,$F$14,$F$20,Y$2,Y$1,$C218)</f>
        <v/>
      </c>
      <c r="Z218" s="229" t="str">
        <f ca="1">_xll.DBRW(Server&amp;Cube1,$F$17,$F$18,$F$19,$F$16,$C$14,$F$15,$F$14,$F$20,Z$2,Z$1,$C218)</f>
        <v/>
      </c>
      <c r="AA218" s="229" t="str">
        <f ca="1">_xll.DBRW(Server&amp;Cube1,$F$17,$F$18,$F$19,$F$16,$C$14,$F$15,$F$14,$F$20,AA$2,AA$1,$C218)</f>
        <v/>
      </c>
      <c r="AB218" s="229" t="str">
        <f ca="1">_xll.DBRW(Server&amp;Cube1,$F$17,$F$18,$F$19,$F$16,$C$14,$F$15,$F$14,$F$20,AB$2,AB$1,$C218)</f>
        <v/>
      </c>
      <c r="AC218" s="229" t="str">
        <f ca="1">_xll.DBRW(Server&amp;Cube1,$F$17,$F$18,$F$19,$F$16,$C$14,$F$15,$F$14,$F$20,AC$2,AC$1,$C218)</f>
        <v/>
      </c>
      <c r="AD218" s="229" t="str">
        <f ca="1">_xll.DBRW(Server&amp;Cube1,$F$17,$F$18,$F$19,$F$16,$C$14,$F$15,$F$14,$F$20,AD$2,AD$1,$C218)</f>
        <v/>
      </c>
      <c r="AE218" s="229" t="str">
        <f ca="1">_xll.DBRW(Server&amp;Cube1,$F$17,$F$18,$F$19,$F$16,$C$14,$F$15,$F$14,$F$20,AE$2,AE$1,$C218)</f>
        <v/>
      </c>
      <c r="AF218" s="229" t="str">
        <f ca="1">_xll.DBRW(Server&amp;Cube1,$F$17,$F$18,$F$19,$F$16,$C$14,$F$15,$F$14,$F$20,AF$2,$AF$1,$C218)</f>
        <v/>
      </c>
      <c r="AG218" s="53"/>
      <c r="AH218" s="53"/>
      <c r="AI218" s="53"/>
      <c r="AJ218" s="53"/>
      <c r="AK218" s="53"/>
      <c r="AL218" s="53"/>
      <c r="AM218" s="53"/>
      <c r="AN218" s="53"/>
      <c r="AO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:53" s="9" customFormat="1" ht="24.95" customHeight="1" x14ac:dyDescent="0.35">
      <c r="A219" s="181" t="e">
        <f ca="1">IF($AT$35="YES",1,IF(_xll.ELCOMPN(Server&amp;$C$24,C219)&lt;&gt;0,1,IF(OR(B219=$AZ$35,B219="ALL"),1,0)))</f>
        <v>#VALUE!</v>
      </c>
      <c r="B219" s="163" t="str">
        <f t="shared" si="9"/>
        <v>GM</v>
      </c>
      <c r="C219" s="158" t="s">
        <v>315</v>
      </c>
      <c r="E219" s="268" t="str">
        <f ca="1">_xll.DBRA(Server&amp;$C$24,$C219,$F$21)</f>
        <v>Frais de Siège (DG)</v>
      </c>
      <c r="F219" s="268"/>
      <c r="G219" s="268"/>
      <c r="H219" s="40"/>
      <c r="I219" s="221" t="str">
        <f ca="1">_xll.DBRW(Server&amp;Cube1,$F$17,$F$18,$F$19,$F$16,$C$14,$F$15,$F$14,$F$20,I$2,I$1,$C219)</f>
        <v/>
      </c>
      <c r="J219" s="221" t="str">
        <f ca="1">_xll.DBRW(Server&amp;Cube1,$F$17,$F$18,$F$19,$F$16,$C$14,$F$15,$F$14,$F$20,J$2,J$1,$C219)</f>
        <v/>
      </c>
      <c r="K219" s="221" t="e">
        <f ca="1">_xll.DBRW(Server&amp;Cube1,$F$17,$F$18,$F$19,$F$16,$C$14,$F$15,$F$14,$F$20,I$2,I$1,$C219) -_xll.DBRW(Server&amp;Cube1,$F$17,$F$18,$F$19,$F$16,$C$14,$F$15,$F$14,$F$20,K$2,I$1,$C219)</f>
        <v>#VALUE!</v>
      </c>
      <c r="L219" s="221" t="e">
        <f t="shared" ca="1" si="8"/>
        <v>#VALUE!</v>
      </c>
      <c r="M219" s="221" t="e">
        <f t="shared" ca="1" si="10"/>
        <v>#VALUE!</v>
      </c>
      <c r="N219" s="226"/>
      <c r="O219" s="221" t="str">
        <f ca="1">_xll.DBRW(Server&amp;Cube1,$F$17,$F$18,$F$19,$F$16,$C$14,$F$15,$F$14,$F$20,O$2,O$1,$C219)</f>
        <v/>
      </c>
      <c r="P219" s="226"/>
      <c r="Q219" s="240" t="str">
        <f ca="1">IF(_xll.ELCOMPN(Server&amp;$C$24,C219)=0,"YES","NO")</f>
        <v>YES</v>
      </c>
      <c r="R219" s="241">
        <v>0</v>
      </c>
      <c r="S219" s="226"/>
      <c r="T219" s="227" t="str">
        <f ca="1">_xll.DBRW(Server&amp;Cube1,$F$17,$F$18,$F$19,$F$16,$C$14,$F$15,$F$14,$F$20,T$2,$T$1,$C219)</f>
        <v/>
      </c>
      <c r="U219" s="227" t="str">
        <f ca="1">_xll.DBRW(Server&amp;Cube1,$F$17,$F$18,$F$19,$F$16,$C$14,$F$15,$F$14,$F$20,U$2,$U$1,$C219)</f>
        <v/>
      </c>
      <c r="V219" s="227" t="str">
        <f ca="1">_xll.DBRW(Server&amp;Cube1,$F$17,$F$18,$F$19,$F$16,$C$14,$F$15,$F$14,$F$20,V$2,V$1,$C219)</f>
        <v/>
      </c>
      <c r="W219" s="227" t="str">
        <f ca="1">_xll.DBRW(Server&amp;Cube1,$F$17,$F$18,$F$19,$F$16,$C$14,$F$15,$F$14,$F$20,W$2,W$1,$C219)</f>
        <v/>
      </c>
      <c r="X219" s="227" t="str">
        <f ca="1">_xll.DBRW(Server&amp;Cube1,$F$17,$F$18,$F$19,$F$16,$C$14,$F$15,$F$14,$F$20,X$2,X$1,$C219)</f>
        <v/>
      </c>
      <c r="Y219" s="227" t="str">
        <f ca="1">_xll.DBRW(Server&amp;Cube1,$F$17,$F$18,$F$19,$F$16,$C$14,$F$15,$F$14,$F$20,Y$2,Y$1,$C219)</f>
        <v/>
      </c>
      <c r="Z219" s="241"/>
      <c r="AA219" s="241"/>
      <c r="AB219" s="241"/>
      <c r="AC219" s="241"/>
      <c r="AD219" s="241"/>
      <c r="AE219" s="241"/>
      <c r="AF219" s="221" t="str">
        <f ca="1">_xll.DBRW(Server&amp;Cube1,$F$17,$F$18,$F$19,$F$16,$C$14,$F$15,$F$14,$F$20,AF$2,$AF$1,$C219)</f>
        <v/>
      </c>
      <c r="AG219" s="53"/>
      <c r="AH219" s="53"/>
      <c r="AI219" s="53"/>
      <c r="AJ219" s="53"/>
      <c r="AK219" s="53"/>
      <c r="AL219" s="53"/>
      <c r="AM219" s="53"/>
      <c r="AN219" s="53"/>
      <c r="AO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:53" s="9" customFormat="1" ht="24.95" customHeight="1" thickBot="1" x14ac:dyDescent="0.4">
      <c r="A220" s="181">
        <f ca="1">IF($AT$35="YES",1,IF(_xll.ELCOMPN(Server&amp;$C$24,C220)&lt;&gt;0,1,IF(OR(B220=$AZ$35,B220="ALL"),1,0)))</f>
        <v>1</v>
      </c>
      <c r="B220" s="163" t="str">
        <f t="shared" si="9"/>
        <v>pe</v>
      </c>
      <c r="C220" s="116" t="s">
        <v>103</v>
      </c>
      <c r="E220" s="271" t="str">
        <f ca="1">_xll.DBRA(Server&amp;$C$24,$C220,$F$21)</f>
        <v>Frais de personnel et Assimilés</v>
      </c>
      <c r="F220" s="271"/>
      <c r="G220" s="271"/>
      <c r="H220" s="40"/>
      <c r="I220" s="249" t="str">
        <f ca="1">_xll.DBRW(Server&amp;Cube1,$F$17,$F$18,$F$19,$F$16,$C$14,$F$15,$F$14,$F$20,I$2,I$1,$C220)</f>
        <v/>
      </c>
      <c r="J220" s="249" t="str">
        <f ca="1">_xll.DBRW(Server&amp;Cube1,$F$17,$F$18,$F$19,$F$16,$C$14,$F$15,$F$14,$F$20,J$2,J$1,$C220)</f>
        <v/>
      </c>
      <c r="K220" s="252" t="e">
        <f ca="1">_xll.DBRW(Server&amp;Cube1,$F$17,$F$18,$F$19,$F$16,$C$14,$F$15,$F$14,$F$20,I$2,I$1,$C220) -_xll.DBRW(Server&amp;Cube1,$F$17,$F$18,$F$19,$F$16,$C$14,$F$15,$F$14,$F$20,K$2,I$1,$C220)</f>
        <v>#VALUE!</v>
      </c>
      <c r="L220" s="252" t="e">
        <f t="shared" ca="1" si="8"/>
        <v>#VALUE!</v>
      </c>
      <c r="M220" s="252" t="e">
        <f t="shared" ca="1" si="10"/>
        <v>#VALUE!</v>
      </c>
      <c r="N220" s="250"/>
      <c r="O220" s="249" t="str">
        <f ca="1">_xll.DBRW(Server&amp;Cube1,$F$17,$F$18,$F$19,$F$16,$C$14,$F$15,$F$14,$F$20,O$2,O$1,$C220)</f>
        <v/>
      </c>
      <c r="P220" s="250"/>
      <c r="Q220" s="251" t="str">
        <f ca="1">IF(_xll.ELCOMPN(Server&amp;$C$24,C220)=0,"YES","NO")</f>
        <v>NO</v>
      </c>
      <c r="R220" s="249"/>
      <c r="S220" s="250"/>
      <c r="T220" s="249" t="str">
        <f ca="1">_xll.DBRW(Server&amp;Cube1,$F$17,$F$18,$F$19,$F$16,$C$14,$F$15,$F$14,$F$20,T$2,$T$1,$C220)</f>
        <v/>
      </c>
      <c r="U220" s="249" t="str">
        <f ca="1">_xll.DBRW(Server&amp;Cube1,$F$17,$F$18,$F$19,$F$16,$C$14,$F$15,$F$14,$F$20,U$2,$U$1,$C220)</f>
        <v/>
      </c>
      <c r="V220" s="249" t="str">
        <f ca="1">_xll.DBRW(Server&amp;Cube1,$F$17,$F$18,$F$19,$F$16,$C$14,$F$15,$F$14,$F$20,V$2,V$1,$C220)</f>
        <v/>
      </c>
      <c r="W220" s="249" t="str">
        <f ca="1">_xll.DBRW(Server&amp;Cube1,$F$17,$F$18,$F$19,$F$16,$C$14,$F$15,$F$14,$F$20,W$2,W$1,$C220)</f>
        <v/>
      </c>
      <c r="X220" s="249" t="str">
        <f ca="1">_xll.DBRW(Server&amp;Cube1,$F$17,$F$18,$F$19,$F$16,$C$14,$F$15,$F$14,$F$20,X$2,X$1,$C220)</f>
        <v/>
      </c>
      <c r="Y220" s="249" t="str">
        <f ca="1">_xll.DBRW(Server&amp;Cube1,$F$17,$F$18,$F$19,$F$16,$C$14,$F$15,$F$14,$F$20,Y$2,Y$1,$C220)</f>
        <v/>
      </c>
      <c r="Z220" s="249" t="str">
        <f ca="1">_xll.DBRW(Server&amp;Cube1,$F$17,$F$18,$F$19,$F$16,$C$14,$F$15,$F$14,$F$20,Z$2,Z$1,$C220)</f>
        <v/>
      </c>
      <c r="AA220" s="249" t="str">
        <f ca="1">_xll.DBRW(Server&amp;Cube1,$F$17,$F$18,$F$19,$F$16,$C$14,$F$15,$F$14,$F$20,AA$2,AA$1,$C220)</f>
        <v/>
      </c>
      <c r="AB220" s="249" t="str">
        <f ca="1">_xll.DBRW(Server&amp;Cube1,$F$17,$F$18,$F$19,$F$16,$C$14,$F$15,$F$14,$F$20,AB$2,AB$1,$C220)</f>
        <v/>
      </c>
      <c r="AC220" s="249" t="str">
        <f ca="1">_xll.DBRW(Server&amp;Cube1,$F$17,$F$18,$F$19,$F$16,$C$14,$F$15,$F$14,$F$20,AC$2,AC$1,$C220)</f>
        <v/>
      </c>
      <c r="AD220" s="249" t="str">
        <f ca="1">_xll.DBRW(Server&amp;Cube1,$F$17,$F$18,$F$19,$F$16,$C$14,$F$15,$F$14,$F$20,AD$2,AD$1,$C220)</f>
        <v/>
      </c>
      <c r="AE220" s="249" t="str">
        <f ca="1">_xll.DBRW(Server&amp;Cube1,$F$17,$F$18,$F$19,$F$16,$C$14,$F$15,$F$14,$F$20,AE$2,AE$1,$C220)</f>
        <v/>
      </c>
      <c r="AF220" s="249" t="str">
        <f ca="1">_xll.DBRW(Server&amp;Cube1,$F$17,$F$18,$F$19,$F$16,$C$14,$F$15,$F$14,$F$20,AF$2,$AF$1,$C220)</f>
        <v/>
      </c>
      <c r="AG220" s="53"/>
      <c r="AH220" s="53"/>
      <c r="AI220" s="53"/>
      <c r="AJ220" s="53"/>
      <c r="AK220" s="53"/>
      <c r="AL220" s="53"/>
      <c r="AM220" s="53"/>
      <c r="AN220" s="53"/>
      <c r="AO220" s="53"/>
      <c r="AP220" s="72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:53" s="9" customFormat="1" ht="24" customHeight="1" x14ac:dyDescent="0.35">
      <c r="A221" s="181">
        <f ca="1">IF($AT$35="YES",1,IF(_xll.ELCOMPN(Server&amp;$C$24,C221)&lt;&gt;0,1,IF(OR(B221=$AZ$35,B221="ALL"),1,0)))</f>
        <v>1</v>
      </c>
      <c r="B221" s="163" t="str">
        <f t="shared" si="9"/>
        <v>pe</v>
      </c>
      <c r="C221" s="117" t="s">
        <v>104</v>
      </c>
      <c r="E221" s="272" t="str">
        <f ca="1">_xll.DBRA(Server&amp;$C$24,$C221,$F$21)</f>
        <v>Frais de personnel</v>
      </c>
      <c r="F221" s="272"/>
      <c r="G221" s="272"/>
      <c r="H221" s="40"/>
      <c r="I221" s="221" t="str">
        <f ca="1">_xll.DBRW(Server&amp;Cube1,$F$17,$F$18,$F$19,$F$16,$C$14,$F$15,$F$14,$F$20,I$2,I$1,$C221)</f>
        <v/>
      </c>
      <c r="J221" s="221" t="str">
        <f ca="1">_xll.DBRW(Server&amp;Cube1,$F$17,$F$18,$F$19,$F$16,$C$14,$F$15,$F$14,$F$20,J$2,J$1,$C221)</f>
        <v/>
      </c>
      <c r="K221" s="221" t="e">
        <f ca="1">_xll.DBRW(Server&amp;Cube1,$F$17,$F$18,$F$19,$F$16,$C$14,$F$15,$F$14,$F$20,I$2,I$1,$C221) -_xll.DBRW(Server&amp;Cube1,$F$17,$F$18,$F$19,$F$16,$C$14,$F$15,$F$14,$F$20,K$2,I$1,$C221)</f>
        <v>#VALUE!</v>
      </c>
      <c r="L221" s="221" t="e">
        <f t="shared" ca="1" si="8"/>
        <v>#VALUE!</v>
      </c>
      <c r="M221" s="221" t="e">
        <f t="shared" ca="1" si="10"/>
        <v>#VALUE!</v>
      </c>
      <c r="N221" s="226"/>
      <c r="O221" s="226" t="str">
        <f ca="1">_xll.DBRW(Server&amp;Cube1,$F$17,$F$18,$F$19,$F$16,$C$14,$F$15,$F$14,$F$20,O$2,O$1,$C221)</f>
        <v/>
      </c>
      <c r="P221" s="226"/>
      <c r="Q221" s="240" t="str">
        <f ca="1">IF(_xll.ELCOMPN(Server&amp;$C$24,C221)=0,"YES","NO")</f>
        <v>NO</v>
      </c>
      <c r="R221" s="226"/>
      <c r="S221" s="226"/>
      <c r="T221" s="232" t="str">
        <f ca="1">_xll.DBRW(Server&amp;Cube1,$F$17,$F$18,$F$19,$F$16,$C$14,$F$15,$F$14,$F$20,T$2,$T$1,$C221)</f>
        <v/>
      </c>
      <c r="U221" s="232" t="str">
        <f ca="1">_xll.DBRW(Server&amp;Cube1,$F$17,$F$18,$F$19,$F$16,$C$14,$F$15,$F$14,$F$20,U$2,$U$1,$C221)</f>
        <v/>
      </c>
      <c r="V221" s="232" t="str">
        <f ca="1">_xll.DBRW(Server&amp;Cube1,$F$17,$F$18,$F$19,$F$16,$C$14,$F$15,$F$14,$F$20,V$2,V$1,$C221)</f>
        <v/>
      </c>
      <c r="W221" s="232" t="str">
        <f ca="1">_xll.DBRW(Server&amp;Cube1,$F$17,$F$18,$F$19,$F$16,$C$14,$F$15,$F$14,$F$20,W$2,W$1,$C221)</f>
        <v/>
      </c>
      <c r="X221" s="226" t="str">
        <f ca="1">_xll.DBRW(Server&amp;Cube1,$F$17,$F$18,$F$19,$F$16,$C$14,$F$15,$F$14,$F$20,X$2,X$1,$C221)</f>
        <v/>
      </c>
      <c r="Y221" s="226" t="str">
        <f ca="1">_xll.DBRW(Server&amp;Cube1,$F$17,$F$18,$F$19,$F$16,$C$14,$F$15,$F$14,$F$20,Y$2,Y$1,$C221)</f>
        <v/>
      </c>
      <c r="Z221" s="226" t="str">
        <f ca="1">_xll.DBRW(Server&amp;Cube1,$F$17,$F$18,$F$19,$F$16,$C$14,$F$15,$F$14,$F$20,Z$2,Z$1,$C221)</f>
        <v/>
      </c>
      <c r="AA221" s="226" t="str">
        <f ca="1">_xll.DBRW(Server&amp;Cube1,$F$17,$F$18,$F$19,$F$16,$C$14,$F$15,$F$14,$F$20,AA$2,AA$1,$C221)</f>
        <v/>
      </c>
      <c r="AB221" s="226" t="str">
        <f ca="1">_xll.DBRW(Server&amp;Cube1,$F$17,$F$18,$F$19,$F$16,$C$14,$F$15,$F$14,$F$20,AB$2,AB$1,$C221)</f>
        <v/>
      </c>
      <c r="AC221" s="226" t="str">
        <f ca="1">_xll.DBRW(Server&amp;Cube1,$F$17,$F$18,$F$19,$F$16,$C$14,$F$15,$F$14,$F$20,AC$2,AC$1,$C221)</f>
        <v/>
      </c>
      <c r="AD221" s="226" t="str">
        <f ca="1">_xll.DBRW(Server&amp;Cube1,$F$17,$F$18,$F$19,$F$16,$C$14,$F$15,$F$14,$F$20,AD$2,AD$1,$C221)</f>
        <v/>
      </c>
      <c r="AE221" s="226" t="str">
        <f ca="1">_xll.DBRW(Server&amp;Cube1,$F$17,$F$18,$F$19,$F$16,$C$14,$F$15,$F$14,$F$20,AE$2,AE$1,$C221)</f>
        <v/>
      </c>
      <c r="AF221" s="226" t="str">
        <f ca="1">_xll.DBRW(Server&amp;Cube1,$F$17,$F$18,$F$19,$F$16,$C$14,$F$15,$F$14,$F$20,AF$2,$AF$1,$C221)</f>
        <v/>
      </c>
      <c r="AG221" s="53"/>
      <c r="AH221" s="53"/>
      <c r="AI221" s="53"/>
      <c r="AJ221" s="53"/>
      <c r="AK221" s="53"/>
      <c r="AL221" s="53"/>
      <c r="AM221" s="53"/>
      <c r="AN221" s="53"/>
      <c r="AO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:53" s="9" customFormat="1" ht="24" customHeight="1" x14ac:dyDescent="0.35">
      <c r="A222" s="181" t="e">
        <f ca="1">IF($AT$35="YES",1,IF(_xll.ELCOMPN(Server&amp;$C$24,C222)&lt;&gt;0,1,IF(OR(B222=$AZ$35,B222="ALL"),1,0)))</f>
        <v>#VALUE!</v>
      </c>
      <c r="B222" s="163" t="str">
        <f t="shared" si="9"/>
        <v>DS</v>
      </c>
      <c r="C222" s="158" t="s">
        <v>316</v>
      </c>
      <c r="E222" s="270" t="str">
        <f ca="1">_xll.DBRA(Server&amp;$C$24,$C222,$F$21)</f>
        <v>Frais de personnel (SO)</v>
      </c>
      <c r="F222" s="270"/>
      <c r="G222" s="270"/>
      <c r="H222" s="40"/>
      <c r="I222" s="221" t="str">
        <f ca="1">_xll.DBRW(Server&amp;Cube1,$F$17,$F$18,$F$19,$F$16,$C$14,$F$15,$F$14,$F$20,I$2,I$1,$C222)</f>
        <v/>
      </c>
      <c r="J222" s="221" t="str">
        <f ca="1">_xll.DBRW(Server&amp;Cube1,$F$17,$F$18,$F$19,$F$16,$C$14,$F$15,$F$14,$F$20,J$2,J$1,$C222)</f>
        <v/>
      </c>
      <c r="K222" s="221" t="e">
        <f ca="1">_xll.DBRW(Server&amp;Cube1,$F$17,$F$18,$F$19,$F$16,$C$14,$F$15,$F$14,$F$20,I$2,I$1,$C222) -_xll.DBRW(Server&amp;Cube1,$F$17,$F$18,$F$19,$F$16,$C$14,$F$15,$F$14,$F$20,K$2,I$1,$C222)</f>
        <v>#VALUE!</v>
      </c>
      <c r="L222" s="221" t="e">
        <f t="shared" ca="1" si="8"/>
        <v>#VALUE!</v>
      </c>
      <c r="M222" s="221" t="e">
        <f t="shared" ca="1" si="10"/>
        <v>#VALUE!</v>
      </c>
      <c r="N222" s="226"/>
      <c r="O222" s="221" t="str">
        <f ca="1">_xll.DBRW(Server&amp;Cube1,$F$17,$F$18,$F$19,$F$16,$C$14,$F$15,$F$14,$F$20,O$2,O$1,$C222)</f>
        <v/>
      </c>
      <c r="P222" s="226"/>
      <c r="Q222" s="240" t="str">
        <f ca="1">IF(_xll.ELCOMPN(Server&amp;$C$24,C222)=0,"YES","NO")</f>
        <v>YES</v>
      </c>
      <c r="R222" s="241">
        <v>0</v>
      </c>
      <c r="S222" s="226"/>
      <c r="T222" s="227" t="str">
        <f ca="1">_xll.DBRW(Server&amp;Cube1,$F$17,$F$18,$F$19,$F$16,$C$14,$F$15,$F$14,$F$20,T$2,$T$1,$C222)</f>
        <v/>
      </c>
      <c r="U222" s="227" t="str">
        <f ca="1">_xll.DBRW(Server&amp;Cube1,$F$17,$F$18,$F$19,$F$16,$C$14,$F$15,$F$14,$F$20,U$2,$U$1,$C222)</f>
        <v/>
      </c>
      <c r="V222" s="227" t="str">
        <f ca="1">_xll.DBRW(Server&amp;Cube1,$F$17,$F$18,$F$19,$F$16,$C$14,$F$15,$F$14,$F$20,V$2,V$1,$C222)</f>
        <v/>
      </c>
      <c r="W222" s="227" t="str">
        <f ca="1">_xll.DBRW(Server&amp;Cube1,$F$17,$F$18,$F$19,$F$16,$C$14,$F$15,$F$14,$F$20,W$2,W$1,$C222)</f>
        <v/>
      </c>
      <c r="X222" s="227" t="str">
        <f ca="1">_xll.DBRW(Server&amp;Cube1,$F$17,$F$18,$F$19,$F$16,$C$14,$F$15,$F$14,$F$20,X$2,X$1,$C222)</f>
        <v/>
      </c>
      <c r="Y222" s="227" t="str">
        <f ca="1">_xll.DBRW(Server&amp;Cube1,$F$17,$F$18,$F$19,$F$16,$C$14,$F$15,$F$14,$F$20,Y$2,Y$1,$C222)</f>
        <v/>
      </c>
      <c r="Z222" s="241"/>
      <c r="AA222" s="241"/>
      <c r="AB222" s="241"/>
      <c r="AC222" s="241"/>
      <c r="AD222" s="241"/>
      <c r="AE222" s="241"/>
      <c r="AF222" s="221" t="str">
        <f ca="1">_xll.DBRW(Server&amp;Cube1,$F$17,$F$18,$F$19,$F$16,$C$14,$F$15,$F$14,$F$20,AF$2,$AF$1,$C222)</f>
        <v/>
      </c>
      <c r="AG222" s="53"/>
      <c r="AH222" s="53"/>
      <c r="AI222" s="53"/>
      <c r="AJ222" s="53"/>
      <c r="AK222" s="53"/>
      <c r="AL222" s="53"/>
      <c r="AM222" s="53"/>
      <c r="AN222" s="53"/>
      <c r="AO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:53" s="9" customFormat="1" ht="24" customHeight="1" collapsed="1" x14ac:dyDescent="0.35">
      <c r="A223" s="181">
        <f ca="1">IF($AT$35="YES",1,IF(_xll.ELCOMPN(Server&amp;$C$24,C223)&lt;&gt;0,1,IF(OR(B223=$AZ$35,B223="ALL"),1,0)))</f>
        <v>1</v>
      </c>
      <c r="B223" s="163" t="e">
        <f t="shared" si="9"/>
        <v>#VALUE!</v>
      </c>
      <c r="C223" s="117" t="s">
        <v>317</v>
      </c>
      <c r="E223" s="270" t="str">
        <f ca="1">_xll.DBRA(Server&amp;$C$24,$C223,$F$21)</f>
        <v>Frais de personnel - Dépenses commerciales</v>
      </c>
      <c r="F223" s="270"/>
      <c r="G223" s="270"/>
      <c r="H223" s="40"/>
      <c r="I223" s="221" t="str">
        <f ca="1">_xll.DBRW(Server&amp;Cube1,$F$17,$F$18,$F$19,$F$16,$C$14,$F$15,$F$14,$F$20,I$2,I$1,$C223)</f>
        <v/>
      </c>
      <c r="J223" s="221" t="str">
        <f ca="1">_xll.DBRW(Server&amp;Cube1,$F$17,$F$18,$F$19,$F$16,$C$14,$F$15,$F$14,$F$20,J$2,J$1,$C223)</f>
        <v/>
      </c>
      <c r="K223" s="221" t="e">
        <f ca="1">_xll.DBRW(Server&amp;Cube1,$F$17,$F$18,$F$19,$F$16,$C$14,$F$15,$F$14,$F$20,I$2,I$1,$C223) -_xll.DBRW(Server&amp;Cube1,$F$17,$F$18,$F$19,$F$16,$C$14,$F$15,$F$14,$F$20,K$2,I$1,$C223)</f>
        <v>#VALUE!</v>
      </c>
      <c r="L223" s="221" t="e">
        <f t="shared" ca="1" si="8"/>
        <v>#VALUE!</v>
      </c>
      <c r="M223" s="221" t="e">
        <f t="shared" ca="1" si="10"/>
        <v>#VALUE!</v>
      </c>
      <c r="N223" s="226"/>
      <c r="O223" s="226" t="str">
        <f ca="1">_xll.DBRW(Server&amp;Cube1,$F$17,$F$18,$F$19,$F$16,$C$14,$F$15,$F$14,$F$20,O$2,O$1,$C223)</f>
        <v/>
      </c>
      <c r="P223" s="226"/>
      <c r="Q223" s="240" t="str">
        <f ca="1">IF(_xll.ELCOMPN(Server&amp;$C$24,C223)=0,"YES","NO")</f>
        <v>NO</v>
      </c>
      <c r="R223" s="226"/>
      <c r="S223" s="226"/>
      <c r="T223" s="232" t="str">
        <f ca="1">_xll.DBRW(Server&amp;Cube1,$F$17,$F$18,$F$19,$F$16,$C$14,$F$15,$F$14,$F$20,T$2,$T$1,$C223)</f>
        <v/>
      </c>
      <c r="U223" s="232" t="str">
        <f ca="1">_xll.DBRW(Server&amp;Cube1,$F$17,$F$18,$F$19,$F$16,$C$14,$F$15,$F$14,$F$20,U$2,$U$1,$C223)</f>
        <v/>
      </c>
      <c r="V223" s="232" t="str">
        <f ca="1">_xll.DBRW(Server&amp;Cube1,$F$17,$F$18,$F$19,$F$16,$C$14,$F$15,$F$14,$F$20,V$2,V$1,$C223)</f>
        <v/>
      </c>
      <c r="W223" s="232" t="str">
        <f ca="1">_xll.DBRW(Server&amp;Cube1,$F$17,$F$18,$F$19,$F$16,$C$14,$F$15,$F$14,$F$20,W$2,W$1,$C223)</f>
        <v/>
      </c>
      <c r="X223" s="226" t="str">
        <f ca="1">_xll.DBRW(Server&amp;Cube1,$F$17,$F$18,$F$19,$F$16,$C$14,$F$15,$F$14,$F$20,X$2,X$1,$C223)</f>
        <v/>
      </c>
      <c r="Y223" s="226" t="str">
        <f ca="1">_xll.DBRW(Server&amp;Cube1,$F$17,$F$18,$F$19,$F$16,$C$14,$F$15,$F$14,$F$20,Y$2,Y$1,$C223)</f>
        <v/>
      </c>
      <c r="Z223" s="226" t="str">
        <f ca="1">_xll.DBRW(Server&amp;Cube1,$F$17,$F$18,$F$19,$F$16,$C$14,$F$15,$F$14,$F$20,Z$2,Z$1,$C223)</f>
        <v/>
      </c>
      <c r="AA223" s="226" t="str">
        <f ca="1">_xll.DBRW(Server&amp;Cube1,$F$17,$F$18,$F$19,$F$16,$C$14,$F$15,$F$14,$F$20,AA$2,AA$1,$C223)</f>
        <v/>
      </c>
      <c r="AB223" s="226" t="str">
        <f ca="1">_xll.DBRW(Server&amp;Cube1,$F$17,$F$18,$F$19,$F$16,$C$14,$F$15,$F$14,$F$20,AB$2,AB$1,$C223)</f>
        <v/>
      </c>
      <c r="AC223" s="226" t="str">
        <f ca="1">_xll.DBRW(Server&amp;Cube1,$F$17,$F$18,$F$19,$F$16,$C$14,$F$15,$F$14,$F$20,AC$2,AC$1,$C223)</f>
        <v/>
      </c>
      <c r="AD223" s="226" t="str">
        <f ca="1">_xll.DBRW(Server&amp;Cube1,$F$17,$F$18,$F$19,$F$16,$C$14,$F$15,$F$14,$F$20,AD$2,AD$1,$C223)</f>
        <v/>
      </c>
      <c r="AE223" s="226" t="str">
        <f ca="1">_xll.DBRW(Server&amp;Cube1,$F$17,$F$18,$F$19,$F$16,$C$14,$F$15,$F$14,$F$20,AE$2,AE$1,$C223)</f>
        <v/>
      </c>
      <c r="AF223" s="226" t="str">
        <f ca="1">_xll.DBRW(Server&amp;Cube1,$F$17,$F$18,$F$19,$F$16,$C$14,$F$15,$F$14,$F$20,AF$2,$AF$1,$C223)</f>
        <v/>
      </c>
      <c r="AG223" s="53"/>
      <c r="AH223" s="53"/>
      <c r="AI223" s="53"/>
      <c r="AJ223" s="53"/>
      <c r="AK223" s="53"/>
      <c r="AL223" s="53"/>
      <c r="AM223" s="53"/>
      <c r="AN223" s="53"/>
      <c r="AO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:53" s="9" customFormat="1" ht="24" customHeight="1" x14ac:dyDescent="0.35">
      <c r="A224" s="181" t="e">
        <f ca="1">IF($AT$35="YES",1,IF(_xll.ELCOMPN(Server&amp;$C$24,C224)&lt;&gt;0,1,IF(OR(B224=$AZ$35,B224="ALL"),1,0)))</f>
        <v>#VALUE!</v>
      </c>
      <c r="B224" s="163" t="str">
        <f t="shared" si="9"/>
        <v>BD</v>
      </c>
      <c r="C224" s="158" t="s">
        <v>318</v>
      </c>
      <c r="E224" s="268" t="str">
        <f ca="1">_xll.DBRA(Server&amp;$C$24,$C224,$F$21)</f>
        <v>Frais de personnel (DC)</v>
      </c>
      <c r="F224" s="268"/>
      <c r="G224" s="268"/>
      <c r="H224" s="40"/>
      <c r="I224" s="221" t="str">
        <f ca="1">_xll.DBRW(Server&amp;Cube1,$F$17,$F$18,$F$19,$F$16,$C$14,$F$15,$F$14,$F$20,I$2,I$1,$C224)</f>
        <v/>
      </c>
      <c r="J224" s="221" t="str">
        <f ca="1">_xll.DBRW(Server&amp;Cube1,$F$17,$F$18,$F$19,$F$16,$C$14,$F$15,$F$14,$F$20,J$2,J$1,$C224)</f>
        <v/>
      </c>
      <c r="K224" s="221" t="e">
        <f ca="1">_xll.DBRW(Server&amp;Cube1,$F$17,$F$18,$F$19,$F$16,$C$14,$F$15,$F$14,$F$20,I$2,I$1,$C224) -_xll.DBRW(Server&amp;Cube1,$F$17,$F$18,$F$19,$F$16,$C$14,$F$15,$F$14,$F$20,K$2,I$1,$C224)</f>
        <v>#VALUE!</v>
      </c>
      <c r="L224" s="221" t="e">
        <f t="shared" ref="L224:L287" ca="1" si="11">$K224+$J224</f>
        <v>#VALUE!</v>
      </c>
      <c r="M224" s="221" t="e">
        <f t="shared" ca="1" si="10"/>
        <v>#VALUE!</v>
      </c>
      <c r="N224" s="226"/>
      <c r="O224" s="221" t="str">
        <f ca="1">_xll.DBRW(Server&amp;Cube1,$F$17,$F$18,$F$19,$F$16,$C$14,$F$15,$F$14,$F$20,O$2,O$1,$C224)</f>
        <v/>
      </c>
      <c r="P224" s="226"/>
      <c r="Q224" s="240" t="str">
        <f ca="1">IF(_xll.ELCOMPN(Server&amp;$C$24,C224)=0,"YES","NO")</f>
        <v>YES</v>
      </c>
      <c r="R224" s="241">
        <v>0</v>
      </c>
      <c r="S224" s="226"/>
      <c r="T224" s="227" t="str">
        <f ca="1">_xll.DBRW(Server&amp;Cube1,$F$17,$F$18,$F$19,$F$16,$C$14,$F$15,$F$14,$F$20,T$2,$T$1,$C224)</f>
        <v/>
      </c>
      <c r="U224" s="227" t="str">
        <f ca="1">_xll.DBRW(Server&amp;Cube1,$F$17,$F$18,$F$19,$F$16,$C$14,$F$15,$F$14,$F$20,U$2,$U$1,$C224)</f>
        <v/>
      </c>
      <c r="V224" s="227" t="str">
        <f ca="1">_xll.DBRW(Server&amp;Cube1,$F$17,$F$18,$F$19,$F$16,$C$14,$F$15,$F$14,$F$20,V$2,V$1,$C224)</f>
        <v/>
      </c>
      <c r="W224" s="227" t="str">
        <f ca="1">_xll.DBRW(Server&amp;Cube1,$F$17,$F$18,$F$19,$F$16,$C$14,$F$15,$F$14,$F$20,W$2,W$1,$C224)</f>
        <v/>
      </c>
      <c r="X224" s="227" t="str">
        <f ca="1">_xll.DBRW(Server&amp;Cube1,$F$17,$F$18,$F$19,$F$16,$C$14,$F$15,$F$14,$F$20,X$2,X$1,$C224)</f>
        <v/>
      </c>
      <c r="Y224" s="227" t="str">
        <f ca="1">_xll.DBRW(Server&amp;Cube1,$F$17,$F$18,$F$19,$F$16,$C$14,$F$15,$F$14,$F$20,Y$2,Y$1,$C224)</f>
        <v/>
      </c>
      <c r="Z224" s="241"/>
      <c r="AA224" s="241"/>
      <c r="AB224" s="241"/>
      <c r="AC224" s="241"/>
      <c r="AD224" s="241"/>
      <c r="AE224" s="241"/>
      <c r="AF224" s="221" t="str">
        <f ca="1">_xll.DBRW(Server&amp;Cube1,$F$17,$F$18,$F$19,$F$16,$C$14,$F$15,$F$14,$F$20,AF$2,$AF$1,$C224)</f>
        <v/>
      </c>
      <c r="AG224" s="53"/>
      <c r="AH224" s="53"/>
      <c r="AI224" s="53"/>
      <c r="AJ224" s="53"/>
      <c r="AK224" s="53"/>
      <c r="AL224" s="53"/>
      <c r="AM224" s="53"/>
      <c r="AN224" s="53"/>
      <c r="AO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:53" s="9" customFormat="1" ht="24" customHeight="1" collapsed="1" x14ac:dyDescent="0.35">
      <c r="A225" s="181">
        <f ca="1">IF($AT$35="YES",1,IF(_xll.ELCOMPN(Server&amp;$C$24,C225)&lt;&gt;0,1,IF(OR(B225=$AZ$35,B225="ALL"),1,0)))</f>
        <v>1</v>
      </c>
      <c r="B225" s="163" t="e">
        <f t="shared" si="9"/>
        <v>#VALUE!</v>
      </c>
      <c r="C225" s="117" t="s">
        <v>319</v>
      </c>
      <c r="E225" s="270" t="str">
        <f ca="1">_xll.DBRA(Server&amp;$C$24,$C225,$F$21)</f>
        <v>Frais de personnel - G&amp;A</v>
      </c>
      <c r="F225" s="270"/>
      <c r="G225" s="270"/>
      <c r="H225" s="40"/>
      <c r="I225" s="221" t="str">
        <f ca="1">_xll.DBRW(Server&amp;Cube1,$F$17,$F$18,$F$19,$F$16,$C$14,$F$15,$F$14,$F$20,I$2,I$1,$C225)</f>
        <v/>
      </c>
      <c r="J225" s="221" t="str">
        <f ca="1">_xll.DBRW(Server&amp;Cube1,$F$17,$F$18,$F$19,$F$16,$C$14,$F$15,$F$14,$F$20,J$2,J$1,$C225)</f>
        <v/>
      </c>
      <c r="K225" s="221" t="e">
        <f ca="1">_xll.DBRW(Server&amp;Cube1,$F$17,$F$18,$F$19,$F$16,$C$14,$F$15,$F$14,$F$20,I$2,I$1,$C225) -_xll.DBRW(Server&amp;Cube1,$F$17,$F$18,$F$19,$F$16,$C$14,$F$15,$F$14,$F$20,K$2,I$1,$C225)</f>
        <v>#VALUE!</v>
      </c>
      <c r="L225" s="221" t="e">
        <f t="shared" ca="1" si="11"/>
        <v>#VALUE!</v>
      </c>
      <c r="M225" s="221" t="e">
        <f t="shared" ca="1" si="10"/>
        <v>#VALUE!</v>
      </c>
      <c r="N225" s="226"/>
      <c r="O225" s="226" t="str">
        <f ca="1">_xll.DBRW(Server&amp;Cube1,$F$17,$F$18,$F$19,$F$16,$C$14,$F$15,$F$14,$F$20,O$2,O$1,$C225)</f>
        <v/>
      </c>
      <c r="P225" s="226"/>
      <c r="Q225" s="240" t="str">
        <f ca="1">IF(_xll.ELCOMPN(Server&amp;$C$24,C225)=0,"YES","NO")</f>
        <v>NO</v>
      </c>
      <c r="R225" s="226"/>
      <c r="S225" s="226"/>
      <c r="T225" s="232" t="str">
        <f ca="1">_xll.DBRW(Server&amp;Cube1,$F$17,$F$18,$F$19,$F$16,$C$14,$F$15,$F$14,$F$20,T$2,$T$1,$C225)</f>
        <v/>
      </c>
      <c r="U225" s="232" t="str">
        <f ca="1">_xll.DBRW(Server&amp;Cube1,$F$17,$F$18,$F$19,$F$16,$C$14,$F$15,$F$14,$F$20,U$2,$U$1,$C225)</f>
        <v/>
      </c>
      <c r="V225" s="232" t="str">
        <f ca="1">_xll.DBRW(Server&amp;Cube1,$F$17,$F$18,$F$19,$F$16,$C$14,$F$15,$F$14,$F$20,V$2,V$1,$C225)</f>
        <v/>
      </c>
      <c r="W225" s="232" t="str">
        <f ca="1">_xll.DBRW(Server&amp;Cube1,$F$17,$F$18,$F$19,$F$16,$C$14,$F$15,$F$14,$F$20,W$2,W$1,$C225)</f>
        <v/>
      </c>
      <c r="X225" s="226" t="str">
        <f ca="1">_xll.DBRW(Server&amp;Cube1,$F$17,$F$18,$F$19,$F$16,$C$14,$F$15,$F$14,$F$20,X$2,X$1,$C225)</f>
        <v/>
      </c>
      <c r="Y225" s="226" t="str">
        <f ca="1">_xll.DBRW(Server&amp;Cube1,$F$17,$F$18,$F$19,$F$16,$C$14,$F$15,$F$14,$F$20,Y$2,Y$1,$C225)</f>
        <v/>
      </c>
      <c r="Z225" s="226" t="str">
        <f ca="1">_xll.DBRW(Server&amp;Cube1,$F$17,$F$18,$F$19,$F$16,$C$14,$F$15,$F$14,$F$20,Z$2,Z$1,$C225)</f>
        <v/>
      </c>
      <c r="AA225" s="226" t="str">
        <f ca="1">_xll.DBRW(Server&amp;Cube1,$F$17,$F$18,$F$19,$F$16,$C$14,$F$15,$F$14,$F$20,AA$2,AA$1,$C225)</f>
        <v/>
      </c>
      <c r="AB225" s="226" t="str">
        <f ca="1">_xll.DBRW(Server&amp;Cube1,$F$17,$F$18,$F$19,$F$16,$C$14,$F$15,$F$14,$F$20,AB$2,AB$1,$C225)</f>
        <v/>
      </c>
      <c r="AC225" s="226" t="str">
        <f ca="1">_xll.DBRW(Server&amp;Cube1,$F$17,$F$18,$F$19,$F$16,$C$14,$F$15,$F$14,$F$20,AC$2,AC$1,$C225)</f>
        <v/>
      </c>
      <c r="AD225" s="226" t="str">
        <f ca="1">_xll.DBRW(Server&amp;Cube1,$F$17,$F$18,$F$19,$F$16,$C$14,$F$15,$F$14,$F$20,AD$2,AD$1,$C225)</f>
        <v/>
      </c>
      <c r="AE225" s="226" t="str">
        <f ca="1">_xll.DBRW(Server&amp;Cube1,$F$17,$F$18,$F$19,$F$16,$C$14,$F$15,$F$14,$F$20,AE$2,AE$1,$C225)</f>
        <v/>
      </c>
      <c r="AF225" s="226" t="str">
        <f ca="1">_xll.DBRW(Server&amp;Cube1,$F$17,$F$18,$F$19,$F$16,$C$14,$F$15,$F$14,$F$20,AF$2,$AF$1,$C225)</f>
        <v/>
      </c>
      <c r="AG225" s="53"/>
      <c r="AH225" s="53"/>
      <c r="AI225" s="53"/>
      <c r="AJ225" s="53"/>
      <c r="AK225" s="53"/>
      <c r="AL225" s="53"/>
      <c r="AM225" s="53"/>
      <c r="AN225" s="53"/>
      <c r="AO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:53" s="9" customFormat="1" ht="24" customHeight="1" x14ac:dyDescent="0.35">
      <c r="A226" s="181" t="e">
        <f ca="1">IF($AT$35="YES",1,IF(_xll.ELCOMPN(Server&amp;$C$24,C226)&lt;&gt;0,1,IF(OR(B226=$AZ$35,B226="ALL"),1,0)))</f>
        <v>#VALUE!</v>
      </c>
      <c r="B226" s="163" t="str">
        <f t="shared" si="9"/>
        <v>FI</v>
      </c>
      <c r="C226" s="158" t="s">
        <v>320</v>
      </c>
      <c r="E226" s="268" t="str">
        <f ca="1">_xll.DBRA(Server&amp;$C$24,$C226,$F$21)</f>
        <v>Frais de personnel (DF)</v>
      </c>
      <c r="F226" s="268"/>
      <c r="G226" s="268"/>
      <c r="H226" s="40"/>
      <c r="I226" s="221" t="str">
        <f ca="1">_xll.DBRW(Server&amp;Cube1,$F$17,$F$18,$F$19,$F$16,$C$14,$F$15,$F$14,$F$20,I$2,I$1,$C226)</f>
        <v/>
      </c>
      <c r="J226" s="221" t="str">
        <f ca="1">_xll.DBRW(Server&amp;Cube1,$F$17,$F$18,$F$19,$F$16,$C$14,$F$15,$F$14,$F$20,J$2,J$1,$C226)</f>
        <v/>
      </c>
      <c r="K226" s="221" t="e">
        <f ca="1">_xll.DBRW(Server&amp;Cube1,$F$17,$F$18,$F$19,$F$16,$C$14,$F$15,$F$14,$F$20,I$2,I$1,$C226) -_xll.DBRW(Server&amp;Cube1,$F$17,$F$18,$F$19,$F$16,$C$14,$F$15,$F$14,$F$20,K$2,I$1,$C226)</f>
        <v>#VALUE!</v>
      </c>
      <c r="L226" s="221" t="e">
        <f t="shared" ca="1" si="11"/>
        <v>#VALUE!</v>
      </c>
      <c r="M226" s="221" t="e">
        <f t="shared" ca="1" si="10"/>
        <v>#VALUE!</v>
      </c>
      <c r="N226" s="226"/>
      <c r="O226" s="221" t="str">
        <f ca="1">_xll.DBRW(Server&amp;Cube1,$F$17,$F$18,$F$19,$F$16,$C$14,$F$15,$F$14,$F$20,O$2,O$1,$C226)</f>
        <v/>
      </c>
      <c r="P226" s="226"/>
      <c r="Q226" s="240" t="str">
        <f ca="1">IF(_xll.ELCOMPN(Server&amp;$C$24,C226)=0,"YES","NO")</f>
        <v>YES</v>
      </c>
      <c r="R226" s="241">
        <v>0</v>
      </c>
      <c r="S226" s="226"/>
      <c r="T226" s="227" t="str">
        <f ca="1">_xll.DBRW(Server&amp;Cube1,$F$17,$F$18,$F$19,$F$16,$C$14,$F$15,$F$14,$F$20,T$2,$T$1,$C226)</f>
        <v/>
      </c>
      <c r="U226" s="227" t="str">
        <f ca="1">_xll.DBRW(Server&amp;Cube1,$F$17,$F$18,$F$19,$F$16,$C$14,$F$15,$F$14,$F$20,U$2,$U$1,$C226)</f>
        <v/>
      </c>
      <c r="V226" s="227" t="str">
        <f ca="1">_xll.DBRW(Server&amp;Cube1,$F$17,$F$18,$F$19,$F$16,$C$14,$F$15,$F$14,$F$20,V$2,V$1,$C226)</f>
        <v/>
      </c>
      <c r="W226" s="227" t="str">
        <f ca="1">_xll.DBRW(Server&amp;Cube1,$F$17,$F$18,$F$19,$F$16,$C$14,$F$15,$F$14,$F$20,W$2,W$1,$C226)</f>
        <v/>
      </c>
      <c r="X226" s="227" t="str">
        <f ca="1">_xll.DBRW(Server&amp;Cube1,$F$17,$F$18,$F$19,$F$16,$C$14,$F$15,$F$14,$F$20,X$2,X$1,$C226)</f>
        <v/>
      </c>
      <c r="Y226" s="227" t="str">
        <f ca="1">_xll.DBRW(Server&amp;Cube1,$F$17,$F$18,$F$19,$F$16,$C$14,$F$15,$F$14,$F$20,Y$2,Y$1,$C226)</f>
        <v/>
      </c>
      <c r="Z226" s="241"/>
      <c r="AA226" s="241"/>
      <c r="AB226" s="241"/>
      <c r="AC226" s="241"/>
      <c r="AD226" s="241"/>
      <c r="AE226" s="241"/>
      <c r="AF226" s="221" t="str">
        <f ca="1">_xll.DBRW(Server&amp;Cube1,$F$17,$F$18,$F$19,$F$16,$C$14,$F$15,$F$14,$F$20,AF$2,$AF$1,$C226)</f>
        <v/>
      </c>
      <c r="AG226" s="53"/>
      <c r="AH226" s="53"/>
      <c r="AI226" s="53"/>
      <c r="AJ226" s="53"/>
      <c r="AK226" s="53"/>
      <c r="AL226" s="53"/>
      <c r="AM226" s="53"/>
      <c r="AN226" s="53"/>
      <c r="AO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:53" s="9" customFormat="1" ht="24" customHeight="1" x14ac:dyDescent="0.35">
      <c r="A227" s="181" t="e">
        <f ca="1">IF($AT$35="YES",1,IF(_xll.ELCOMPN(Server&amp;$C$24,C227)&lt;&gt;0,1,IF(OR(B227=$AZ$35,B227="ALL"),1,0)))</f>
        <v>#VALUE!</v>
      </c>
      <c r="B227" s="163" t="str">
        <f t="shared" si="9"/>
        <v>IT</v>
      </c>
      <c r="C227" s="158" t="s">
        <v>321</v>
      </c>
      <c r="E227" s="268" t="str">
        <f ca="1">_xll.DBRA(Server&amp;$C$24,$C227,$F$21)</f>
        <v>Frais de personnel (IT)</v>
      </c>
      <c r="F227" s="268"/>
      <c r="G227" s="268"/>
      <c r="H227" s="40"/>
      <c r="I227" s="221" t="str">
        <f ca="1">_xll.DBRW(Server&amp;Cube1,$F$17,$F$18,$F$19,$F$16,$C$14,$F$15,$F$14,$F$20,I$2,I$1,$C227)</f>
        <v/>
      </c>
      <c r="J227" s="221" t="str">
        <f ca="1">_xll.DBRW(Server&amp;Cube1,$F$17,$F$18,$F$19,$F$16,$C$14,$F$15,$F$14,$F$20,J$2,J$1,$C227)</f>
        <v/>
      </c>
      <c r="K227" s="221" t="e">
        <f ca="1">_xll.DBRW(Server&amp;Cube1,$F$17,$F$18,$F$19,$F$16,$C$14,$F$15,$F$14,$F$20,I$2,I$1,$C227) -_xll.DBRW(Server&amp;Cube1,$F$17,$F$18,$F$19,$F$16,$C$14,$F$15,$F$14,$F$20,K$2,I$1,$C227)</f>
        <v>#VALUE!</v>
      </c>
      <c r="L227" s="221" t="e">
        <f t="shared" ca="1" si="11"/>
        <v>#VALUE!</v>
      </c>
      <c r="M227" s="221" t="e">
        <f t="shared" ca="1" si="10"/>
        <v>#VALUE!</v>
      </c>
      <c r="N227" s="226"/>
      <c r="O227" s="221" t="str">
        <f ca="1">_xll.DBRW(Server&amp;Cube1,$F$17,$F$18,$F$19,$F$16,$C$14,$F$15,$F$14,$F$20,O$2,O$1,$C227)</f>
        <v/>
      </c>
      <c r="P227" s="226"/>
      <c r="Q227" s="240" t="str">
        <f ca="1">IF(_xll.ELCOMPN(Server&amp;$C$24,C227)=0,"YES","NO")</f>
        <v>YES</v>
      </c>
      <c r="R227" s="241">
        <v>0</v>
      </c>
      <c r="S227" s="226"/>
      <c r="T227" s="227" t="str">
        <f ca="1">_xll.DBRW(Server&amp;Cube1,$F$17,$F$18,$F$19,$F$16,$C$14,$F$15,$F$14,$F$20,T$2,$T$1,$C227)</f>
        <v/>
      </c>
      <c r="U227" s="227" t="str">
        <f ca="1">_xll.DBRW(Server&amp;Cube1,$F$17,$F$18,$F$19,$F$16,$C$14,$F$15,$F$14,$F$20,U$2,$U$1,$C227)</f>
        <v/>
      </c>
      <c r="V227" s="227" t="str">
        <f ca="1">_xll.DBRW(Server&amp;Cube1,$F$17,$F$18,$F$19,$F$16,$C$14,$F$15,$F$14,$F$20,V$2,V$1,$C227)</f>
        <v/>
      </c>
      <c r="W227" s="227" t="str">
        <f ca="1">_xll.DBRW(Server&amp;Cube1,$F$17,$F$18,$F$19,$F$16,$C$14,$F$15,$F$14,$F$20,W$2,W$1,$C227)</f>
        <v/>
      </c>
      <c r="X227" s="227" t="str">
        <f ca="1">_xll.DBRW(Server&amp;Cube1,$F$17,$F$18,$F$19,$F$16,$C$14,$F$15,$F$14,$F$20,X$2,X$1,$C227)</f>
        <v/>
      </c>
      <c r="Y227" s="227" t="str">
        <f ca="1">_xll.DBRW(Server&amp;Cube1,$F$17,$F$18,$F$19,$F$16,$C$14,$F$15,$F$14,$F$20,Y$2,Y$1,$C227)</f>
        <v/>
      </c>
      <c r="Z227" s="241"/>
      <c r="AA227" s="241"/>
      <c r="AB227" s="241"/>
      <c r="AC227" s="241"/>
      <c r="AD227" s="241"/>
      <c r="AE227" s="241"/>
      <c r="AF227" s="221" t="str">
        <f ca="1">_xll.DBRW(Server&amp;Cube1,$F$17,$F$18,$F$19,$F$16,$C$14,$F$15,$F$14,$F$20,AF$2,$AF$1,$C227)</f>
        <v/>
      </c>
      <c r="AG227" s="53"/>
      <c r="AH227" s="53"/>
      <c r="AI227" s="53"/>
      <c r="AJ227" s="53"/>
      <c r="AK227" s="53"/>
      <c r="AL227" s="53"/>
      <c r="AM227" s="53"/>
      <c r="AN227" s="53"/>
      <c r="AO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:53" s="9" customFormat="1" ht="24" customHeight="1" x14ac:dyDescent="0.35">
      <c r="A228" s="181" t="e">
        <f ca="1">IF($AT$35="YES",1,IF(_xll.ELCOMPN(Server&amp;$C$24,C228)&lt;&gt;0,1,IF(OR(B228=$AZ$35,B228="ALL"),1,0)))</f>
        <v>#VALUE!</v>
      </c>
      <c r="B228" s="163" t="str">
        <f t="shared" si="9"/>
        <v>HR</v>
      </c>
      <c r="C228" s="158" t="s">
        <v>322</v>
      </c>
      <c r="E228" s="268" t="str">
        <f ca="1">_xll.DBRA(Server&amp;$C$24,$C228,$F$21)</f>
        <v>Frais de personnel (RH)</v>
      </c>
      <c r="F228" s="268"/>
      <c r="G228" s="268"/>
      <c r="H228" s="40"/>
      <c r="I228" s="221" t="str">
        <f ca="1">_xll.DBRW(Server&amp;Cube1,$F$17,$F$18,$F$19,$F$16,$C$14,$F$15,$F$14,$F$20,I$2,I$1,$C228)</f>
        <v/>
      </c>
      <c r="J228" s="221" t="str">
        <f ca="1">_xll.DBRW(Server&amp;Cube1,$F$17,$F$18,$F$19,$F$16,$C$14,$F$15,$F$14,$F$20,J$2,J$1,$C228)</f>
        <v/>
      </c>
      <c r="K228" s="221" t="e">
        <f ca="1">_xll.DBRW(Server&amp;Cube1,$F$17,$F$18,$F$19,$F$16,$C$14,$F$15,$F$14,$F$20,I$2,I$1,$C228) -_xll.DBRW(Server&amp;Cube1,$F$17,$F$18,$F$19,$F$16,$C$14,$F$15,$F$14,$F$20,K$2,I$1,$C228)</f>
        <v>#VALUE!</v>
      </c>
      <c r="L228" s="221" t="e">
        <f t="shared" ca="1" si="11"/>
        <v>#VALUE!</v>
      </c>
      <c r="M228" s="221" t="e">
        <f t="shared" ca="1" si="10"/>
        <v>#VALUE!</v>
      </c>
      <c r="N228" s="226"/>
      <c r="O228" s="221" t="str">
        <f ca="1">_xll.DBRW(Server&amp;Cube1,$F$17,$F$18,$F$19,$F$16,$C$14,$F$15,$F$14,$F$20,O$2,O$1,$C228)</f>
        <v/>
      </c>
      <c r="P228" s="226"/>
      <c r="Q228" s="240" t="str">
        <f ca="1">IF(_xll.ELCOMPN(Server&amp;$C$24,C228)=0,"YES","NO")</f>
        <v>YES</v>
      </c>
      <c r="R228" s="241">
        <v>0</v>
      </c>
      <c r="S228" s="226"/>
      <c r="T228" s="227" t="str">
        <f ca="1">_xll.DBRW(Server&amp;Cube1,$F$17,$F$18,$F$19,$F$16,$C$14,$F$15,$F$14,$F$20,T$2,$T$1,$C228)</f>
        <v/>
      </c>
      <c r="U228" s="227" t="str">
        <f ca="1">_xll.DBRW(Server&amp;Cube1,$F$17,$F$18,$F$19,$F$16,$C$14,$F$15,$F$14,$F$20,U$2,$U$1,$C228)</f>
        <v/>
      </c>
      <c r="V228" s="227" t="str">
        <f ca="1">_xll.DBRW(Server&amp;Cube1,$F$17,$F$18,$F$19,$F$16,$C$14,$F$15,$F$14,$F$20,V$2,V$1,$C228)</f>
        <v/>
      </c>
      <c r="W228" s="227" t="str">
        <f ca="1">_xll.DBRW(Server&amp;Cube1,$F$17,$F$18,$F$19,$F$16,$C$14,$F$15,$F$14,$F$20,W$2,W$1,$C228)</f>
        <v/>
      </c>
      <c r="X228" s="227" t="str">
        <f ca="1">_xll.DBRW(Server&amp;Cube1,$F$17,$F$18,$F$19,$F$16,$C$14,$F$15,$F$14,$F$20,X$2,X$1,$C228)</f>
        <v/>
      </c>
      <c r="Y228" s="227" t="str">
        <f ca="1">_xll.DBRW(Server&amp;Cube1,$F$17,$F$18,$F$19,$F$16,$C$14,$F$15,$F$14,$F$20,Y$2,Y$1,$C228)</f>
        <v/>
      </c>
      <c r="Z228" s="241"/>
      <c r="AA228" s="241"/>
      <c r="AB228" s="241"/>
      <c r="AC228" s="241"/>
      <c r="AD228" s="241"/>
      <c r="AE228" s="241"/>
      <c r="AF228" s="221" t="str">
        <f ca="1">_xll.DBRW(Server&amp;Cube1,$F$17,$F$18,$F$19,$F$16,$C$14,$F$15,$F$14,$F$20,AF$2,$AF$1,$C228)</f>
        <v/>
      </c>
      <c r="AG228" s="53"/>
      <c r="AH228" s="53"/>
      <c r="AI228" s="53"/>
      <c r="AJ228" s="53"/>
      <c r="AK228" s="53"/>
      <c r="AL228" s="53"/>
      <c r="AM228" s="53"/>
      <c r="AN228" s="53"/>
      <c r="AO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:53" s="9" customFormat="1" ht="24" customHeight="1" x14ac:dyDescent="0.35">
      <c r="A229" s="181" t="e">
        <f ca="1">IF($AT$35="YES",1,IF(_xll.ELCOMPN(Server&amp;$C$24,C229)&lt;&gt;0,1,IF(OR(B229=$AZ$35,B229="ALL"),1,0)))</f>
        <v>#VALUE!</v>
      </c>
      <c r="B229" s="163" t="str">
        <f t="shared" ref="B229:B292" si="12">IF(ISERROR(MID(C229,FIND("_",C229,1)+1,2)),MID(C229,FIND("(",C229,1)+1,2),MID(C229,FIND("_",C229,1)+1,2))</f>
        <v>GM</v>
      </c>
      <c r="C229" s="158" t="s">
        <v>323</v>
      </c>
      <c r="E229" s="268" t="str">
        <f ca="1">_xll.DBRA(Server&amp;$C$24,$C229,$F$21)</f>
        <v>Frais de personnel (DG)</v>
      </c>
      <c r="F229" s="268"/>
      <c r="G229" s="268"/>
      <c r="H229" s="40"/>
      <c r="I229" s="221" t="str">
        <f ca="1">_xll.DBRW(Server&amp;Cube1,$F$17,$F$18,$F$19,$F$16,$C$14,$F$15,$F$14,$F$20,I$2,I$1,$C229)</f>
        <v/>
      </c>
      <c r="J229" s="221" t="str">
        <f ca="1">_xll.DBRW(Server&amp;Cube1,$F$17,$F$18,$F$19,$F$16,$C$14,$F$15,$F$14,$F$20,J$2,J$1,$C229)</f>
        <v/>
      </c>
      <c r="K229" s="221" t="e">
        <f ca="1">_xll.DBRW(Server&amp;Cube1,$F$17,$F$18,$F$19,$F$16,$C$14,$F$15,$F$14,$F$20,I$2,I$1,$C229) -_xll.DBRW(Server&amp;Cube1,$F$17,$F$18,$F$19,$F$16,$C$14,$F$15,$F$14,$F$20,K$2,I$1,$C229)</f>
        <v>#VALUE!</v>
      </c>
      <c r="L229" s="221" t="e">
        <f t="shared" ca="1" si="11"/>
        <v>#VALUE!</v>
      </c>
      <c r="M229" s="221" t="e">
        <f t="shared" ca="1" si="10"/>
        <v>#VALUE!</v>
      </c>
      <c r="N229" s="226"/>
      <c r="O229" s="221" t="str">
        <f ca="1">_xll.DBRW(Server&amp;Cube1,$F$17,$F$18,$F$19,$F$16,$C$14,$F$15,$F$14,$F$20,O$2,O$1,$C229)</f>
        <v/>
      </c>
      <c r="P229" s="226"/>
      <c r="Q229" s="240" t="str">
        <f ca="1">IF(_xll.ELCOMPN(Server&amp;$C$24,C229)=0,"YES","NO")</f>
        <v>YES</v>
      </c>
      <c r="R229" s="241">
        <v>0</v>
      </c>
      <c r="S229" s="226"/>
      <c r="T229" s="227" t="str">
        <f ca="1">_xll.DBRW(Server&amp;Cube1,$F$17,$F$18,$F$19,$F$16,$C$14,$F$15,$F$14,$F$20,T$2,$T$1,$C229)</f>
        <v/>
      </c>
      <c r="U229" s="227" t="str">
        <f ca="1">_xll.DBRW(Server&amp;Cube1,$F$17,$F$18,$F$19,$F$16,$C$14,$F$15,$F$14,$F$20,U$2,$U$1,$C229)</f>
        <v/>
      </c>
      <c r="V229" s="227" t="str">
        <f ca="1">_xll.DBRW(Server&amp;Cube1,$F$17,$F$18,$F$19,$F$16,$C$14,$F$15,$F$14,$F$20,V$2,V$1,$C229)</f>
        <v/>
      </c>
      <c r="W229" s="227" t="str">
        <f ca="1">_xll.DBRW(Server&amp;Cube1,$F$17,$F$18,$F$19,$F$16,$C$14,$F$15,$F$14,$F$20,W$2,W$1,$C229)</f>
        <v/>
      </c>
      <c r="X229" s="227" t="str">
        <f ca="1">_xll.DBRW(Server&amp;Cube1,$F$17,$F$18,$F$19,$F$16,$C$14,$F$15,$F$14,$F$20,X$2,X$1,$C229)</f>
        <v/>
      </c>
      <c r="Y229" s="227" t="str">
        <f ca="1">_xll.DBRW(Server&amp;Cube1,$F$17,$F$18,$F$19,$F$16,$C$14,$F$15,$F$14,$F$20,Y$2,Y$1,$C229)</f>
        <v/>
      </c>
      <c r="Z229" s="241"/>
      <c r="AA229" s="241"/>
      <c r="AB229" s="241"/>
      <c r="AC229" s="241"/>
      <c r="AD229" s="241"/>
      <c r="AE229" s="241"/>
      <c r="AF229" s="221" t="str">
        <f ca="1">_xll.DBRW(Server&amp;Cube1,$F$17,$F$18,$F$19,$F$16,$C$14,$F$15,$F$14,$F$20,AF$2,$AF$1,$C229)</f>
        <v/>
      </c>
      <c r="AG229" s="53"/>
      <c r="AH229" s="53"/>
      <c r="AI229" s="53"/>
      <c r="AJ229" s="53"/>
      <c r="AK229" s="53"/>
      <c r="AL229" s="53"/>
      <c r="AM229" s="53"/>
      <c r="AN229" s="53"/>
      <c r="AO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:53" s="9" customFormat="1" ht="24" customHeight="1" x14ac:dyDescent="0.35">
      <c r="A230" s="181" t="e">
        <f ca="1">IF($AT$35="YES",1,IF(_xll.ELCOMPN(Server&amp;$C$24,C230)&lt;&gt;0,1,IF(OR(B230=$AZ$35,B230="ALL"),1,0)))</f>
        <v>#VALUE!</v>
      </c>
      <c r="B230" s="163" t="str">
        <f t="shared" si="12"/>
        <v>IA</v>
      </c>
      <c r="C230" s="158" t="s">
        <v>324</v>
      </c>
      <c r="E230" s="268" t="str">
        <f ca="1">_xll.DBRA(Server&amp;$C$24,$C230,$F$21)</f>
        <v>Frais de personnel (AI)</v>
      </c>
      <c r="F230" s="268"/>
      <c r="G230" s="268"/>
      <c r="H230" s="40"/>
      <c r="I230" s="221" t="str">
        <f ca="1">_xll.DBRW(Server&amp;Cube1,$F$17,$F$18,$F$19,$F$16,$C$14,$F$15,$F$14,$F$20,I$2,I$1,$C230)</f>
        <v/>
      </c>
      <c r="J230" s="221" t="str">
        <f ca="1">_xll.DBRW(Server&amp;Cube1,$F$17,$F$18,$F$19,$F$16,$C$14,$F$15,$F$14,$F$20,J$2,J$1,$C230)</f>
        <v/>
      </c>
      <c r="K230" s="221" t="e">
        <f ca="1">_xll.DBRW(Server&amp;Cube1,$F$17,$F$18,$F$19,$F$16,$C$14,$F$15,$F$14,$F$20,I$2,I$1,$C230) -_xll.DBRW(Server&amp;Cube1,$F$17,$F$18,$F$19,$F$16,$C$14,$F$15,$F$14,$F$20,K$2,I$1,$C230)</f>
        <v>#VALUE!</v>
      </c>
      <c r="L230" s="221" t="e">
        <f t="shared" ca="1" si="11"/>
        <v>#VALUE!</v>
      </c>
      <c r="M230" s="221" t="e">
        <f t="shared" ca="1" si="10"/>
        <v>#VALUE!</v>
      </c>
      <c r="N230" s="226"/>
      <c r="O230" s="221" t="str">
        <f ca="1">_xll.DBRW(Server&amp;Cube1,$F$17,$F$18,$F$19,$F$16,$C$14,$F$15,$F$14,$F$20,O$2,O$1,$C230)</f>
        <v/>
      </c>
      <c r="P230" s="226"/>
      <c r="Q230" s="240" t="str">
        <f ca="1">IF(_xll.ELCOMPN(Server&amp;$C$24,C230)=0,"YES","NO")</f>
        <v>YES</v>
      </c>
      <c r="R230" s="241">
        <v>0</v>
      </c>
      <c r="S230" s="226"/>
      <c r="T230" s="227" t="str">
        <f ca="1">_xll.DBRW(Server&amp;Cube1,$F$17,$F$18,$F$19,$F$16,$C$14,$F$15,$F$14,$F$20,T$2,$T$1,$C230)</f>
        <v/>
      </c>
      <c r="U230" s="227" t="str">
        <f ca="1">_xll.DBRW(Server&amp;Cube1,$F$17,$F$18,$F$19,$F$16,$C$14,$F$15,$F$14,$F$20,U$2,$U$1,$C230)</f>
        <v/>
      </c>
      <c r="V230" s="227" t="str">
        <f ca="1">_xll.DBRW(Server&amp;Cube1,$F$17,$F$18,$F$19,$F$16,$C$14,$F$15,$F$14,$F$20,V$2,V$1,$C230)</f>
        <v/>
      </c>
      <c r="W230" s="227" t="str">
        <f ca="1">_xll.DBRW(Server&amp;Cube1,$F$17,$F$18,$F$19,$F$16,$C$14,$F$15,$F$14,$F$20,W$2,W$1,$C230)</f>
        <v/>
      </c>
      <c r="X230" s="227" t="str">
        <f ca="1">_xll.DBRW(Server&amp;Cube1,$F$17,$F$18,$F$19,$F$16,$C$14,$F$15,$F$14,$F$20,X$2,X$1,$C230)</f>
        <v/>
      </c>
      <c r="Y230" s="227" t="str">
        <f ca="1">_xll.DBRW(Server&amp;Cube1,$F$17,$F$18,$F$19,$F$16,$C$14,$F$15,$F$14,$F$20,Y$2,Y$1,$C230)</f>
        <v/>
      </c>
      <c r="Z230" s="241"/>
      <c r="AA230" s="241"/>
      <c r="AB230" s="241"/>
      <c r="AC230" s="241"/>
      <c r="AD230" s="241"/>
      <c r="AE230" s="241"/>
      <c r="AF230" s="221" t="str">
        <f ca="1">_xll.DBRW(Server&amp;Cube1,$F$17,$F$18,$F$19,$F$16,$C$14,$F$15,$F$14,$F$20,AF$2,$AF$1,$C230)</f>
        <v/>
      </c>
      <c r="AG230" s="53"/>
      <c r="AH230" s="53"/>
      <c r="AI230" s="53"/>
      <c r="AJ230" s="53"/>
      <c r="AK230" s="53"/>
      <c r="AL230" s="53"/>
      <c r="AM230" s="53"/>
      <c r="AN230" s="53"/>
      <c r="AO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:53" s="9" customFormat="1" ht="24" customHeight="1" x14ac:dyDescent="0.35">
      <c r="A231" s="181" t="e">
        <f ca="1">IF($AT$35="YES",1,IF(_xll.ELCOMPN(Server&amp;$C$24,C231)&lt;&gt;0,1,IF(OR(B231=$AZ$35,B231="ALL"),1,0)))</f>
        <v>#VALUE!</v>
      </c>
      <c r="B231" s="163" t="str">
        <f t="shared" si="12"/>
        <v>LE</v>
      </c>
      <c r="C231" s="158" t="s">
        <v>325</v>
      </c>
      <c r="E231" s="268" t="str">
        <f ca="1">_xll.DBRA(Server&amp;$C$24,$C231,$F$21)</f>
        <v>Frais de personnel (JU)</v>
      </c>
      <c r="F231" s="268"/>
      <c r="G231" s="268"/>
      <c r="H231" s="40"/>
      <c r="I231" s="221" t="str">
        <f ca="1">_xll.DBRW(Server&amp;Cube1,$F$17,$F$18,$F$19,$F$16,$C$14,$F$15,$F$14,$F$20,I$2,I$1,$C231)</f>
        <v/>
      </c>
      <c r="J231" s="221" t="str">
        <f ca="1">_xll.DBRW(Server&amp;Cube1,$F$17,$F$18,$F$19,$F$16,$C$14,$F$15,$F$14,$F$20,J$2,J$1,$C231)</f>
        <v/>
      </c>
      <c r="K231" s="221" t="e">
        <f ca="1">_xll.DBRW(Server&amp;Cube1,$F$17,$F$18,$F$19,$F$16,$C$14,$F$15,$F$14,$F$20,I$2,I$1,$C231) -_xll.DBRW(Server&amp;Cube1,$F$17,$F$18,$F$19,$F$16,$C$14,$F$15,$F$14,$F$20,K$2,I$1,$C231)</f>
        <v>#VALUE!</v>
      </c>
      <c r="L231" s="221" t="e">
        <f t="shared" ca="1" si="11"/>
        <v>#VALUE!</v>
      </c>
      <c r="M231" s="221" t="e">
        <f t="shared" ca="1" si="10"/>
        <v>#VALUE!</v>
      </c>
      <c r="N231" s="226"/>
      <c r="O231" s="221" t="str">
        <f ca="1">_xll.DBRW(Server&amp;Cube1,$F$17,$F$18,$F$19,$F$16,$C$14,$F$15,$F$14,$F$20,O$2,O$1,$C231)</f>
        <v/>
      </c>
      <c r="P231" s="226"/>
      <c r="Q231" s="240" t="str">
        <f ca="1">IF(_xll.ELCOMPN(Server&amp;$C$24,C231)=0,"YES","NO")</f>
        <v>YES</v>
      </c>
      <c r="R231" s="241">
        <v>0</v>
      </c>
      <c r="S231" s="226"/>
      <c r="T231" s="227" t="str">
        <f ca="1">_xll.DBRW(Server&amp;Cube1,$F$17,$F$18,$F$19,$F$16,$C$14,$F$15,$F$14,$F$20,T$2,$T$1,$C231)</f>
        <v/>
      </c>
      <c r="U231" s="227" t="str">
        <f ca="1">_xll.DBRW(Server&amp;Cube1,$F$17,$F$18,$F$19,$F$16,$C$14,$F$15,$F$14,$F$20,U$2,$U$1,$C231)</f>
        <v/>
      </c>
      <c r="V231" s="227" t="str">
        <f ca="1">_xll.DBRW(Server&amp;Cube1,$F$17,$F$18,$F$19,$F$16,$C$14,$F$15,$F$14,$F$20,V$2,V$1,$C231)</f>
        <v/>
      </c>
      <c r="W231" s="227" t="str">
        <f ca="1">_xll.DBRW(Server&amp;Cube1,$F$17,$F$18,$F$19,$F$16,$C$14,$F$15,$F$14,$F$20,W$2,W$1,$C231)</f>
        <v/>
      </c>
      <c r="X231" s="227" t="str">
        <f ca="1">_xll.DBRW(Server&amp;Cube1,$F$17,$F$18,$F$19,$F$16,$C$14,$F$15,$F$14,$F$20,X$2,X$1,$C231)</f>
        <v/>
      </c>
      <c r="Y231" s="227" t="str">
        <f ca="1">_xll.DBRW(Server&amp;Cube1,$F$17,$F$18,$F$19,$F$16,$C$14,$F$15,$F$14,$F$20,Y$2,Y$1,$C231)</f>
        <v/>
      </c>
      <c r="Z231" s="241"/>
      <c r="AA231" s="241"/>
      <c r="AB231" s="241"/>
      <c r="AC231" s="241"/>
      <c r="AD231" s="241"/>
      <c r="AE231" s="241"/>
      <c r="AF231" s="221" t="str">
        <f ca="1">_xll.DBRW(Server&amp;Cube1,$F$17,$F$18,$F$19,$F$16,$C$14,$F$15,$F$14,$F$20,AF$2,$AF$1,$C231)</f>
        <v/>
      </c>
      <c r="AG231" s="53"/>
      <c r="AH231" s="53"/>
      <c r="AI231" s="53"/>
      <c r="AJ231" s="53"/>
      <c r="AK231" s="53"/>
      <c r="AL231" s="53"/>
      <c r="AM231" s="53"/>
      <c r="AN231" s="53"/>
      <c r="AO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:53" s="9" customFormat="1" ht="24" customHeight="1" x14ac:dyDescent="0.35">
      <c r="A232" s="181" t="e">
        <f ca="1">IF($AT$35="YES",1,IF(_xll.ELCOMPN(Server&amp;$C$24,C232)&lt;&gt;0,1,IF(OR(B232=$AZ$35,B232="ALL"),1,0)))</f>
        <v>#VALUE!</v>
      </c>
      <c r="B232" s="163" t="str">
        <f t="shared" si="12"/>
        <v>RM</v>
      </c>
      <c r="C232" s="158" t="s">
        <v>326</v>
      </c>
      <c r="E232" s="268" t="str">
        <f ca="1">_xll.DBRA(Server&amp;$C$24,$C232,$F$21)</f>
        <v>Frais de personnel (GR)</v>
      </c>
      <c r="F232" s="268"/>
      <c r="G232" s="268"/>
      <c r="H232" s="40"/>
      <c r="I232" s="221" t="str">
        <f ca="1">_xll.DBRW(Server&amp;Cube1,$F$17,$F$18,$F$19,$F$16,$C$14,$F$15,$F$14,$F$20,I$2,I$1,$C232)</f>
        <v/>
      </c>
      <c r="J232" s="221" t="str">
        <f ca="1">_xll.DBRW(Server&amp;Cube1,$F$17,$F$18,$F$19,$F$16,$C$14,$F$15,$F$14,$F$20,J$2,J$1,$C232)</f>
        <v/>
      </c>
      <c r="K232" s="221" t="e">
        <f ca="1">_xll.DBRW(Server&amp;Cube1,$F$17,$F$18,$F$19,$F$16,$C$14,$F$15,$F$14,$F$20,I$2,I$1,$C232) -_xll.DBRW(Server&amp;Cube1,$F$17,$F$18,$F$19,$F$16,$C$14,$F$15,$F$14,$F$20,K$2,I$1,$C232)</f>
        <v>#VALUE!</v>
      </c>
      <c r="L232" s="221" t="e">
        <f t="shared" ca="1" si="11"/>
        <v>#VALUE!</v>
      </c>
      <c r="M232" s="221" t="e">
        <f t="shared" ca="1" si="10"/>
        <v>#VALUE!</v>
      </c>
      <c r="N232" s="226"/>
      <c r="O232" s="221" t="str">
        <f ca="1">_xll.DBRW(Server&amp;Cube1,$F$17,$F$18,$F$19,$F$16,$C$14,$F$15,$F$14,$F$20,O$2,O$1,$C232)</f>
        <v/>
      </c>
      <c r="P232" s="226"/>
      <c r="Q232" s="240" t="str">
        <f ca="1">IF(_xll.ELCOMPN(Server&amp;$C$24,C232)=0,"YES","NO")</f>
        <v>YES</v>
      </c>
      <c r="R232" s="241">
        <v>0</v>
      </c>
      <c r="S232" s="226"/>
      <c r="T232" s="227" t="str">
        <f ca="1">_xll.DBRW(Server&amp;Cube1,$F$17,$F$18,$F$19,$F$16,$C$14,$F$15,$F$14,$F$20,T$2,$T$1,$C232)</f>
        <v/>
      </c>
      <c r="U232" s="227" t="str">
        <f ca="1">_xll.DBRW(Server&amp;Cube1,$F$17,$F$18,$F$19,$F$16,$C$14,$F$15,$F$14,$F$20,U$2,$U$1,$C232)</f>
        <v/>
      </c>
      <c r="V232" s="227" t="str">
        <f ca="1">_xll.DBRW(Server&amp;Cube1,$F$17,$F$18,$F$19,$F$16,$C$14,$F$15,$F$14,$F$20,V$2,V$1,$C232)</f>
        <v/>
      </c>
      <c r="W232" s="227" t="str">
        <f ca="1">_xll.DBRW(Server&amp;Cube1,$F$17,$F$18,$F$19,$F$16,$C$14,$F$15,$F$14,$F$20,W$2,W$1,$C232)</f>
        <v/>
      </c>
      <c r="X232" s="227" t="str">
        <f ca="1">_xll.DBRW(Server&amp;Cube1,$F$17,$F$18,$F$19,$F$16,$C$14,$F$15,$F$14,$F$20,X$2,X$1,$C232)</f>
        <v/>
      </c>
      <c r="Y232" s="227" t="str">
        <f ca="1">_xll.DBRW(Server&amp;Cube1,$F$17,$F$18,$F$19,$F$16,$C$14,$F$15,$F$14,$F$20,Y$2,Y$1,$C232)</f>
        <v/>
      </c>
      <c r="Z232" s="241"/>
      <c r="AA232" s="241"/>
      <c r="AB232" s="241"/>
      <c r="AC232" s="241"/>
      <c r="AD232" s="241"/>
      <c r="AE232" s="241"/>
      <c r="AF232" s="221" t="str">
        <f ca="1">_xll.DBRW(Server&amp;Cube1,$F$17,$F$18,$F$19,$F$16,$C$14,$F$15,$F$14,$F$20,AF$2,$AF$1,$C232)</f>
        <v/>
      </c>
      <c r="AG232" s="53"/>
      <c r="AH232" s="53"/>
      <c r="AI232" s="53"/>
      <c r="AJ232" s="53"/>
      <c r="AK232" s="53"/>
      <c r="AL232" s="53"/>
      <c r="AM232" s="53"/>
      <c r="AN232" s="53"/>
      <c r="AO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:53" s="9" customFormat="1" ht="24" customHeight="1" x14ac:dyDescent="0.35">
      <c r="A233" s="181" t="e">
        <f ca="1">IF($AT$35="YES",1,IF(_xll.ELCOMPN(Server&amp;$C$24,C233)&lt;&gt;0,1,IF(OR(B233=$AZ$35,B233="ALL"),1,0)))</f>
        <v>#VALUE!</v>
      </c>
      <c r="B233" s="163" t="str">
        <f t="shared" si="12"/>
        <v>PU</v>
      </c>
      <c r="C233" s="158" t="s">
        <v>327</v>
      </c>
      <c r="E233" s="268" t="str">
        <f ca="1">_xll.DBRA(Server&amp;$C$24,$C233,$F$21)</f>
        <v>Frais de personnel (AC)</v>
      </c>
      <c r="F233" s="268"/>
      <c r="G233" s="268"/>
      <c r="H233" s="40"/>
      <c r="I233" s="221" t="str">
        <f ca="1">_xll.DBRW(Server&amp;Cube1,$F$17,$F$18,$F$19,$F$16,$C$14,$F$15,$F$14,$F$20,I$2,I$1,$C233)</f>
        <v/>
      </c>
      <c r="J233" s="221" t="str">
        <f ca="1">_xll.DBRW(Server&amp;Cube1,$F$17,$F$18,$F$19,$F$16,$C$14,$F$15,$F$14,$F$20,J$2,J$1,$C233)</f>
        <v/>
      </c>
      <c r="K233" s="221" t="e">
        <f ca="1">_xll.DBRW(Server&amp;Cube1,$F$17,$F$18,$F$19,$F$16,$C$14,$F$15,$F$14,$F$20,I$2,I$1,$C233) -_xll.DBRW(Server&amp;Cube1,$F$17,$F$18,$F$19,$F$16,$C$14,$F$15,$F$14,$F$20,K$2,I$1,$C233)</f>
        <v>#VALUE!</v>
      </c>
      <c r="L233" s="221" t="e">
        <f t="shared" ca="1" si="11"/>
        <v>#VALUE!</v>
      </c>
      <c r="M233" s="221" t="e">
        <f t="shared" ca="1" si="10"/>
        <v>#VALUE!</v>
      </c>
      <c r="N233" s="226"/>
      <c r="O233" s="221" t="str">
        <f ca="1">_xll.DBRW(Server&amp;Cube1,$F$17,$F$18,$F$19,$F$16,$C$14,$F$15,$F$14,$F$20,O$2,O$1,$C233)</f>
        <v/>
      </c>
      <c r="P233" s="226"/>
      <c r="Q233" s="240" t="str">
        <f ca="1">IF(_xll.ELCOMPN(Server&amp;$C$24,C233)=0,"YES","NO")</f>
        <v>YES</v>
      </c>
      <c r="R233" s="241">
        <v>0</v>
      </c>
      <c r="S233" s="226"/>
      <c r="T233" s="227" t="str">
        <f ca="1">_xll.DBRW(Server&amp;Cube1,$F$17,$F$18,$F$19,$F$16,$C$14,$F$15,$F$14,$F$20,T$2,$T$1,$C233)</f>
        <v/>
      </c>
      <c r="U233" s="227" t="str">
        <f ca="1">_xll.DBRW(Server&amp;Cube1,$F$17,$F$18,$F$19,$F$16,$C$14,$F$15,$F$14,$F$20,U$2,$U$1,$C233)</f>
        <v/>
      </c>
      <c r="V233" s="227" t="str">
        <f ca="1">_xll.DBRW(Server&amp;Cube1,$F$17,$F$18,$F$19,$F$16,$C$14,$F$15,$F$14,$F$20,V$2,V$1,$C233)</f>
        <v/>
      </c>
      <c r="W233" s="227" t="str">
        <f ca="1">_xll.DBRW(Server&amp;Cube1,$F$17,$F$18,$F$19,$F$16,$C$14,$F$15,$F$14,$F$20,W$2,W$1,$C233)</f>
        <v/>
      </c>
      <c r="X233" s="227" t="str">
        <f ca="1">_xll.DBRW(Server&amp;Cube1,$F$17,$F$18,$F$19,$F$16,$C$14,$F$15,$F$14,$F$20,X$2,X$1,$C233)</f>
        <v/>
      </c>
      <c r="Y233" s="227" t="str">
        <f ca="1">_xll.DBRW(Server&amp;Cube1,$F$17,$F$18,$F$19,$F$16,$C$14,$F$15,$F$14,$F$20,Y$2,Y$1,$C233)</f>
        <v/>
      </c>
      <c r="Z233" s="241"/>
      <c r="AA233" s="241"/>
      <c r="AB233" s="241"/>
      <c r="AC233" s="241"/>
      <c r="AD233" s="241"/>
      <c r="AE233" s="241"/>
      <c r="AF233" s="221" t="str">
        <f ca="1">_xll.DBRW(Server&amp;Cube1,$F$17,$F$18,$F$19,$F$16,$C$14,$F$15,$F$14,$F$20,AF$2,$AF$1,$C233)</f>
        <v/>
      </c>
      <c r="AG233" s="53"/>
      <c r="AH233" s="53"/>
      <c r="AI233" s="53"/>
      <c r="AJ233" s="53"/>
      <c r="AK233" s="53"/>
      <c r="AL233" s="53"/>
      <c r="AM233" s="53"/>
      <c r="AN233" s="53"/>
      <c r="AO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:53" s="9" customFormat="1" ht="24" customHeight="1" x14ac:dyDescent="0.35">
      <c r="A234" s="181" t="e">
        <f ca="1">IF($AT$35="YES",1,IF(_xll.ELCOMPN(Server&amp;$C$24,C234)&lt;&gt;0,1,IF(OR(B234=$AZ$35,B234="ALL"),1,0)))</f>
        <v>#VALUE!</v>
      </c>
      <c r="B234" s="163" t="str">
        <f t="shared" si="12"/>
        <v>CO</v>
      </c>
      <c r="C234" s="158" t="s">
        <v>328</v>
      </c>
      <c r="E234" s="268" t="str">
        <f ca="1">_xll.DBRA(Server&amp;$C$24,$C234,$F$21)</f>
        <v>Frais de personnel (CO)</v>
      </c>
      <c r="F234" s="268"/>
      <c r="G234" s="268"/>
      <c r="H234" s="40"/>
      <c r="I234" s="221" t="str">
        <f ca="1">_xll.DBRW(Server&amp;Cube1,$F$17,$F$18,$F$19,$F$16,$C$14,$F$15,$F$14,$F$20,I$2,I$1,$C234)</f>
        <v/>
      </c>
      <c r="J234" s="221" t="str">
        <f ca="1">_xll.DBRW(Server&amp;Cube1,$F$17,$F$18,$F$19,$F$16,$C$14,$F$15,$F$14,$F$20,J$2,J$1,$C234)</f>
        <v/>
      </c>
      <c r="K234" s="221" t="e">
        <f ca="1">_xll.DBRW(Server&amp;Cube1,$F$17,$F$18,$F$19,$F$16,$C$14,$F$15,$F$14,$F$20,I$2,I$1,$C234) -_xll.DBRW(Server&amp;Cube1,$F$17,$F$18,$F$19,$F$16,$C$14,$F$15,$F$14,$F$20,K$2,I$1,$C234)</f>
        <v>#VALUE!</v>
      </c>
      <c r="L234" s="221" t="e">
        <f t="shared" ca="1" si="11"/>
        <v>#VALUE!</v>
      </c>
      <c r="M234" s="221" t="e">
        <f t="shared" ca="1" si="10"/>
        <v>#VALUE!</v>
      </c>
      <c r="N234" s="226"/>
      <c r="O234" s="221" t="str">
        <f ca="1">_xll.DBRW(Server&amp;Cube1,$F$17,$F$18,$F$19,$F$16,$C$14,$F$15,$F$14,$F$20,O$2,O$1,$C234)</f>
        <v/>
      </c>
      <c r="P234" s="226"/>
      <c r="Q234" s="240" t="str">
        <f ca="1">IF(_xll.ELCOMPN(Server&amp;$C$24,C234)=0,"YES","NO")</f>
        <v>YES</v>
      </c>
      <c r="R234" s="241">
        <v>0</v>
      </c>
      <c r="S234" s="226"/>
      <c r="T234" s="227" t="str">
        <f ca="1">_xll.DBRW(Server&amp;Cube1,$F$17,$F$18,$F$19,$F$16,$C$14,$F$15,$F$14,$F$20,T$2,$T$1,$C234)</f>
        <v/>
      </c>
      <c r="U234" s="227" t="str">
        <f ca="1">_xll.DBRW(Server&amp;Cube1,$F$17,$F$18,$F$19,$F$16,$C$14,$F$15,$F$14,$F$20,U$2,$U$1,$C234)</f>
        <v/>
      </c>
      <c r="V234" s="227" t="str">
        <f ca="1">_xll.DBRW(Server&amp;Cube1,$F$17,$F$18,$F$19,$F$16,$C$14,$F$15,$F$14,$F$20,V$2,V$1,$C234)</f>
        <v/>
      </c>
      <c r="W234" s="227" t="str">
        <f ca="1">_xll.DBRW(Server&amp;Cube1,$F$17,$F$18,$F$19,$F$16,$C$14,$F$15,$F$14,$F$20,W$2,W$1,$C234)</f>
        <v/>
      </c>
      <c r="X234" s="227" t="str">
        <f ca="1">_xll.DBRW(Server&amp;Cube1,$F$17,$F$18,$F$19,$F$16,$C$14,$F$15,$F$14,$F$20,X$2,X$1,$C234)</f>
        <v/>
      </c>
      <c r="Y234" s="227" t="str">
        <f ca="1">_xll.DBRW(Server&amp;Cube1,$F$17,$F$18,$F$19,$F$16,$C$14,$F$15,$F$14,$F$20,Y$2,Y$1,$C234)</f>
        <v/>
      </c>
      <c r="Z234" s="241"/>
      <c r="AA234" s="241"/>
      <c r="AB234" s="241"/>
      <c r="AC234" s="241"/>
      <c r="AD234" s="241"/>
      <c r="AE234" s="241"/>
      <c r="AF234" s="221" t="str">
        <f ca="1">_xll.DBRW(Server&amp;Cube1,$F$17,$F$18,$F$19,$F$16,$C$14,$F$15,$F$14,$F$20,AF$2,$AF$1,$C234)</f>
        <v/>
      </c>
      <c r="AG234" s="53"/>
      <c r="AH234" s="53"/>
      <c r="AI234" s="53"/>
      <c r="AJ234" s="53"/>
      <c r="AK234" s="53"/>
      <c r="AL234" s="53"/>
      <c r="AM234" s="53"/>
      <c r="AN234" s="53"/>
      <c r="AO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:53" s="9" customFormat="1" ht="24" customHeight="1" x14ac:dyDescent="0.35">
      <c r="A235" s="181" t="e">
        <f ca="1">IF($AT$35="YES",1,IF(_xll.ELCOMPN(Server&amp;$C$24,C235)&lt;&gt;0,1,IF(OR(B235=$AZ$35,B235="ALL"),1,0)))</f>
        <v>#VALUE!</v>
      </c>
      <c r="B235" s="163" t="str">
        <f t="shared" si="12"/>
        <v>GS</v>
      </c>
      <c r="C235" s="158" t="s">
        <v>329</v>
      </c>
      <c r="E235" s="268" t="str">
        <f ca="1">_xll.DBRA(Server&amp;$C$24,$C235,$F$21)</f>
        <v>Frais de personnel (SG)</v>
      </c>
      <c r="F235" s="268"/>
      <c r="G235" s="268"/>
      <c r="H235" s="40"/>
      <c r="I235" s="221" t="str">
        <f ca="1">_xll.DBRW(Server&amp;Cube1,$F$17,$F$18,$F$19,$F$16,$C$14,$F$15,$F$14,$F$20,I$2,I$1,$C235)</f>
        <v/>
      </c>
      <c r="J235" s="221" t="str">
        <f ca="1">_xll.DBRW(Server&amp;Cube1,$F$17,$F$18,$F$19,$F$16,$C$14,$F$15,$F$14,$F$20,J$2,J$1,$C235)</f>
        <v/>
      </c>
      <c r="K235" s="221" t="e">
        <f ca="1">_xll.DBRW(Server&amp;Cube1,$F$17,$F$18,$F$19,$F$16,$C$14,$F$15,$F$14,$F$20,I$2,I$1,$C235) -_xll.DBRW(Server&amp;Cube1,$F$17,$F$18,$F$19,$F$16,$C$14,$F$15,$F$14,$F$20,K$2,I$1,$C235)</f>
        <v>#VALUE!</v>
      </c>
      <c r="L235" s="221" t="e">
        <f t="shared" ca="1" si="11"/>
        <v>#VALUE!</v>
      </c>
      <c r="M235" s="221" t="e">
        <f t="shared" ca="1" si="10"/>
        <v>#VALUE!</v>
      </c>
      <c r="N235" s="226"/>
      <c r="O235" s="221" t="str">
        <f ca="1">_xll.DBRW(Server&amp;Cube1,$F$17,$F$18,$F$19,$F$16,$C$14,$F$15,$F$14,$F$20,O$2,O$1,$C235)</f>
        <v/>
      </c>
      <c r="P235" s="226"/>
      <c r="Q235" s="240" t="str">
        <f ca="1">IF(_xll.ELCOMPN(Server&amp;$C$24,C235)=0,"YES","NO")</f>
        <v>YES</v>
      </c>
      <c r="R235" s="241">
        <v>0</v>
      </c>
      <c r="S235" s="226"/>
      <c r="T235" s="227" t="str">
        <f ca="1">_xll.DBRW(Server&amp;Cube1,$F$17,$F$18,$F$19,$F$16,$C$14,$F$15,$F$14,$F$20,T$2,$T$1,$C235)</f>
        <v/>
      </c>
      <c r="U235" s="227" t="str">
        <f ca="1">_xll.DBRW(Server&amp;Cube1,$F$17,$F$18,$F$19,$F$16,$C$14,$F$15,$F$14,$F$20,U$2,$U$1,$C235)</f>
        <v/>
      </c>
      <c r="V235" s="227" t="str">
        <f ca="1">_xll.DBRW(Server&amp;Cube1,$F$17,$F$18,$F$19,$F$16,$C$14,$F$15,$F$14,$F$20,V$2,V$1,$C235)</f>
        <v/>
      </c>
      <c r="W235" s="227" t="str">
        <f ca="1">_xll.DBRW(Server&amp;Cube1,$F$17,$F$18,$F$19,$F$16,$C$14,$F$15,$F$14,$F$20,W$2,W$1,$C235)</f>
        <v/>
      </c>
      <c r="X235" s="227" t="str">
        <f ca="1">_xll.DBRW(Server&amp;Cube1,$F$17,$F$18,$F$19,$F$16,$C$14,$F$15,$F$14,$F$20,X$2,X$1,$C235)</f>
        <v/>
      </c>
      <c r="Y235" s="227" t="str">
        <f ca="1">_xll.DBRW(Server&amp;Cube1,$F$17,$F$18,$F$19,$F$16,$C$14,$F$15,$F$14,$F$20,Y$2,Y$1,$C235)</f>
        <v/>
      </c>
      <c r="Z235" s="241"/>
      <c r="AA235" s="241"/>
      <c r="AB235" s="241"/>
      <c r="AC235" s="241"/>
      <c r="AD235" s="241"/>
      <c r="AE235" s="241"/>
      <c r="AF235" s="221" t="str">
        <f ca="1">_xll.DBRW(Server&amp;Cube1,$F$17,$F$18,$F$19,$F$16,$C$14,$F$15,$F$14,$F$20,AF$2,$AF$1,$C235)</f>
        <v/>
      </c>
      <c r="AG235" s="53"/>
      <c r="AH235" s="53"/>
      <c r="AI235" s="53"/>
      <c r="AJ235" s="53"/>
      <c r="AK235" s="53"/>
      <c r="AL235" s="53"/>
      <c r="AM235" s="53"/>
      <c r="AN235" s="53"/>
      <c r="AO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:53" s="9" customFormat="1" ht="24" customHeight="1" x14ac:dyDescent="0.35">
      <c r="A236" s="181" t="e">
        <f ca="1">IF($AT$35="YES",1,IF(_xll.ELCOMPN(Server&amp;$C$24,C236)&lt;&gt;0,1,IF(OR(B236=$AZ$35,B236="ALL"),1,0)))</f>
        <v>#VALUE!</v>
      </c>
      <c r="B236" s="163" t="str">
        <f t="shared" si="12"/>
        <v>RD</v>
      </c>
      <c r="C236" s="158" t="s">
        <v>330</v>
      </c>
      <c r="E236" s="268" t="str">
        <f ca="1">_xll.DBRA(Server&amp;$C$24,$C236,$F$21)</f>
        <v>Frais de personnel (RD)</v>
      </c>
      <c r="F236" s="268"/>
      <c r="G236" s="268"/>
      <c r="H236" s="40"/>
      <c r="I236" s="221" t="str">
        <f ca="1">_xll.DBRW(Server&amp;Cube1,$F$17,$F$18,$F$19,$F$16,$C$14,$F$15,$F$14,$F$20,I$2,I$1,$C236)</f>
        <v/>
      </c>
      <c r="J236" s="221" t="str">
        <f ca="1">_xll.DBRW(Server&amp;Cube1,$F$17,$F$18,$F$19,$F$16,$C$14,$F$15,$F$14,$F$20,J$2,J$1,$C236)</f>
        <v/>
      </c>
      <c r="K236" s="221" t="e">
        <f ca="1">_xll.DBRW(Server&amp;Cube1,$F$17,$F$18,$F$19,$F$16,$C$14,$F$15,$F$14,$F$20,I$2,I$1,$C236) -_xll.DBRW(Server&amp;Cube1,$F$17,$F$18,$F$19,$F$16,$C$14,$F$15,$F$14,$F$20,K$2,I$1,$C236)</f>
        <v>#VALUE!</v>
      </c>
      <c r="L236" s="221" t="e">
        <f t="shared" ca="1" si="11"/>
        <v>#VALUE!</v>
      </c>
      <c r="M236" s="221" t="e">
        <f t="shared" ca="1" si="10"/>
        <v>#VALUE!</v>
      </c>
      <c r="N236" s="226"/>
      <c r="O236" s="221" t="str">
        <f ca="1">_xll.DBRW(Server&amp;Cube1,$F$17,$F$18,$F$19,$F$16,$C$14,$F$15,$F$14,$F$20,O$2,O$1,$C236)</f>
        <v/>
      </c>
      <c r="P236" s="226"/>
      <c r="Q236" s="240" t="str">
        <f ca="1">IF(_xll.ELCOMPN(Server&amp;$C$24,C236)=0,"YES","NO")</f>
        <v>YES</v>
      </c>
      <c r="R236" s="241">
        <v>0</v>
      </c>
      <c r="S236" s="226"/>
      <c r="T236" s="227" t="str">
        <f ca="1">_xll.DBRW(Server&amp;Cube1,$F$17,$F$18,$F$19,$F$16,$C$14,$F$15,$F$14,$F$20,T$2,$T$1,$C236)</f>
        <v/>
      </c>
      <c r="U236" s="227" t="str">
        <f ca="1">_xll.DBRW(Server&amp;Cube1,$F$17,$F$18,$F$19,$F$16,$C$14,$F$15,$F$14,$F$20,U$2,$U$1,$C236)</f>
        <v/>
      </c>
      <c r="V236" s="227" t="str">
        <f ca="1">_xll.DBRW(Server&amp;Cube1,$F$17,$F$18,$F$19,$F$16,$C$14,$F$15,$F$14,$F$20,V$2,V$1,$C236)</f>
        <v/>
      </c>
      <c r="W236" s="227" t="str">
        <f ca="1">_xll.DBRW(Server&amp;Cube1,$F$17,$F$18,$F$19,$F$16,$C$14,$F$15,$F$14,$F$20,W$2,W$1,$C236)</f>
        <v/>
      </c>
      <c r="X236" s="227" t="str">
        <f ca="1">_xll.DBRW(Server&amp;Cube1,$F$17,$F$18,$F$19,$F$16,$C$14,$F$15,$F$14,$F$20,X$2,X$1,$C236)</f>
        <v/>
      </c>
      <c r="Y236" s="227" t="str">
        <f ca="1">_xll.DBRW(Server&amp;Cube1,$F$17,$F$18,$F$19,$F$16,$C$14,$F$15,$F$14,$F$20,Y$2,Y$1,$C236)</f>
        <v/>
      </c>
      <c r="Z236" s="241"/>
      <c r="AA236" s="241"/>
      <c r="AB236" s="241"/>
      <c r="AC236" s="241"/>
      <c r="AD236" s="241"/>
      <c r="AE236" s="241"/>
      <c r="AF236" s="221" t="str">
        <f ca="1">_xll.DBRW(Server&amp;Cube1,$F$17,$F$18,$F$19,$F$16,$C$14,$F$15,$F$14,$F$20,AF$2,$AF$1,$C236)</f>
        <v/>
      </c>
      <c r="AG236" s="53"/>
      <c r="AH236" s="53"/>
      <c r="AI236" s="53"/>
      <c r="AJ236" s="53"/>
      <c r="AK236" s="53"/>
      <c r="AL236" s="53"/>
      <c r="AM236" s="53"/>
      <c r="AN236" s="53"/>
      <c r="AO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:53" s="9" customFormat="1" ht="24" customHeight="1" x14ac:dyDescent="0.35">
      <c r="A237" s="181">
        <f ca="1">IF($AT$35="YES",1,IF(_xll.ELCOMPN(Server&amp;$C$24,C237)&lt;&gt;0,1,IF(OR(B237=$AZ$35,B237="ALL"),1,0)))</f>
        <v>1</v>
      </c>
      <c r="B237" s="163" t="str">
        <f t="shared" si="12"/>
        <v>in</v>
      </c>
      <c r="C237" s="117" t="s">
        <v>106</v>
      </c>
      <c r="E237" s="272" t="str">
        <f ca="1">_xll.DBRA(Server&amp;$C$24,$C237,$F$21)</f>
        <v>Personnel Intérimaire</v>
      </c>
      <c r="F237" s="272"/>
      <c r="G237" s="272"/>
      <c r="H237" s="40"/>
      <c r="I237" s="221" t="str">
        <f ca="1">_xll.DBRW(Server&amp;Cube1,$F$17,$F$18,$F$19,$F$16,$C$14,$F$15,$F$14,$F$20,I$2,I$1,$C237)</f>
        <v/>
      </c>
      <c r="J237" s="221" t="str">
        <f ca="1">_xll.DBRW(Server&amp;Cube1,$F$17,$F$18,$F$19,$F$16,$C$14,$F$15,$F$14,$F$20,J$2,J$1,$C237)</f>
        <v/>
      </c>
      <c r="K237" s="221" t="e">
        <f ca="1">_xll.DBRW(Server&amp;Cube1,$F$17,$F$18,$F$19,$F$16,$C$14,$F$15,$F$14,$F$20,I$2,I$1,$C237) -_xll.DBRW(Server&amp;Cube1,$F$17,$F$18,$F$19,$F$16,$C$14,$F$15,$F$14,$F$20,K$2,I$1,$C237)</f>
        <v>#VALUE!</v>
      </c>
      <c r="L237" s="221" t="e">
        <f t="shared" ca="1" si="11"/>
        <v>#VALUE!</v>
      </c>
      <c r="M237" s="221" t="e">
        <f t="shared" ca="1" si="10"/>
        <v>#VALUE!</v>
      </c>
      <c r="N237" s="226"/>
      <c r="O237" s="226" t="str">
        <f ca="1">_xll.DBRW(Server&amp;Cube1,$F$17,$F$18,$F$19,$F$16,$C$14,$F$15,$F$14,$F$20,O$2,O$1,$C237)</f>
        <v/>
      </c>
      <c r="P237" s="226"/>
      <c r="Q237" s="240" t="str">
        <f ca="1">IF(_xll.ELCOMPN(Server&amp;$C$24,C237)=0,"YES","NO")</f>
        <v>NO</v>
      </c>
      <c r="R237" s="226"/>
      <c r="S237" s="226"/>
      <c r="T237" s="232" t="str">
        <f ca="1">_xll.DBRW(Server&amp;Cube1,$F$17,$F$18,$F$19,$F$16,$C$14,$F$15,$F$14,$F$20,T$2,$T$1,$C237)</f>
        <v/>
      </c>
      <c r="U237" s="232" t="str">
        <f ca="1">_xll.DBRW(Server&amp;Cube1,$F$17,$F$18,$F$19,$F$16,$C$14,$F$15,$F$14,$F$20,U$2,$U$1,$C237)</f>
        <v/>
      </c>
      <c r="V237" s="232" t="str">
        <f ca="1">_xll.DBRW(Server&amp;Cube1,$F$17,$F$18,$F$19,$F$16,$C$14,$F$15,$F$14,$F$20,V$2,V$1,$C237)</f>
        <v/>
      </c>
      <c r="W237" s="232" t="str">
        <f ca="1">_xll.DBRW(Server&amp;Cube1,$F$17,$F$18,$F$19,$F$16,$C$14,$F$15,$F$14,$F$20,W$2,W$1,$C237)</f>
        <v/>
      </c>
      <c r="X237" s="226" t="str">
        <f ca="1">_xll.DBRW(Server&amp;Cube1,$F$17,$F$18,$F$19,$F$16,$C$14,$F$15,$F$14,$F$20,X$2,X$1,$C237)</f>
        <v/>
      </c>
      <c r="Y237" s="226" t="str">
        <f ca="1">_xll.DBRW(Server&amp;Cube1,$F$17,$F$18,$F$19,$F$16,$C$14,$F$15,$F$14,$F$20,Y$2,Y$1,$C237)</f>
        <v/>
      </c>
      <c r="Z237" s="226" t="str">
        <f ca="1">_xll.DBRW(Server&amp;Cube1,$F$17,$F$18,$F$19,$F$16,$C$14,$F$15,$F$14,$F$20,Z$2,Z$1,$C237)</f>
        <v/>
      </c>
      <c r="AA237" s="226" t="str">
        <f ca="1">_xll.DBRW(Server&amp;Cube1,$F$17,$F$18,$F$19,$F$16,$C$14,$F$15,$F$14,$F$20,AA$2,AA$1,$C237)</f>
        <v/>
      </c>
      <c r="AB237" s="226" t="str">
        <f ca="1">_xll.DBRW(Server&amp;Cube1,$F$17,$F$18,$F$19,$F$16,$C$14,$F$15,$F$14,$F$20,AB$2,AB$1,$C237)</f>
        <v/>
      </c>
      <c r="AC237" s="226" t="str">
        <f ca="1">_xll.DBRW(Server&amp;Cube1,$F$17,$F$18,$F$19,$F$16,$C$14,$F$15,$F$14,$F$20,AC$2,AC$1,$C237)</f>
        <v/>
      </c>
      <c r="AD237" s="226" t="str">
        <f ca="1">_xll.DBRW(Server&amp;Cube1,$F$17,$F$18,$F$19,$F$16,$C$14,$F$15,$F$14,$F$20,AD$2,AD$1,$C237)</f>
        <v/>
      </c>
      <c r="AE237" s="226" t="str">
        <f ca="1">_xll.DBRW(Server&amp;Cube1,$F$17,$F$18,$F$19,$F$16,$C$14,$F$15,$F$14,$F$20,AE$2,AE$1,$C237)</f>
        <v/>
      </c>
      <c r="AF237" s="226" t="str">
        <f ca="1">_xll.DBRW(Server&amp;Cube1,$F$17,$F$18,$F$19,$F$16,$C$14,$F$15,$F$14,$F$20,AF$2,$AF$1,$C237)</f>
        <v/>
      </c>
      <c r="AG237" s="53"/>
      <c r="AH237" s="53"/>
      <c r="AI237" s="53"/>
      <c r="AJ237" s="53"/>
      <c r="AK237" s="53"/>
      <c r="AL237" s="53"/>
      <c r="AM237" s="53"/>
      <c r="AN237" s="53"/>
      <c r="AO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:53" s="9" customFormat="1" ht="24" customHeight="1" x14ac:dyDescent="0.35">
      <c r="A238" s="181" t="e">
        <f ca="1">IF($AT$35="YES",1,IF(_xll.ELCOMPN(Server&amp;$C$24,C238)&lt;&gt;0,1,IF(OR(B238=$AZ$35,B238="ALL"),1,0)))</f>
        <v>#VALUE!</v>
      </c>
      <c r="B238" s="163" t="str">
        <f t="shared" si="12"/>
        <v>DS</v>
      </c>
      <c r="C238" s="158" t="s">
        <v>331</v>
      </c>
      <c r="E238" s="270" t="str">
        <f ca="1">_xll.DBRA(Server&amp;$C$24,$C238,$F$21)</f>
        <v>Personnel intérimaire (SO)</v>
      </c>
      <c r="F238" s="270"/>
      <c r="G238" s="270"/>
      <c r="H238" s="40"/>
      <c r="I238" s="221" t="str">
        <f ca="1">_xll.DBRW(Server&amp;Cube1,$F$17,$F$18,$F$19,$F$16,$C$14,$F$15,$F$14,$F$20,I$2,I$1,$C238)</f>
        <v/>
      </c>
      <c r="J238" s="221" t="str">
        <f ca="1">_xll.DBRW(Server&amp;Cube1,$F$17,$F$18,$F$19,$F$16,$C$14,$F$15,$F$14,$F$20,J$2,J$1,$C238)</f>
        <v/>
      </c>
      <c r="K238" s="221" t="e">
        <f ca="1">_xll.DBRW(Server&amp;Cube1,$F$17,$F$18,$F$19,$F$16,$C$14,$F$15,$F$14,$F$20,I$2,I$1,$C238) -_xll.DBRW(Server&amp;Cube1,$F$17,$F$18,$F$19,$F$16,$C$14,$F$15,$F$14,$F$20,K$2,I$1,$C238)</f>
        <v>#VALUE!</v>
      </c>
      <c r="L238" s="221" t="e">
        <f t="shared" ca="1" si="11"/>
        <v>#VALUE!</v>
      </c>
      <c r="M238" s="221" t="e">
        <f t="shared" ca="1" si="10"/>
        <v>#VALUE!</v>
      </c>
      <c r="N238" s="226"/>
      <c r="O238" s="221" t="str">
        <f ca="1">_xll.DBRW(Server&amp;Cube1,$F$17,$F$18,$F$19,$F$16,$C$14,$F$15,$F$14,$F$20,O$2,O$1,$C238)</f>
        <v/>
      </c>
      <c r="P238" s="226"/>
      <c r="Q238" s="240" t="str">
        <f ca="1">IF(_xll.ELCOMPN(Server&amp;$C$24,C238)=0,"YES","NO")</f>
        <v>YES</v>
      </c>
      <c r="R238" s="241">
        <v>0</v>
      </c>
      <c r="S238" s="226"/>
      <c r="T238" s="227" t="str">
        <f ca="1">_xll.DBRW(Server&amp;Cube1,$F$17,$F$18,$F$19,$F$16,$C$14,$F$15,$F$14,$F$20,T$2,$T$1,$C238)</f>
        <v/>
      </c>
      <c r="U238" s="227" t="str">
        <f ca="1">_xll.DBRW(Server&amp;Cube1,$F$17,$F$18,$F$19,$F$16,$C$14,$F$15,$F$14,$F$20,U$2,$U$1,$C238)</f>
        <v/>
      </c>
      <c r="V238" s="227" t="str">
        <f ca="1">_xll.DBRW(Server&amp;Cube1,$F$17,$F$18,$F$19,$F$16,$C$14,$F$15,$F$14,$F$20,V$2,V$1,$C238)</f>
        <v/>
      </c>
      <c r="W238" s="227" t="str">
        <f ca="1">_xll.DBRW(Server&amp;Cube1,$F$17,$F$18,$F$19,$F$16,$C$14,$F$15,$F$14,$F$20,W$2,W$1,$C238)</f>
        <v/>
      </c>
      <c r="X238" s="227" t="str">
        <f ca="1">_xll.DBRW(Server&amp;Cube1,$F$17,$F$18,$F$19,$F$16,$C$14,$F$15,$F$14,$F$20,X$2,X$1,$C238)</f>
        <v/>
      </c>
      <c r="Y238" s="227" t="str">
        <f ca="1">_xll.DBRW(Server&amp;Cube1,$F$17,$F$18,$F$19,$F$16,$C$14,$F$15,$F$14,$F$20,Y$2,Y$1,$C238)</f>
        <v/>
      </c>
      <c r="Z238" s="241"/>
      <c r="AA238" s="241"/>
      <c r="AB238" s="241"/>
      <c r="AC238" s="241"/>
      <c r="AD238" s="241"/>
      <c r="AE238" s="241"/>
      <c r="AF238" s="221" t="str">
        <f ca="1">_xll.DBRW(Server&amp;Cube1,$F$17,$F$18,$F$19,$F$16,$C$14,$F$15,$F$14,$F$20,AF$2,$AF$1,$C238)</f>
        <v/>
      </c>
      <c r="AG238" s="53"/>
      <c r="AH238" s="53"/>
      <c r="AI238" s="53"/>
      <c r="AJ238" s="53"/>
      <c r="AK238" s="53"/>
      <c r="AL238" s="53"/>
      <c r="AM238" s="53"/>
      <c r="AN238" s="53"/>
      <c r="AO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:53" s="9" customFormat="1" ht="24" customHeight="1" x14ac:dyDescent="0.35">
      <c r="A239" s="181" t="e">
        <f ca="1">IF($AT$35="YES",1,IF(_xll.ELCOMPN(Server&amp;$C$24,C239)&lt;&gt;0,1,IF(OR(B239=$AZ$35,B239="ALL"),1,0)))</f>
        <v>#VALUE!</v>
      </c>
      <c r="B239" s="163" t="str">
        <f t="shared" si="12"/>
        <v>BD</v>
      </c>
      <c r="C239" s="158" t="s">
        <v>332</v>
      </c>
      <c r="E239" s="270" t="str">
        <f ca="1">_xll.DBRA(Server&amp;$C$24,$C239,$F$21)</f>
        <v>Personnel intérimaire (DC)</v>
      </c>
      <c r="F239" s="270"/>
      <c r="G239" s="270"/>
      <c r="H239" s="40"/>
      <c r="I239" s="221" t="str">
        <f ca="1">_xll.DBRW(Server&amp;Cube1,$F$17,$F$18,$F$19,$F$16,$C$14,$F$15,$F$14,$F$20,I$2,I$1,$C239)</f>
        <v/>
      </c>
      <c r="J239" s="221" t="str">
        <f ca="1">_xll.DBRW(Server&amp;Cube1,$F$17,$F$18,$F$19,$F$16,$C$14,$F$15,$F$14,$F$20,J$2,J$1,$C239)</f>
        <v/>
      </c>
      <c r="K239" s="221" t="e">
        <f ca="1">_xll.DBRW(Server&amp;Cube1,$F$17,$F$18,$F$19,$F$16,$C$14,$F$15,$F$14,$F$20,I$2,I$1,$C239) -_xll.DBRW(Server&amp;Cube1,$F$17,$F$18,$F$19,$F$16,$C$14,$F$15,$F$14,$F$20,K$2,I$1,$C239)</f>
        <v>#VALUE!</v>
      </c>
      <c r="L239" s="221" t="e">
        <f t="shared" ca="1" si="11"/>
        <v>#VALUE!</v>
      </c>
      <c r="M239" s="221" t="e">
        <f t="shared" ca="1" si="10"/>
        <v>#VALUE!</v>
      </c>
      <c r="N239" s="226"/>
      <c r="O239" s="221" t="str">
        <f ca="1">_xll.DBRW(Server&amp;Cube1,$F$17,$F$18,$F$19,$F$16,$C$14,$F$15,$F$14,$F$20,O$2,O$1,$C239)</f>
        <v/>
      </c>
      <c r="P239" s="226"/>
      <c r="Q239" s="240" t="str">
        <f ca="1">IF(_xll.ELCOMPN(Server&amp;$C$24,C239)=0,"YES","NO")</f>
        <v>YES</v>
      </c>
      <c r="R239" s="241">
        <v>0</v>
      </c>
      <c r="S239" s="226"/>
      <c r="T239" s="227" t="str">
        <f ca="1">_xll.DBRW(Server&amp;Cube1,$F$17,$F$18,$F$19,$F$16,$C$14,$F$15,$F$14,$F$20,T$2,$T$1,$C239)</f>
        <v/>
      </c>
      <c r="U239" s="227" t="str">
        <f ca="1">_xll.DBRW(Server&amp;Cube1,$F$17,$F$18,$F$19,$F$16,$C$14,$F$15,$F$14,$F$20,U$2,$U$1,$C239)</f>
        <v/>
      </c>
      <c r="V239" s="227" t="str">
        <f ca="1">_xll.DBRW(Server&amp;Cube1,$F$17,$F$18,$F$19,$F$16,$C$14,$F$15,$F$14,$F$20,V$2,V$1,$C239)</f>
        <v/>
      </c>
      <c r="W239" s="227" t="str">
        <f ca="1">_xll.DBRW(Server&amp;Cube1,$F$17,$F$18,$F$19,$F$16,$C$14,$F$15,$F$14,$F$20,W$2,W$1,$C239)</f>
        <v/>
      </c>
      <c r="X239" s="227" t="str">
        <f ca="1">_xll.DBRW(Server&amp;Cube1,$F$17,$F$18,$F$19,$F$16,$C$14,$F$15,$F$14,$F$20,X$2,X$1,$C239)</f>
        <v/>
      </c>
      <c r="Y239" s="227" t="str">
        <f ca="1">_xll.DBRW(Server&amp;Cube1,$F$17,$F$18,$F$19,$F$16,$C$14,$F$15,$F$14,$F$20,Y$2,Y$1,$C239)</f>
        <v/>
      </c>
      <c r="Z239" s="241"/>
      <c r="AA239" s="241"/>
      <c r="AB239" s="241"/>
      <c r="AC239" s="241"/>
      <c r="AD239" s="241"/>
      <c r="AE239" s="241"/>
      <c r="AF239" s="221" t="str">
        <f ca="1">_xll.DBRW(Server&amp;Cube1,$F$17,$F$18,$F$19,$F$16,$C$14,$F$15,$F$14,$F$20,AF$2,$AF$1,$C239)</f>
        <v/>
      </c>
      <c r="AG239" s="53"/>
      <c r="AH239" s="53"/>
      <c r="AI239" s="53"/>
      <c r="AJ239" s="53"/>
      <c r="AK239" s="53"/>
      <c r="AL239" s="53"/>
      <c r="AM239" s="53"/>
      <c r="AN239" s="53"/>
      <c r="AO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:53" s="9" customFormat="1" ht="24" customHeight="1" x14ac:dyDescent="0.35">
      <c r="A240" s="181" t="e">
        <f ca="1">IF($AT$35="YES",1,IF(_xll.ELCOMPN(Server&amp;$C$24,C240)&lt;&gt;0,1,IF(OR(B240=$AZ$35,B240="ALL"),1,0)))</f>
        <v>#VALUE!</v>
      </c>
      <c r="B240" s="163" t="str">
        <f t="shared" si="12"/>
        <v>FI</v>
      </c>
      <c r="C240" s="158" t="s">
        <v>333</v>
      </c>
      <c r="E240" s="270" t="str">
        <f ca="1">_xll.DBRA(Server&amp;$C$24,$C240,$F$21)</f>
        <v>Personnel intérimaire (DF)</v>
      </c>
      <c r="F240" s="270"/>
      <c r="G240" s="270"/>
      <c r="H240" s="40"/>
      <c r="I240" s="221" t="str">
        <f ca="1">_xll.DBRW(Server&amp;Cube1,$F$17,$F$18,$F$19,$F$16,$C$14,$F$15,$F$14,$F$20,I$2,I$1,$C240)</f>
        <v/>
      </c>
      <c r="J240" s="221" t="str">
        <f ca="1">_xll.DBRW(Server&amp;Cube1,$F$17,$F$18,$F$19,$F$16,$C$14,$F$15,$F$14,$F$20,J$2,J$1,$C240)</f>
        <v/>
      </c>
      <c r="K240" s="221" t="e">
        <f ca="1">_xll.DBRW(Server&amp;Cube1,$F$17,$F$18,$F$19,$F$16,$C$14,$F$15,$F$14,$F$20,I$2,I$1,$C240) -_xll.DBRW(Server&amp;Cube1,$F$17,$F$18,$F$19,$F$16,$C$14,$F$15,$F$14,$F$20,K$2,I$1,$C240)</f>
        <v>#VALUE!</v>
      </c>
      <c r="L240" s="221" t="e">
        <f t="shared" ca="1" si="11"/>
        <v>#VALUE!</v>
      </c>
      <c r="M240" s="221" t="e">
        <f t="shared" ca="1" si="10"/>
        <v>#VALUE!</v>
      </c>
      <c r="N240" s="226"/>
      <c r="O240" s="221" t="str">
        <f ca="1">_xll.DBRW(Server&amp;Cube1,$F$17,$F$18,$F$19,$F$16,$C$14,$F$15,$F$14,$F$20,O$2,O$1,$C240)</f>
        <v/>
      </c>
      <c r="P240" s="226"/>
      <c r="Q240" s="240" t="str">
        <f ca="1">IF(_xll.ELCOMPN(Server&amp;$C$24,C240)=0,"YES","NO")</f>
        <v>YES</v>
      </c>
      <c r="R240" s="241">
        <v>0</v>
      </c>
      <c r="S240" s="226"/>
      <c r="T240" s="227" t="str">
        <f ca="1">_xll.DBRW(Server&amp;Cube1,$F$17,$F$18,$F$19,$F$16,$C$14,$F$15,$F$14,$F$20,T$2,$T$1,$C240)</f>
        <v/>
      </c>
      <c r="U240" s="227" t="str">
        <f ca="1">_xll.DBRW(Server&amp;Cube1,$F$17,$F$18,$F$19,$F$16,$C$14,$F$15,$F$14,$F$20,U$2,$U$1,$C240)</f>
        <v/>
      </c>
      <c r="V240" s="227" t="str">
        <f ca="1">_xll.DBRW(Server&amp;Cube1,$F$17,$F$18,$F$19,$F$16,$C$14,$F$15,$F$14,$F$20,V$2,V$1,$C240)</f>
        <v/>
      </c>
      <c r="W240" s="227" t="str">
        <f ca="1">_xll.DBRW(Server&amp;Cube1,$F$17,$F$18,$F$19,$F$16,$C$14,$F$15,$F$14,$F$20,W$2,W$1,$C240)</f>
        <v/>
      </c>
      <c r="X240" s="227" t="str">
        <f ca="1">_xll.DBRW(Server&amp;Cube1,$F$17,$F$18,$F$19,$F$16,$C$14,$F$15,$F$14,$F$20,X$2,X$1,$C240)</f>
        <v/>
      </c>
      <c r="Y240" s="227" t="str">
        <f ca="1">_xll.DBRW(Server&amp;Cube1,$F$17,$F$18,$F$19,$F$16,$C$14,$F$15,$F$14,$F$20,Y$2,Y$1,$C240)</f>
        <v/>
      </c>
      <c r="Z240" s="241"/>
      <c r="AA240" s="241"/>
      <c r="AB240" s="241"/>
      <c r="AC240" s="241"/>
      <c r="AD240" s="241"/>
      <c r="AE240" s="241"/>
      <c r="AF240" s="221" t="str">
        <f ca="1">_xll.DBRW(Server&amp;Cube1,$F$17,$F$18,$F$19,$F$16,$C$14,$F$15,$F$14,$F$20,AF$2,$AF$1,$C240)</f>
        <v/>
      </c>
      <c r="AG240" s="53"/>
      <c r="AH240" s="53"/>
      <c r="AI240" s="53"/>
      <c r="AJ240" s="53"/>
      <c r="AK240" s="53"/>
      <c r="AL240" s="53"/>
      <c r="AM240" s="53"/>
      <c r="AN240" s="53"/>
      <c r="AO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:53" s="9" customFormat="1" ht="24" customHeight="1" x14ac:dyDescent="0.35">
      <c r="A241" s="181" t="e">
        <f ca="1">IF($AT$35="YES",1,IF(_xll.ELCOMPN(Server&amp;$C$24,C241)&lt;&gt;0,1,IF(OR(B241=$AZ$35,B241="ALL"),1,0)))</f>
        <v>#VALUE!</v>
      </c>
      <c r="B241" s="163" t="str">
        <f t="shared" si="12"/>
        <v>IT</v>
      </c>
      <c r="C241" s="158" t="s">
        <v>334</v>
      </c>
      <c r="E241" s="270" t="str">
        <f ca="1">_xll.DBRA(Server&amp;$C$24,$C241,$F$21)</f>
        <v>Personnel intérimaire (IT)</v>
      </c>
      <c r="F241" s="270"/>
      <c r="G241" s="270"/>
      <c r="H241" s="40"/>
      <c r="I241" s="221" t="str">
        <f ca="1">_xll.DBRW(Server&amp;Cube1,$F$17,$F$18,$F$19,$F$16,$C$14,$F$15,$F$14,$F$20,I$2,I$1,$C241)</f>
        <v/>
      </c>
      <c r="J241" s="221" t="str">
        <f ca="1">_xll.DBRW(Server&amp;Cube1,$F$17,$F$18,$F$19,$F$16,$C$14,$F$15,$F$14,$F$20,J$2,J$1,$C241)</f>
        <v/>
      </c>
      <c r="K241" s="221" t="e">
        <f ca="1">_xll.DBRW(Server&amp;Cube1,$F$17,$F$18,$F$19,$F$16,$C$14,$F$15,$F$14,$F$20,I$2,I$1,$C241) -_xll.DBRW(Server&amp;Cube1,$F$17,$F$18,$F$19,$F$16,$C$14,$F$15,$F$14,$F$20,K$2,I$1,$C241)</f>
        <v>#VALUE!</v>
      </c>
      <c r="L241" s="221" t="e">
        <f t="shared" ca="1" si="11"/>
        <v>#VALUE!</v>
      </c>
      <c r="M241" s="221" t="e">
        <f t="shared" ca="1" si="10"/>
        <v>#VALUE!</v>
      </c>
      <c r="N241" s="226"/>
      <c r="O241" s="221" t="str">
        <f ca="1">_xll.DBRW(Server&amp;Cube1,$F$17,$F$18,$F$19,$F$16,$C$14,$F$15,$F$14,$F$20,O$2,O$1,$C241)</f>
        <v/>
      </c>
      <c r="P241" s="226"/>
      <c r="Q241" s="240" t="str">
        <f ca="1">IF(_xll.ELCOMPN(Server&amp;$C$24,C241)=0,"YES","NO")</f>
        <v>YES</v>
      </c>
      <c r="R241" s="241">
        <v>0</v>
      </c>
      <c r="S241" s="226"/>
      <c r="T241" s="227" t="str">
        <f ca="1">_xll.DBRW(Server&amp;Cube1,$F$17,$F$18,$F$19,$F$16,$C$14,$F$15,$F$14,$F$20,T$2,$T$1,$C241)</f>
        <v/>
      </c>
      <c r="U241" s="227" t="str">
        <f ca="1">_xll.DBRW(Server&amp;Cube1,$F$17,$F$18,$F$19,$F$16,$C$14,$F$15,$F$14,$F$20,U$2,$U$1,$C241)</f>
        <v/>
      </c>
      <c r="V241" s="227" t="str">
        <f ca="1">_xll.DBRW(Server&amp;Cube1,$F$17,$F$18,$F$19,$F$16,$C$14,$F$15,$F$14,$F$20,V$2,V$1,$C241)</f>
        <v/>
      </c>
      <c r="W241" s="227" t="str">
        <f ca="1">_xll.DBRW(Server&amp;Cube1,$F$17,$F$18,$F$19,$F$16,$C$14,$F$15,$F$14,$F$20,W$2,W$1,$C241)</f>
        <v/>
      </c>
      <c r="X241" s="227" t="str">
        <f ca="1">_xll.DBRW(Server&amp;Cube1,$F$17,$F$18,$F$19,$F$16,$C$14,$F$15,$F$14,$F$20,X$2,X$1,$C241)</f>
        <v/>
      </c>
      <c r="Y241" s="227" t="str">
        <f ca="1">_xll.DBRW(Server&amp;Cube1,$F$17,$F$18,$F$19,$F$16,$C$14,$F$15,$F$14,$F$20,Y$2,Y$1,$C241)</f>
        <v/>
      </c>
      <c r="Z241" s="241"/>
      <c r="AA241" s="241"/>
      <c r="AB241" s="241"/>
      <c r="AC241" s="241"/>
      <c r="AD241" s="241"/>
      <c r="AE241" s="241"/>
      <c r="AF241" s="221" t="str">
        <f ca="1">_xll.DBRW(Server&amp;Cube1,$F$17,$F$18,$F$19,$F$16,$C$14,$F$15,$F$14,$F$20,AF$2,$AF$1,$C241)</f>
        <v/>
      </c>
      <c r="AG241" s="53"/>
      <c r="AH241" s="53"/>
      <c r="AI241" s="53"/>
      <c r="AJ241" s="53"/>
      <c r="AK241" s="53"/>
      <c r="AL241" s="53"/>
      <c r="AM241" s="53"/>
      <c r="AN241" s="53"/>
      <c r="AO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:53" s="9" customFormat="1" ht="24" customHeight="1" x14ac:dyDescent="0.35">
      <c r="A242" s="181" t="e">
        <f ca="1">IF($AT$35="YES",1,IF(_xll.ELCOMPN(Server&amp;$C$24,C242)&lt;&gt;0,1,IF(OR(B242=$AZ$35,B242="ALL"),1,0)))</f>
        <v>#VALUE!</v>
      </c>
      <c r="B242" s="163" t="str">
        <f t="shared" si="12"/>
        <v>HR</v>
      </c>
      <c r="C242" s="158" t="s">
        <v>335</v>
      </c>
      <c r="E242" s="270" t="str">
        <f ca="1">_xll.DBRA(Server&amp;$C$24,$C242,$F$21)</f>
        <v>Personnel intérimaire (RH)</v>
      </c>
      <c r="F242" s="270"/>
      <c r="G242" s="270"/>
      <c r="H242" s="40"/>
      <c r="I242" s="221" t="str">
        <f ca="1">_xll.DBRW(Server&amp;Cube1,$F$17,$F$18,$F$19,$F$16,$C$14,$F$15,$F$14,$F$20,I$2,I$1,$C242)</f>
        <v/>
      </c>
      <c r="J242" s="221" t="str">
        <f ca="1">_xll.DBRW(Server&amp;Cube1,$F$17,$F$18,$F$19,$F$16,$C$14,$F$15,$F$14,$F$20,J$2,J$1,$C242)</f>
        <v/>
      </c>
      <c r="K242" s="221" t="e">
        <f ca="1">_xll.DBRW(Server&amp;Cube1,$F$17,$F$18,$F$19,$F$16,$C$14,$F$15,$F$14,$F$20,I$2,I$1,$C242) -_xll.DBRW(Server&amp;Cube1,$F$17,$F$18,$F$19,$F$16,$C$14,$F$15,$F$14,$F$20,K$2,I$1,$C242)</f>
        <v>#VALUE!</v>
      </c>
      <c r="L242" s="221" t="e">
        <f t="shared" ca="1" si="11"/>
        <v>#VALUE!</v>
      </c>
      <c r="M242" s="221" t="e">
        <f t="shared" ca="1" si="10"/>
        <v>#VALUE!</v>
      </c>
      <c r="N242" s="226"/>
      <c r="O242" s="221" t="str">
        <f ca="1">_xll.DBRW(Server&amp;Cube1,$F$17,$F$18,$F$19,$F$16,$C$14,$F$15,$F$14,$F$20,O$2,O$1,$C242)</f>
        <v/>
      </c>
      <c r="P242" s="226"/>
      <c r="Q242" s="240" t="str">
        <f ca="1">IF(_xll.ELCOMPN(Server&amp;$C$24,C242)=0,"YES","NO")</f>
        <v>YES</v>
      </c>
      <c r="R242" s="241">
        <v>0</v>
      </c>
      <c r="S242" s="226"/>
      <c r="T242" s="227" t="str">
        <f ca="1">_xll.DBRW(Server&amp;Cube1,$F$17,$F$18,$F$19,$F$16,$C$14,$F$15,$F$14,$F$20,T$2,$T$1,$C242)</f>
        <v/>
      </c>
      <c r="U242" s="227" t="str">
        <f ca="1">_xll.DBRW(Server&amp;Cube1,$F$17,$F$18,$F$19,$F$16,$C$14,$F$15,$F$14,$F$20,U$2,$U$1,$C242)</f>
        <v/>
      </c>
      <c r="V242" s="227" t="str">
        <f ca="1">_xll.DBRW(Server&amp;Cube1,$F$17,$F$18,$F$19,$F$16,$C$14,$F$15,$F$14,$F$20,V$2,V$1,$C242)</f>
        <v/>
      </c>
      <c r="W242" s="227" t="str">
        <f ca="1">_xll.DBRW(Server&amp;Cube1,$F$17,$F$18,$F$19,$F$16,$C$14,$F$15,$F$14,$F$20,W$2,W$1,$C242)</f>
        <v/>
      </c>
      <c r="X242" s="227" t="str">
        <f ca="1">_xll.DBRW(Server&amp;Cube1,$F$17,$F$18,$F$19,$F$16,$C$14,$F$15,$F$14,$F$20,X$2,X$1,$C242)</f>
        <v/>
      </c>
      <c r="Y242" s="227" t="str">
        <f ca="1">_xll.DBRW(Server&amp;Cube1,$F$17,$F$18,$F$19,$F$16,$C$14,$F$15,$F$14,$F$20,Y$2,Y$1,$C242)</f>
        <v/>
      </c>
      <c r="Z242" s="241"/>
      <c r="AA242" s="241"/>
      <c r="AB242" s="241"/>
      <c r="AC242" s="241"/>
      <c r="AD242" s="241"/>
      <c r="AE242" s="241"/>
      <c r="AF242" s="221" t="str">
        <f ca="1">_xll.DBRW(Server&amp;Cube1,$F$17,$F$18,$F$19,$F$16,$C$14,$F$15,$F$14,$F$20,AF$2,$AF$1,$C242)</f>
        <v/>
      </c>
      <c r="AG242" s="53"/>
      <c r="AH242" s="53"/>
      <c r="AI242" s="53"/>
      <c r="AJ242" s="53"/>
      <c r="AK242" s="53"/>
      <c r="AL242" s="53"/>
      <c r="AM242" s="53"/>
      <c r="AN242" s="53"/>
      <c r="AO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:53" s="9" customFormat="1" ht="24" customHeight="1" x14ac:dyDescent="0.35">
      <c r="A243" s="181" t="e">
        <f ca="1">IF($AT$35="YES",1,IF(_xll.ELCOMPN(Server&amp;$C$24,C243)&lt;&gt;0,1,IF(OR(B243=$AZ$35,B243="ALL"),1,0)))</f>
        <v>#VALUE!</v>
      </c>
      <c r="B243" s="163" t="str">
        <f t="shared" si="12"/>
        <v>GM</v>
      </c>
      <c r="C243" s="158" t="s">
        <v>336</v>
      </c>
      <c r="E243" s="270" t="str">
        <f ca="1">_xll.DBRA(Server&amp;$C$24,$C243,$F$21)</f>
        <v>Personnel intérimaire (DG)</v>
      </c>
      <c r="F243" s="270"/>
      <c r="G243" s="270"/>
      <c r="H243" s="40"/>
      <c r="I243" s="221" t="str">
        <f ca="1">_xll.DBRW(Server&amp;Cube1,$F$17,$F$18,$F$19,$F$16,$C$14,$F$15,$F$14,$F$20,I$2,I$1,$C243)</f>
        <v/>
      </c>
      <c r="J243" s="221" t="str">
        <f ca="1">_xll.DBRW(Server&amp;Cube1,$F$17,$F$18,$F$19,$F$16,$C$14,$F$15,$F$14,$F$20,J$2,J$1,$C243)</f>
        <v/>
      </c>
      <c r="K243" s="221" t="e">
        <f ca="1">_xll.DBRW(Server&amp;Cube1,$F$17,$F$18,$F$19,$F$16,$C$14,$F$15,$F$14,$F$20,I$2,I$1,$C243) -_xll.DBRW(Server&amp;Cube1,$F$17,$F$18,$F$19,$F$16,$C$14,$F$15,$F$14,$F$20,K$2,I$1,$C243)</f>
        <v>#VALUE!</v>
      </c>
      <c r="L243" s="221" t="e">
        <f t="shared" ca="1" si="11"/>
        <v>#VALUE!</v>
      </c>
      <c r="M243" s="221" t="e">
        <f t="shared" ca="1" si="10"/>
        <v>#VALUE!</v>
      </c>
      <c r="N243" s="226"/>
      <c r="O243" s="221" t="str">
        <f ca="1">_xll.DBRW(Server&amp;Cube1,$F$17,$F$18,$F$19,$F$16,$C$14,$F$15,$F$14,$F$20,O$2,O$1,$C243)</f>
        <v/>
      </c>
      <c r="P243" s="226"/>
      <c r="Q243" s="240" t="str">
        <f ca="1">IF(_xll.ELCOMPN(Server&amp;$C$24,C243)=0,"YES","NO")</f>
        <v>YES</v>
      </c>
      <c r="R243" s="241">
        <v>0</v>
      </c>
      <c r="S243" s="226"/>
      <c r="T243" s="227" t="str">
        <f ca="1">_xll.DBRW(Server&amp;Cube1,$F$17,$F$18,$F$19,$F$16,$C$14,$F$15,$F$14,$F$20,T$2,$T$1,$C243)</f>
        <v/>
      </c>
      <c r="U243" s="227" t="str">
        <f ca="1">_xll.DBRW(Server&amp;Cube1,$F$17,$F$18,$F$19,$F$16,$C$14,$F$15,$F$14,$F$20,U$2,$U$1,$C243)</f>
        <v/>
      </c>
      <c r="V243" s="227" t="str">
        <f ca="1">_xll.DBRW(Server&amp;Cube1,$F$17,$F$18,$F$19,$F$16,$C$14,$F$15,$F$14,$F$20,V$2,V$1,$C243)</f>
        <v/>
      </c>
      <c r="W243" s="227" t="str">
        <f ca="1">_xll.DBRW(Server&amp;Cube1,$F$17,$F$18,$F$19,$F$16,$C$14,$F$15,$F$14,$F$20,W$2,W$1,$C243)</f>
        <v/>
      </c>
      <c r="X243" s="227" t="str">
        <f ca="1">_xll.DBRW(Server&amp;Cube1,$F$17,$F$18,$F$19,$F$16,$C$14,$F$15,$F$14,$F$20,X$2,X$1,$C243)</f>
        <v/>
      </c>
      <c r="Y243" s="227" t="str">
        <f ca="1">_xll.DBRW(Server&amp;Cube1,$F$17,$F$18,$F$19,$F$16,$C$14,$F$15,$F$14,$F$20,Y$2,Y$1,$C243)</f>
        <v/>
      </c>
      <c r="Z243" s="241"/>
      <c r="AA243" s="241"/>
      <c r="AB243" s="241"/>
      <c r="AC243" s="241"/>
      <c r="AD243" s="241"/>
      <c r="AE243" s="241"/>
      <c r="AF243" s="221" t="str">
        <f ca="1">_xll.DBRW(Server&amp;Cube1,$F$17,$F$18,$F$19,$F$16,$C$14,$F$15,$F$14,$F$20,AF$2,$AF$1,$C243)</f>
        <v/>
      </c>
      <c r="AG243" s="53"/>
      <c r="AH243" s="53"/>
      <c r="AI243" s="53"/>
      <c r="AJ243" s="53"/>
      <c r="AK243" s="53"/>
      <c r="AL243" s="53"/>
      <c r="AM243" s="53"/>
      <c r="AN243" s="53"/>
      <c r="AO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:53" s="9" customFormat="1" ht="24" customHeight="1" x14ac:dyDescent="0.35">
      <c r="A244" s="181" t="e">
        <f ca="1">IF($AT$35="YES",1,IF(_xll.ELCOMPN(Server&amp;$C$24,C244)&lt;&gt;0,1,IF(OR(B244=$AZ$35,B244="ALL"),1,0)))</f>
        <v>#VALUE!</v>
      </c>
      <c r="B244" s="163" t="str">
        <f t="shared" si="12"/>
        <v>IA</v>
      </c>
      <c r="C244" s="158" t="s">
        <v>337</v>
      </c>
      <c r="E244" s="270" t="str">
        <f ca="1">_xll.DBRA(Server&amp;$C$24,$C244,$F$21)</f>
        <v>Personnel intérimaire (AI)</v>
      </c>
      <c r="F244" s="270"/>
      <c r="G244" s="270"/>
      <c r="H244" s="40"/>
      <c r="I244" s="221" t="str">
        <f ca="1">_xll.DBRW(Server&amp;Cube1,$F$17,$F$18,$F$19,$F$16,$C$14,$F$15,$F$14,$F$20,I$2,I$1,$C244)</f>
        <v/>
      </c>
      <c r="J244" s="221" t="str">
        <f ca="1">_xll.DBRW(Server&amp;Cube1,$F$17,$F$18,$F$19,$F$16,$C$14,$F$15,$F$14,$F$20,J$2,J$1,$C244)</f>
        <v/>
      </c>
      <c r="K244" s="221" t="e">
        <f ca="1">_xll.DBRW(Server&amp;Cube1,$F$17,$F$18,$F$19,$F$16,$C$14,$F$15,$F$14,$F$20,I$2,I$1,$C244) -_xll.DBRW(Server&amp;Cube1,$F$17,$F$18,$F$19,$F$16,$C$14,$F$15,$F$14,$F$20,K$2,I$1,$C244)</f>
        <v>#VALUE!</v>
      </c>
      <c r="L244" s="221" t="e">
        <f t="shared" ca="1" si="11"/>
        <v>#VALUE!</v>
      </c>
      <c r="M244" s="221" t="e">
        <f t="shared" ca="1" si="10"/>
        <v>#VALUE!</v>
      </c>
      <c r="N244" s="226"/>
      <c r="O244" s="221" t="str">
        <f ca="1">_xll.DBRW(Server&amp;Cube1,$F$17,$F$18,$F$19,$F$16,$C$14,$F$15,$F$14,$F$20,O$2,O$1,$C244)</f>
        <v/>
      </c>
      <c r="P244" s="226"/>
      <c r="Q244" s="240" t="str">
        <f ca="1">IF(_xll.ELCOMPN(Server&amp;$C$24,C244)=0,"YES","NO")</f>
        <v>YES</v>
      </c>
      <c r="R244" s="241">
        <v>0</v>
      </c>
      <c r="S244" s="226"/>
      <c r="T244" s="227" t="str">
        <f ca="1">_xll.DBRW(Server&amp;Cube1,$F$17,$F$18,$F$19,$F$16,$C$14,$F$15,$F$14,$F$20,T$2,$T$1,$C244)</f>
        <v/>
      </c>
      <c r="U244" s="227" t="str">
        <f ca="1">_xll.DBRW(Server&amp;Cube1,$F$17,$F$18,$F$19,$F$16,$C$14,$F$15,$F$14,$F$20,U$2,$U$1,$C244)</f>
        <v/>
      </c>
      <c r="V244" s="227" t="str">
        <f ca="1">_xll.DBRW(Server&amp;Cube1,$F$17,$F$18,$F$19,$F$16,$C$14,$F$15,$F$14,$F$20,V$2,V$1,$C244)</f>
        <v/>
      </c>
      <c r="W244" s="227" t="str">
        <f ca="1">_xll.DBRW(Server&amp;Cube1,$F$17,$F$18,$F$19,$F$16,$C$14,$F$15,$F$14,$F$20,W$2,W$1,$C244)</f>
        <v/>
      </c>
      <c r="X244" s="227" t="str">
        <f ca="1">_xll.DBRW(Server&amp;Cube1,$F$17,$F$18,$F$19,$F$16,$C$14,$F$15,$F$14,$F$20,X$2,X$1,$C244)</f>
        <v/>
      </c>
      <c r="Y244" s="227" t="str">
        <f ca="1">_xll.DBRW(Server&amp;Cube1,$F$17,$F$18,$F$19,$F$16,$C$14,$F$15,$F$14,$F$20,Y$2,Y$1,$C244)</f>
        <v/>
      </c>
      <c r="Z244" s="241"/>
      <c r="AA244" s="241"/>
      <c r="AB244" s="241"/>
      <c r="AC244" s="241"/>
      <c r="AD244" s="241"/>
      <c r="AE244" s="241"/>
      <c r="AF244" s="221" t="str">
        <f ca="1">_xll.DBRW(Server&amp;Cube1,$F$17,$F$18,$F$19,$F$16,$C$14,$F$15,$F$14,$F$20,AF$2,$AF$1,$C244)</f>
        <v/>
      </c>
      <c r="AG244" s="53"/>
      <c r="AH244" s="53"/>
      <c r="AI244" s="53"/>
      <c r="AJ244" s="53"/>
      <c r="AK244" s="53"/>
      <c r="AL244" s="53"/>
      <c r="AM244" s="53"/>
      <c r="AN244" s="53"/>
      <c r="AO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:53" s="9" customFormat="1" ht="24" customHeight="1" x14ac:dyDescent="0.35">
      <c r="A245" s="181" t="e">
        <f ca="1">IF($AT$35="YES",1,IF(_xll.ELCOMPN(Server&amp;$C$24,C245)&lt;&gt;0,1,IF(OR(B245=$AZ$35,B245="ALL"),1,0)))</f>
        <v>#VALUE!</v>
      </c>
      <c r="B245" s="163" t="str">
        <f t="shared" si="12"/>
        <v>LE</v>
      </c>
      <c r="C245" s="158" t="s">
        <v>338</v>
      </c>
      <c r="E245" s="270" t="str">
        <f ca="1">_xll.DBRA(Server&amp;$C$24,$C245,$F$21)</f>
        <v>Personnel intérimaire (JU)</v>
      </c>
      <c r="F245" s="270"/>
      <c r="G245" s="270"/>
      <c r="H245" s="40"/>
      <c r="I245" s="221" t="str">
        <f ca="1">_xll.DBRW(Server&amp;Cube1,$F$17,$F$18,$F$19,$F$16,$C$14,$F$15,$F$14,$F$20,I$2,I$1,$C245)</f>
        <v/>
      </c>
      <c r="J245" s="221" t="str">
        <f ca="1">_xll.DBRW(Server&amp;Cube1,$F$17,$F$18,$F$19,$F$16,$C$14,$F$15,$F$14,$F$20,J$2,J$1,$C245)</f>
        <v/>
      </c>
      <c r="K245" s="221" t="e">
        <f ca="1">_xll.DBRW(Server&amp;Cube1,$F$17,$F$18,$F$19,$F$16,$C$14,$F$15,$F$14,$F$20,I$2,I$1,$C245) -_xll.DBRW(Server&amp;Cube1,$F$17,$F$18,$F$19,$F$16,$C$14,$F$15,$F$14,$F$20,K$2,I$1,$C245)</f>
        <v>#VALUE!</v>
      </c>
      <c r="L245" s="221" t="e">
        <f t="shared" ca="1" si="11"/>
        <v>#VALUE!</v>
      </c>
      <c r="M245" s="221" t="e">
        <f t="shared" ca="1" si="10"/>
        <v>#VALUE!</v>
      </c>
      <c r="N245" s="226"/>
      <c r="O245" s="221" t="str">
        <f ca="1">_xll.DBRW(Server&amp;Cube1,$F$17,$F$18,$F$19,$F$16,$C$14,$F$15,$F$14,$F$20,O$2,O$1,$C245)</f>
        <v/>
      </c>
      <c r="P245" s="226"/>
      <c r="Q245" s="240" t="str">
        <f ca="1">IF(_xll.ELCOMPN(Server&amp;$C$24,C245)=0,"YES","NO")</f>
        <v>YES</v>
      </c>
      <c r="R245" s="241">
        <v>0</v>
      </c>
      <c r="S245" s="226"/>
      <c r="T245" s="227" t="str">
        <f ca="1">_xll.DBRW(Server&amp;Cube1,$F$17,$F$18,$F$19,$F$16,$C$14,$F$15,$F$14,$F$20,T$2,$T$1,$C245)</f>
        <v/>
      </c>
      <c r="U245" s="227" t="str">
        <f ca="1">_xll.DBRW(Server&amp;Cube1,$F$17,$F$18,$F$19,$F$16,$C$14,$F$15,$F$14,$F$20,U$2,$U$1,$C245)</f>
        <v/>
      </c>
      <c r="V245" s="227" t="str">
        <f ca="1">_xll.DBRW(Server&amp;Cube1,$F$17,$F$18,$F$19,$F$16,$C$14,$F$15,$F$14,$F$20,V$2,V$1,$C245)</f>
        <v/>
      </c>
      <c r="W245" s="227" t="str">
        <f ca="1">_xll.DBRW(Server&amp;Cube1,$F$17,$F$18,$F$19,$F$16,$C$14,$F$15,$F$14,$F$20,W$2,W$1,$C245)</f>
        <v/>
      </c>
      <c r="X245" s="227" t="str">
        <f ca="1">_xll.DBRW(Server&amp;Cube1,$F$17,$F$18,$F$19,$F$16,$C$14,$F$15,$F$14,$F$20,X$2,X$1,$C245)</f>
        <v/>
      </c>
      <c r="Y245" s="227" t="str">
        <f ca="1">_xll.DBRW(Server&amp;Cube1,$F$17,$F$18,$F$19,$F$16,$C$14,$F$15,$F$14,$F$20,Y$2,Y$1,$C245)</f>
        <v/>
      </c>
      <c r="Z245" s="241"/>
      <c r="AA245" s="241"/>
      <c r="AB245" s="241"/>
      <c r="AC245" s="241"/>
      <c r="AD245" s="241"/>
      <c r="AE245" s="241"/>
      <c r="AF245" s="221" t="str">
        <f ca="1">_xll.DBRW(Server&amp;Cube1,$F$17,$F$18,$F$19,$F$16,$C$14,$F$15,$F$14,$F$20,AF$2,$AF$1,$C245)</f>
        <v/>
      </c>
      <c r="AG245" s="53"/>
      <c r="AH245" s="53"/>
      <c r="AI245" s="53"/>
      <c r="AJ245" s="53"/>
      <c r="AK245" s="53"/>
      <c r="AL245" s="53"/>
      <c r="AM245" s="53"/>
      <c r="AN245" s="53"/>
      <c r="AO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:53" s="9" customFormat="1" ht="24" customHeight="1" x14ac:dyDescent="0.35">
      <c r="A246" s="181" t="e">
        <f ca="1">IF($AT$35="YES",1,IF(_xll.ELCOMPN(Server&amp;$C$24,C246)&lt;&gt;0,1,IF(OR(B246=$AZ$35,B246="ALL"),1,0)))</f>
        <v>#VALUE!</v>
      </c>
      <c r="B246" s="163" t="str">
        <f t="shared" si="12"/>
        <v>RM</v>
      </c>
      <c r="C246" s="158" t="s">
        <v>339</v>
      </c>
      <c r="E246" s="270" t="str">
        <f ca="1">_xll.DBRA(Server&amp;$C$24,$C246,$F$21)</f>
        <v>Personnel intérimaire (GR)</v>
      </c>
      <c r="F246" s="270"/>
      <c r="G246" s="270"/>
      <c r="H246" s="40"/>
      <c r="I246" s="221" t="str">
        <f ca="1">_xll.DBRW(Server&amp;Cube1,$F$17,$F$18,$F$19,$F$16,$C$14,$F$15,$F$14,$F$20,I$2,I$1,$C246)</f>
        <v/>
      </c>
      <c r="J246" s="221" t="str">
        <f ca="1">_xll.DBRW(Server&amp;Cube1,$F$17,$F$18,$F$19,$F$16,$C$14,$F$15,$F$14,$F$20,J$2,J$1,$C246)</f>
        <v/>
      </c>
      <c r="K246" s="221" t="e">
        <f ca="1">_xll.DBRW(Server&amp;Cube1,$F$17,$F$18,$F$19,$F$16,$C$14,$F$15,$F$14,$F$20,I$2,I$1,$C246) -_xll.DBRW(Server&amp;Cube1,$F$17,$F$18,$F$19,$F$16,$C$14,$F$15,$F$14,$F$20,K$2,I$1,$C246)</f>
        <v>#VALUE!</v>
      </c>
      <c r="L246" s="221" t="e">
        <f t="shared" ca="1" si="11"/>
        <v>#VALUE!</v>
      </c>
      <c r="M246" s="221" t="e">
        <f t="shared" ca="1" si="10"/>
        <v>#VALUE!</v>
      </c>
      <c r="N246" s="226"/>
      <c r="O246" s="221" t="str">
        <f ca="1">_xll.DBRW(Server&amp;Cube1,$F$17,$F$18,$F$19,$F$16,$C$14,$F$15,$F$14,$F$20,O$2,O$1,$C246)</f>
        <v/>
      </c>
      <c r="P246" s="226"/>
      <c r="Q246" s="240" t="str">
        <f ca="1">IF(_xll.ELCOMPN(Server&amp;$C$24,C246)=0,"YES","NO")</f>
        <v>YES</v>
      </c>
      <c r="R246" s="241">
        <v>0</v>
      </c>
      <c r="S246" s="226"/>
      <c r="T246" s="227" t="str">
        <f ca="1">_xll.DBRW(Server&amp;Cube1,$F$17,$F$18,$F$19,$F$16,$C$14,$F$15,$F$14,$F$20,T$2,$T$1,$C246)</f>
        <v/>
      </c>
      <c r="U246" s="227" t="str">
        <f ca="1">_xll.DBRW(Server&amp;Cube1,$F$17,$F$18,$F$19,$F$16,$C$14,$F$15,$F$14,$F$20,U$2,$U$1,$C246)</f>
        <v/>
      </c>
      <c r="V246" s="227" t="str">
        <f ca="1">_xll.DBRW(Server&amp;Cube1,$F$17,$F$18,$F$19,$F$16,$C$14,$F$15,$F$14,$F$20,V$2,V$1,$C246)</f>
        <v/>
      </c>
      <c r="W246" s="227" t="str">
        <f ca="1">_xll.DBRW(Server&amp;Cube1,$F$17,$F$18,$F$19,$F$16,$C$14,$F$15,$F$14,$F$20,W$2,W$1,$C246)</f>
        <v/>
      </c>
      <c r="X246" s="227" t="str">
        <f ca="1">_xll.DBRW(Server&amp;Cube1,$F$17,$F$18,$F$19,$F$16,$C$14,$F$15,$F$14,$F$20,X$2,X$1,$C246)</f>
        <v/>
      </c>
      <c r="Y246" s="227" t="str">
        <f ca="1">_xll.DBRW(Server&amp;Cube1,$F$17,$F$18,$F$19,$F$16,$C$14,$F$15,$F$14,$F$20,Y$2,Y$1,$C246)</f>
        <v/>
      </c>
      <c r="Z246" s="241"/>
      <c r="AA246" s="241"/>
      <c r="AB246" s="241"/>
      <c r="AC246" s="241"/>
      <c r="AD246" s="241"/>
      <c r="AE246" s="241"/>
      <c r="AF246" s="221" t="str">
        <f ca="1">_xll.DBRW(Server&amp;Cube1,$F$17,$F$18,$F$19,$F$16,$C$14,$F$15,$F$14,$F$20,AF$2,$AF$1,$C246)</f>
        <v/>
      </c>
      <c r="AG246" s="53"/>
      <c r="AH246" s="53"/>
      <c r="AI246" s="53"/>
      <c r="AJ246" s="53"/>
      <c r="AK246" s="53"/>
      <c r="AL246" s="53"/>
      <c r="AM246" s="53"/>
      <c r="AN246" s="53"/>
      <c r="AO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:53" s="9" customFormat="1" ht="24" customHeight="1" x14ac:dyDescent="0.35">
      <c r="A247" s="181" t="e">
        <f ca="1">IF($AT$35="YES",1,IF(_xll.ELCOMPN(Server&amp;$C$24,C247)&lt;&gt;0,1,IF(OR(B247=$AZ$35,B247="ALL"),1,0)))</f>
        <v>#VALUE!</v>
      </c>
      <c r="B247" s="163" t="str">
        <f t="shared" si="12"/>
        <v>PU</v>
      </c>
      <c r="C247" s="158" t="s">
        <v>340</v>
      </c>
      <c r="E247" s="270" t="str">
        <f ca="1">_xll.DBRA(Server&amp;$C$24,$C247,$F$21)</f>
        <v>Personnel intérimaire (AC)</v>
      </c>
      <c r="F247" s="270"/>
      <c r="G247" s="270"/>
      <c r="H247" s="40"/>
      <c r="I247" s="221" t="str">
        <f ca="1">_xll.DBRW(Server&amp;Cube1,$F$17,$F$18,$F$19,$F$16,$C$14,$F$15,$F$14,$F$20,I$2,I$1,$C247)</f>
        <v/>
      </c>
      <c r="J247" s="221" t="str">
        <f ca="1">_xll.DBRW(Server&amp;Cube1,$F$17,$F$18,$F$19,$F$16,$C$14,$F$15,$F$14,$F$20,J$2,J$1,$C247)</f>
        <v/>
      </c>
      <c r="K247" s="221" t="e">
        <f ca="1">_xll.DBRW(Server&amp;Cube1,$F$17,$F$18,$F$19,$F$16,$C$14,$F$15,$F$14,$F$20,I$2,I$1,$C247) -_xll.DBRW(Server&amp;Cube1,$F$17,$F$18,$F$19,$F$16,$C$14,$F$15,$F$14,$F$20,K$2,I$1,$C247)</f>
        <v>#VALUE!</v>
      </c>
      <c r="L247" s="221" t="e">
        <f t="shared" ca="1" si="11"/>
        <v>#VALUE!</v>
      </c>
      <c r="M247" s="221" t="e">
        <f t="shared" ca="1" si="10"/>
        <v>#VALUE!</v>
      </c>
      <c r="N247" s="226"/>
      <c r="O247" s="221" t="str">
        <f ca="1">_xll.DBRW(Server&amp;Cube1,$F$17,$F$18,$F$19,$F$16,$C$14,$F$15,$F$14,$F$20,O$2,O$1,$C247)</f>
        <v/>
      </c>
      <c r="P247" s="226"/>
      <c r="Q247" s="240" t="str">
        <f ca="1">IF(_xll.ELCOMPN(Server&amp;$C$24,C247)=0,"YES","NO")</f>
        <v>YES</v>
      </c>
      <c r="R247" s="241">
        <v>0</v>
      </c>
      <c r="S247" s="226"/>
      <c r="T247" s="227" t="str">
        <f ca="1">_xll.DBRW(Server&amp;Cube1,$F$17,$F$18,$F$19,$F$16,$C$14,$F$15,$F$14,$F$20,T$2,$T$1,$C247)</f>
        <v/>
      </c>
      <c r="U247" s="227" t="str">
        <f ca="1">_xll.DBRW(Server&amp;Cube1,$F$17,$F$18,$F$19,$F$16,$C$14,$F$15,$F$14,$F$20,U$2,$U$1,$C247)</f>
        <v/>
      </c>
      <c r="V247" s="227" t="str">
        <f ca="1">_xll.DBRW(Server&amp;Cube1,$F$17,$F$18,$F$19,$F$16,$C$14,$F$15,$F$14,$F$20,V$2,V$1,$C247)</f>
        <v/>
      </c>
      <c r="W247" s="227" t="str">
        <f ca="1">_xll.DBRW(Server&amp;Cube1,$F$17,$F$18,$F$19,$F$16,$C$14,$F$15,$F$14,$F$20,W$2,W$1,$C247)</f>
        <v/>
      </c>
      <c r="X247" s="227" t="str">
        <f ca="1">_xll.DBRW(Server&amp;Cube1,$F$17,$F$18,$F$19,$F$16,$C$14,$F$15,$F$14,$F$20,X$2,X$1,$C247)</f>
        <v/>
      </c>
      <c r="Y247" s="227" t="str">
        <f ca="1">_xll.DBRW(Server&amp;Cube1,$F$17,$F$18,$F$19,$F$16,$C$14,$F$15,$F$14,$F$20,Y$2,Y$1,$C247)</f>
        <v/>
      </c>
      <c r="Z247" s="241"/>
      <c r="AA247" s="241"/>
      <c r="AB247" s="241"/>
      <c r="AC247" s="241"/>
      <c r="AD247" s="241"/>
      <c r="AE247" s="241"/>
      <c r="AF247" s="221" t="str">
        <f ca="1">_xll.DBRW(Server&amp;Cube1,$F$17,$F$18,$F$19,$F$16,$C$14,$F$15,$F$14,$F$20,AF$2,$AF$1,$C247)</f>
        <v/>
      </c>
      <c r="AG247" s="53"/>
      <c r="AH247" s="53"/>
      <c r="AI247" s="53"/>
      <c r="AJ247" s="53"/>
      <c r="AK247" s="53"/>
      <c r="AL247" s="53"/>
      <c r="AM247" s="53"/>
      <c r="AN247" s="53"/>
      <c r="AO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:53" s="9" customFormat="1" ht="24" customHeight="1" x14ac:dyDescent="0.35">
      <c r="A248" s="181" t="e">
        <f ca="1">IF($AT$35="YES",1,IF(_xll.ELCOMPN(Server&amp;$C$24,C248)&lt;&gt;0,1,IF(OR(B248=$AZ$35,B248="ALL"),1,0)))</f>
        <v>#VALUE!</v>
      </c>
      <c r="B248" s="163" t="str">
        <f t="shared" si="12"/>
        <v>CO</v>
      </c>
      <c r="C248" s="158" t="s">
        <v>341</v>
      </c>
      <c r="E248" s="270" t="str">
        <f ca="1">_xll.DBRA(Server&amp;$C$24,$C248,$F$21)</f>
        <v>Personnel intérimaire (CO)</v>
      </c>
      <c r="F248" s="270"/>
      <c r="G248" s="270"/>
      <c r="H248" s="40"/>
      <c r="I248" s="221" t="str">
        <f ca="1">_xll.DBRW(Server&amp;Cube1,$F$17,$F$18,$F$19,$F$16,$C$14,$F$15,$F$14,$F$20,I$2,I$1,$C248)</f>
        <v/>
      </c>
      <c r="J248" s="221" t="str">
        <f ca="1">_xll.DBRW(Server&amp;Cube1,$F$17,$F$18,$F$19,$F$16,$C$14,$F$15,$F$14,$F$20,J$2,J$1,$C248)</f>
        <v/>
      </c>
      <c r="K248" s="221" t="e">
        <f ca="1">_xll.DBRW(Server&amp;Cube1,$F$17,$F$18,$F$19,$F$16,$C$14,$F$15,$F$14,$F$20,I$2,I$1,$C248) -_xll.DBRW(Server&amp;Cube1,$F$17,$F$18,$F$19,$F$16,$C$14,$F$15,$F$14,$F$20,K$2,I$1,$C248)</f>
        <v>#VALUE!</v>
      </c>
      <c r="L248" s="221" t="e">
        <f t="shared" ca="1" si="11"/>
        <v>#VALUE!</v>
      </c>
      <c r="M248" s="221" t="e">
        <f t="shared" ca="1" si="10"/>
        <v>#VALUE!</v>
      </c>
      <c r="N248" s="226"/>
      <c r="O248" s="221" t="str">
        <f ca="1">_xll.DBRW(Server&amp;Cube1,$F$17,$F$18,$F$19,$F$16,$C$14,$F$15,$F$14,$F$20,O$2,O$1,$C248)</f>
        <v/>
      </c>
      <c r="P248" s="226"/>
      <c r="Q248" s="240" t="str">
        <f ca="1">IF(_xll.ELCOMPN(Server&amp;$C$24,C248)=0,"YES","NO")</f>
        <v>YES</v>
      </c>
      <c r="R248" s="241">
        <v>0</v>
      </c>
      <c r="S248" s="226"/>
      <c r="T248" s="227" t="str">
        <f ca="1">_xll.DBRW(Server&amp;Cube1,$F$17,$F$18,$F$19,$F$16,$C$14,$F$15,$F$14,$F$20,T$2,$T$1,$C248)</f>
        <v/>
      </c>
      <c r="U248" s="227" t="str">
        <f ca="1">_xll.DBRW(Server&amp;Cube1,$F$17,$F$18,$F$19,$F$16,$C$14,$F$15,$F$14,$F$20,U$2,$U$1,$C248)</f>
        <v/>
      </c>
      <c r="V248" s="227" t="str">
        <f ca="1">_xll.DBRW(Server&amp;Cube1,$F$17,$F$18,$F$19,$F$16,$C$14,$F$15,$F$14,$F$20,V$2,V$1,$C248)</f>
        <v/>
      </c>
      <c r="W248" s="227" t="str">
        <f ca="1">_xll.DBRW(Server&amp;Cube1,$F$17,$F$18,$F$19,$F$16,$C$14,$F$15,$F$14,$F$20,W$2,W$1,$C248)</f>
        <v/>
      </c>
      <c r="X248" s="227" t="str">
        <f ca="1">_xll.DBRW(Server&amp;Cube1,$F$17,$F$18,$F$19,$F$16,$C$14,$F$15,$F$14,$F$20,X$2,X$1,$C248)</f>
        <v/>
      </c>
      <c r="Y248" s="227" t="str">
        <f ca="1">_xll.DBRW(Server&amp;Cube1,$F$17,$F$18,$F$19,$F$16,$C$14,$F$15,$F$14,$F$20,Y$2,Y$1,$C248)</f>
        <v/>
      </c>
      <c r="Z248" s="241"/>
      <c r="AA248" s="241"/>
      <c r="AB248" s="241"/>
      <c r="AC248" s="241"/>
      <c r="AD248" s="241"/>
      <c r="AE248" s="241"/>
      <c r="AF248" s="221" t="str">
        <f ca="1">_xll.DBRW(Server&amp;Cube1,$F$17,$F$18,$F$19,$F$16,$C$14,$F$15,$F$14,$F$20,AF$2,$AF$1,$C248)</f>
        <v/>
      </c>
      <c r="AG248" s="53"/>
      <c r="AH248" s="53"/>
      <c r="AI248" s="53"/>
      <c r="AJ248" s="53"/>
      <c r="AK248" s="53"/>
      <c r="AL248" s="53"/>
      <c r="AM248" s="53"/>
      <c r="AN248" s="53"/>
      <c r="AO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:53" s="9" customFormat="1" ht="24" customHeight="1" x14ac:dyDescent="0.35">
      <c r="A249" s="181" t="e">
        <f ca="1">IF($AT$35="YES",1,IF(_xll.ELCOMPN(Server&amp;$C$24,C249)&lt;&gt;0,1,IF(OR(B249=$AZ$35,B249="ALL"),1,0)))</f>
        <v>#VALUE!</v>
      </c>
      <c r="B249" s="163" t="str">
        <f t="shared" si="12"/>
        <v>GS</v>
      </c>
      <c r="C249" s="158" t="s">
        <v>342</v>
      </c>
      <c r="E249" s="270" t="str">
        <f ca="1">_xll.DBRA(Server&amp;$C$24,$C249,$F$21)</f>
        <v>Personnel intérimaire (SG)</v>
      </c>
      <c r="F249" s="270"/>
      <c r="G249" s="270"/>
      <c r="H249" s="40"/>
      <c r="I249" s="221" t="str">
        <f ca="1">_xll.DBRW(Server&amp;Cube1,$F$17,$F$18,$F$19,$F$16,$C$14,$F$15,$F$14,$F$20,I$2,I$1,$C249)</f>
        <v/>
      </c>
      <c r="J249" s="221" t="str">
        <f ca="1">_xll.DBRW(Server&amp;Cube1,$F$17,$F$18,$F$19,$F$16,$C$14,$F$15,$F$14,$F$20,J$2,J$1,$C249)</f>
        <v/>
      </c>
      <c r="K249" s="221" t="e">
        <f ca="1">_xll.DBRW(Server&amp;Cube1,$F$17,$F$18,$F$19,$F$16,$C$14,$F$15,$F$14,$F$20,I$2,I$1,$C249) -_xll.DBRW(Server&amp;Cube1,$F$17,$F$18,$F$19,$F$16,$C$14,$F$15,$F$14,$F$20,K$2,I$1,$C249)</f>
        <v>#VALUE!</v>
      </c>
      <c r="L249" s="221" t="e">
        <f t="shared" ca="1" si="11"/>
        <v>#VALUE!</v>
      </c>
      <c r="M249" s="221" t="e">
        <f t="shared" ca="1" si="10"/>
        <v>#VALUE!</v>
      </c>
      <c r="N249" s="226"/>
      <c r="O249" s="221" t="str">
        <f ca="1">_xll.DBRW(Server&amp;Cube1,$F$17,$F$18,$F$19,$F$16,$C$14,$F$15,$F$14,$F$20,O$2,O$1,$C249)</f>
        <v/>
      </c>
      <c r="P249" s="226"/>
      <c r="Q249" s="240" t="str">
        <f ca="1">IF(_xll.ELCOMPN(Server&amp;$C$24,C249)=0,"YES","NO")</f>
        <v>YES</v>
      </c>
      <c r="R249" s="241">
        <v>0</v>
      </c>
      <c r="S249" s="226"/>
      <c r="T249" s="227" t="str">
        <f ca="1">_xll.DBRW(Server&amp;Cube1,$F$17,$F$18,$F$19,$F$16,$C$14,$F$15,$F$14,$F$20,T$2,$T$1,$C249)</f>
        <v/>
      </c>
      <c r="U249" s="227" t="str">
        <f ca="1">_xll.DBRW(Server&amp;Cube1,$F$17,$F$18,$F$19,$F$16,$C$14,$F$15,$F$14,$F$20,U$2,$U$1,$C249)</f>
        <v/>
      </c>
      <c r="V249" s="227" t="str">
        <f ca="1">_xll.DBRW(Server&amp;Cube1,$F$17,$F$18,$F$19,$F$16,$C$14,$F$15,$F$14,$F$20,V$2,V$1,$C249)</f>
        <v/>
      </c>
      <c r="W249" s="227" t="str">
        <f ca="1">_xll.DBRW(Server&amp;Cube1,$F$17,$F$18,$F$19,$F$16,$C$14,$F$15,$F$14,$F$20,W$2,W$1,$C249)</f>
        <v/>
      </c>
      <c r="X249" s="227" t="str">
        <f ca="1">_xll.DBRW(Server&amp;Cube1,$F$17,$F$18,$F$19,$F$16,$C$14,$F$15,$F$14,$F$20,X$2,X$1,$C249)</f>
        <v/>
      </c>
      <c r="Y249" s="227" t="str">
        <f ca="1">_xll.DBRW(Server&amp;Cube1,$F$17,$F$18,$F$19,$F$16,$C$14,$F$15,$F$14,$F$20,Y$2,Y$1,$C249)</f>
        <v/>
      </c>
      <c r="Z249" s="241"/>
      <c r="AA249" s="241"/>
      <c r="AB249" s="241"/>
      <c r="AC249" s="241"/>
      <c r="AD249" s="241"/>
      <c r="AE249" s="241"/>
      <c r="AF249" s="221" t="str">
        <f ca="1">_xll.DBRW(Server&amp;Cube1,$F$17,$F$18,$F$19,$F$16,$C$14,$F$15,$F$14,$F$20,AF$2,$AF$1,$C249)</f>
        <v/>
      </c>
      <c r="AG249" s="53"/>
      <c r="AH249" s="53"/>
      <c r="AI249" s="53"/>
      <c r="AJ249" s="53"/>
      <c r="AK249" s="53"/>
      <c r="AL249" s="53"/>
      <c r="AM249" s="53"/>
      <c r="AN249" s="53"/>
      <c r="AO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:53" s="9" customFormat="1" ht="24" customHeight="1" x14ac:dyDescent="0.35">
      <c r="A250" s="181" t="e">
        <f ca="1">IF($AT$35="YES",1,IF(_xll.ELCOMPN(Server&amp;$C$24,C250)&lt;&gt;0,1,IF(OR(B250=$AZ$35,B250="ALL"),1,0)))</f>
        <v>#VALUE!</v>
      </c>
      <c r="B250" s="163" t="str">
        <f t="shared" si="12"/>
        <v>RD</v>
      </c>
      <c r="C250" s="158" t="s">
        <v>343</v>
      </c>
      <c r="E250" s="270" t="str">
        <f ca="1">_xll.DBRA(Server&amp;$C$24,$C250,$F$21)</f>
        <v>Personnel intérimaire (RD)</v>
      </c>
      <c r="F250" s="270"/>
      <c r="G250" s="270"/>
      <c r="H250" s="40"/>
      <c r="I250" s="221" t="str">
        <f ca="1">_xll.DBRW(Server&amp;Cube1,$F$17,$F$18,$F$19,$F$16,$C$14,$F$15,$F$14,$F$20,I$2,I$1,$C250)</f>
        <v/>
      </c>
      <c r="J250" s="221" t="str">
        <f ca="1">_xll.DBRW(Server&amp;Cube1,$F$17,$F$18,$F$19,$F$16,$C$14,$F$15,$F$14,$F$20,J$2,J$1,$C250)</f>
        <v/>
      </c>
      <c r="K250" s="221" t="e">
        <f ca="1">_xll.DBRW(Server&amp;Cube1,$F$17,$F$18,$F$19,$F$16,$C$14,$F$15,$F$14,$F$20,I$2,I$1,$C250) -_xll.DBRW(Server&amp;Cube1,$F$17,$F$18,$F$19,$F$16,$C$14,$F$15,$F$14,$F$20,K$2,I$1,$C250)</f>
        <v>#VALUE!</v>
      </c>
      <c r="L250" s="221" t="e">
        <f t="shared" ca="1" si="11"/>
        <v>#VALUE!</v>
      </c>
      <c r="M250" s="221" t="e">
        <f t="shared" ca="1" si="10"/>
        <v>#VALUE!</v>
      </c>
      <c r="N250" s="226"/>
      <c r="O250" s="221" t="str">
        <f ca="1">_xll.DBRW(Server&amp;Cube1,$F$17,$F$18,$F$19,$F$16,$C$14,$F$15,$F$14,$F$20,O$2,O$1,$C250)</f>
        <v/>
      </c>
      <c r="P250" s="226"/>
      <c r="Q250" s="240" t="str">
        <f ca="1">IF(_xll.ELCOMPN(Server&amp;$C$24,C250)=0,"YES","NO")</f>
        <v>YES</v>
      </c>
      <c r="R250" s="241">
        <v>0</v>
      </c>
      <c r="S250" s="226"/>
      <c r="T250" s="227" t="str">
        <f ca="1">_xll.DBRW(Server&amp;Cube1,$F$17,$F$18,$F$19,$F$16,$C$14,$F$15,$F$14,$F$20,T$2,$T$1,$C250)</f>
        <v/>
      </c>
      <c r="U250" s="227" t="str">
        <f ca="1">_xll.DBRW(Server&amp;Cube1,$F$17,$F$18,$F$19,$F$16,$C$14,$F$15,$F$14,$F$20,U$2,$U$1,$C250)</f>
        <v/>
      </c>
      <c r="V250" s="227" t="str">
        <f ca="1">_xll.DBRW(Server&amp;Cube1,$F$17,$F$18,$F$19,$F$16,$C$14,$F$15,$F$14,$F$20,V$2,V$1,$C250)</f>
        <v/>
      </c>
      <c r="W250" s="227" t="str">
        <f ca="1">_xll.DBRW(Server&amp;Cube1,$F$17,$F$18,$F$19,$F$16,$C$14,$F$15,$F$14,$F$20,W$2,W$1,$C250)</f>
        <v/>
      </c>
      <c r="X250" s="227" t="str">
        <f ca="1">_xll.DBRW(Server&amp;Cube1,$F$17,$F$18,$F$19,$F$16,$C$14,$F$15,$F$14,$F$20,X$2,X$1,$C250)</f>
        <v/>
      </c>
      <c r="Y250" s="227" t="str">
        <f ca="1">_xll.DBRW(Server&amp;Cube1,$F$17,$F$18,$F$19,$F$16,$C$14,$F$15,$F$14,$F$20,Y$2,Y$1,$C250)</f>
        <v/>
      </c>
      <c r="Z250" s="241"/>
      <c r="AA250" s="241"/>
      <c r="AB250" s="241"/>
      <c r="AC250" s="241"/>
      <c r="AD250" s="241"/>
      <c r="AE250" s="241"/>
      <c r="AF250" s="221" t="str">
        <f ca="1">_xll.DBRW(Server&amp;Cube1,$F$17,$F$18,$F$19,$F$16,$C$14,$F$15,$F$14,$F$20,AF$2,$AF$1,$C250)</f>
        <v/>
      </c>
      <c r="AG250" s="53"/>
      <c r="AH250" s="53"/>
      <c r="AI250" s="53"/>
      <c r="AJ250" s="53"/>
      <c r="AK250" s="53"/>
      <c r="AL250" s="53"/>
      <c r="AM250" s="53"/>
      <c r="AN250" s="53"/>
      <c r="AO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:53" s="9" customFormat="1" ht="24" customHeight="1" x14ac:dyDescent="0.35">
      <c r="A251" s="181">
        <f ca="1">IF($AT$35="YES",1,IF(_xll.ELCOMPN(Server&amp;$C$24,C251)&lt;&gt;0,1,IF(OR(B251=$AZ$35,B251="ALL"),1,0)))</f>
        <v>1</v>
      </c>
      <c r="B251" s="163" t="e">
        <f t="shared" si="12"/>
        <v>#VALUE!</v>
      </c>
      <c r="C251" s="117" t="s">
        <v>105</v>
      </c>
      <c r="E251" s="272" t="str">
        <f ca="1">_xll.DBRA(Server&amp;$C$24,$C251,$F$21)</f>
        <v>Personnel Mis à Disposition</v>
      </c>
      <c r="F251" s="272"/>
      <c r="G251" s="272"/>
      <c r="H251" s="40"/>
      <c r="I251" s="221" t="str">
        <f ca="1">_xll.DBRW(Server&amp;Cube1,$F$17,$F$18,$F$19,$F$16,$C$14,$F$15,$F$14,$F$20,I$2,I$1,$C251)</f>
        <v/>
      </c>
      <c r="J251" s="221" t="str">
        <f ca="1">_xll.DBRW(Server&amp;Cube1,$F$17,$F$18,$F$19,$F$16,$C$14,$F$15,$F$14,$F$20,J$2,J$1,$C251)</f>
        <v/>
      </c>
      <c r="K251" s="221" t="e">
        <f ca="1">_xll.DBRW(Server&amp;Cube1,$F$17,$F$18,$F$19,$F$16,$C$14,$F$15,$F$14,$F$20,I$2,I$1,$C251) -_xll.DBRW(Server&amp;Cube1,$F$17,$F$18,$F$19,$F$16,$C$14,$F$15,$F$14,$F$20,K$2,I$1,$C251)</f>
        <v>#VALUE!</v>
      </c>
      <c r="L251" s="221" t="e">
        <f t="shared" ca="1" si="11"/>
        <v>#VALUE!</v>
      </c>
      <c r="M251" s="221" t="e">
        <f t="shared" ca="1" si="10"/>
        <v>#VALUE!</v>
      </c>
      <c r="N251" s="226"/>
      <c r="O251" s="226" t="str">
        <f ca="1">_xll.DBRW(Server&amp;Cube1,$F$17,$F$18,$F$19,$F$16,$C$14,$F$15,$F$14,$F$20,O$2,O$1,$C251)</f>
        <v/>
      </c>
      <c r="P251" s="226"/>
      <c r="Q251" s="240" t="str">
        <f ca="1">IF(_xll.ELCOMPN(Server&amp;$C$24,C251)=0,"YES","NO")</f>
        <v>NO</v>
      </c>
      <c r="R251" s="226"/>
      <c r="S251" s="226"/>
      <c r="T251" s="232" t="str">
        <f ca="1">_xll.DBRW(Server&amp;Cube1,$F$17,$F$18,$F$19,$F$16,$C$14,$F$15,$F$14,$F$20,T$2,$T$1,$C251)</f>
        <v/>
      </c>
      <c r="U251" s="232" t="str">
        <f ca="1">_xll.DBRW(Server&amp;Cube1,$F$17,$F$18,$F$19,$F$16,$C$14,$F$15,$F$14,$F$20,U$2,$U$1,$C251)</f>
        <v/>
      </c>
      <c r="V251" s="232" t="str">
        <f ca="1">_xll.DBRW(Server&amp;Cube1,$F$17,$F$18,$F$19,$F$16,$C$14,$F$15,$F$14,$F$20,V$2,V$1,$C251)</f>
        <v/>
      </c>
      <c r="W251" s="232" t="str">
        <f ca="1">_xll.DBRW(Server&amp;Cube1,$F$17,$F$18,$F$19,$F$16,$C$14,$F$15,$F$14,$F$20,W$2,W$1,$C251)</f>
        <v/>
      </c>
      <c r="X251" s="226" t="str">
        <f ca="1">_xll.DBRW(Server&amp;Cube1,$F$17,$F$18,$F$19,$F$16,$C$14,$F$15,$F$14,$F$20,X$2,X$1,$C251)</f>
        <v/>
      </c>
      <c r="Y251" s="226" t="str">
        <f ca="1">_xll.DBRW(Server&amp;Cube1,$F$17,$F$18,$F$19,$F$16,$C$14,$F$15,$F$14,$F$20,Y$2,Y$1,$C251)</f>
        <v/>
      </c>
      <c r="Z251" s="226" t="str">
        <f ca="1">_xll.DBRW(Server&amp;Cube1,$F$17,$F$18,$F$19,$F$16,$C$14,$F$15,$F$14,$F$20,Z$2,Z$1,$C251)</f>
        <v/>
      </c>
      <c r="AA251" s="226" t="str">
        <f ca="1">_xll.DBRW(Server&amp;Cube1,$F$17,$F$18,$F$19,$F$16,$C$14,$F$15,$F$14,$F$20,AA$2,AA$1,$C251)</f>
        <v/>
      </c>
      <c r="AB251" s="226" t="str">
        <f ca="1">_xll.DBRW(Server&amp;Cube1,$F$17,$F$18,$F$19,$F$16,$C$14,$F$15,$F$14,$F$20,AB$2,AB$1,$C251)</f>
        <v/>
      </c>
      <c r="AC251" s="226" t="str">
        <f ca="1">_xll.DBRW(Server&amp;Cube1,$F$17,$F$18,$F$19,$F$16,$C$14,$F$15,$F$14,$F$20,AC$2,AC$1,$C251)</f>
        <v/>
      </c>
      <c r="AD251" s="226" t="str">
        <f ca="1">_xll.DBRW(Server&amp;Cube1,$F$17,$F$18,$F$19,$F$16,$C$14,$F$15,$F$14,$F$20,AD$2,AD$1,$C251)</f>
        <v/>
      </c>
      <c r="AE251" s="226" t="str">
        <f ca="1">_xll.DBRW(Server&amp;Cube1,$F$17,$F$18,$F$19,$F$16,$C$14,$F$15,$F$14,$F$20,AE$2,AE$1,$C251)</f>
        <v/>
      </c>
      <c r="AF251" s="226" t="str">
        <f ca="1">_xll.DBRW(Server&amp;Cube1,$F$17,$F$18,$F$19,$F$16,$C$14,$F$15,$F$14,$F$20,AF$2,$AF$1,$C251)</f>
        <v/>
      </c>
      <c r="AG251" s="53"/>
      <c r="AH251" s="53"/>
      <c r="AI251" s="53"/>
      <c r="AJ251" s="53"/>
      <c r="AK251" s="53"/>
      <c r="AL251" s="53"/>
      <c r="AM251" s="53"/>
      <c r="AN251" s="53"/>
      <c r="AO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:53" s="9" customFormat="1" ht="24" customHeight="1" x14ac:dyDescent="0.35">
      <c r="A252" s="181" t="e">
        <f ca="1">IF($AT$35="YES",1,IF(_xll.ELCOMPN(Server&amp;$C$24,C252)&lt;&gt;0,1,IF(OR(B252=$AZ$35,B252="ALL"),1,0)))</f>
        <v>#VALUE!</v>
      </c>
      <c r="B252" s="163" t="str">
        <f t="shared" si="12"/>
        <v>DS</v>
      </c>
      <c r="C252" s="158" t="s">
        <v>344</v>
      </c>
      <c r="E252" s="270" t="str">
        <f ca="1">_xll.DBRA(Server&amp;$C$24,$C252,$F$21)</f>
        <v>Personnel mis à disposition (SO)</v>
      </c>
      <c r="F252" s="270"/>
      <c r="G252" s="270"/>
      <c r="H252" s="40"/>
      <c r="I252" s="221" t="str">
        <f ca="1">_xll.DBRW(Server&amp;Cube1,$F$17,$F$18,$F$19,$F$16,$C$14,$F$15,$F$14,$F$20,I$2,I$1,$C252)</f>
        <v/>
      </c>
      <c r="J252" s="221" t="str">
        <f ca="1">_xll.DBRW(Server&amp;Cube1,$F$17,$F$18,$F$19,$F$16,$C$14,$F$15,$F$14,$F$20,J$2,J$1,$C252)</f>
        <v/>
      </c>
      <c r="K252" s="221" t="e">
        <f ca="1">_xll.DBRW(Server&amp;Cube1,$F$17,$F$18,$F$19,$F$16,$C$14,$F$15,$F$14,$F$20,I$2,I$1,$C252) -_xll.DBRW(Server&amp;Cube1,$F$17,$F$18,$F$19,$F$16,$C$14,$F$15,$F$14,$F$20,K$2,I$1,$C252)</f>
        <v>#VALUE!</v>
      </c>
      <c r="L252" s="221" t="e">
        <f t="shared" ca="1" si="11"/>
        <v>#VALUE!</v>
      </c>
      <c r="M252" s="221" t="e">
        <f t="shared" ca="1" si="10"/>
        <v>#VALUE!</v>
      </c>
      <c r="N252" s="226"/>
      <c r="O252" s="221" t="str">
        <f ca="1">_xll.DBRW(Server&amp;Cube1,$F$17,$F$18,$F$19,$F$16,$C$14,$F$15,$F$14,$F$20,O$2,O$1,$C252)</f>
        <v/>
      </c>
      <c r="P252" s="226"/>
      <c r="Q252" s="240" t="str">
        <f ca="1">IF(_xll.ELCOMPN(Server&amp;$C$24,C252)=0,"YES","NO")</f>
        <v>YES</v>
      </c>
      <c r="R252" s="241">
        <v>0</v>
      </c>
      <c r="S252" s="226"/>
      <c r="T252" s="227" t="str">
        <f ca="1">_xll.DBRW(Server&amp;Cube1,$F$17,$F$18,$F$19,$F$16,$C$14,$F$15,$F$14,$F$20,T$2,$T$1,$C252)</f>
        <v/>
      </c>
      <c r="U252" s="227" t="str">
        <f ca="1">_xll.DBRW(Server&amp;Cube1,$F$17,$F$18,$F$19,$F$16,$C$14,$F$15,$F$14,$F$20,U$2,$U$1,$C252)</f>
        <v/>
      </c>
      <c r="V252" s="227" t="str">
        <f ca="1">_xll.DBRW(Server&amp;Cube1,$F$17,$F$18,$F$19,$F$16,$C$14,$F$15,$F$14,$F$20,V$2,V$1,$C252)</f>
        <v/>
      </c>
      <c r="W252" s="227" t="str">
        <f ca="1">_xll.DBRW(Server&amp;Cube1,$F$17,$F$18,$F$19,$F$16,$C$14,$F$15,$F$14,$F$20,W$2,W$1,$C252)</f>
        <v/>
      </c>
      <c r="X252" s="227" t="str">
        <f ca="1">_xll.DBRW(Server&amp;Cube1,$F$17,$F$18,$F$19,$F$16,$C$14,$F$15,$F$14,$F$20,X$2,X$1,$C252)</f>
        <v/>
      </c>
      <c r="Y252" s="227" t="str">
        <f ca="1">_xll.DBRW(Server&amp;Cube1,$F$17,$F$18,$F$19,$F$16,$C$14,$F$15,$F$14,$F$20,Y$2,Y$1,$C252)</f>
        <v/>
      </c>
      <c r="Z252" s="241"/>
      <c r="AA252" s="241"/>
      <c r="AB252" s="241"/>
      <c r="AC252" s="241"/>
      <c r="AD252" s="241"/>
      <c r="AE252" s="241"/>
      <c r="AF252" s="221" t="str">
        <f ca="1">_xll.DBRW(Server&amp;Cube1,$F$17,$F$18,$F$19,$F$16,$C$14,$F$15,$F$14,$F$20,AF$2,$AF$1,$C252)</f>
        <v/>
      </c>
      <c r="AG252" s="53"/>
      <c r="AH252" s="53"/>
      <c r="AI252" s="53"/>
      <c r="AJ252" s="53"/>
      <c r="AK252" s="53"/>
      <c r="AL252" s="53"/>
      <c r="AM252" s="53"/>
      <c r="AN252" s="53"/>
      <c r="AO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:53" s="9" customFormat="1" ht="24" customHeight="1" x14ac:dyDescent="0.35">
      <c r="A253" s="181" t="e">
        <f ca="1">IF($AT$35="YES",1,IF(_xll.ELCOMPN(Server&amp;$C$24,C253)&lt;&gt;0,1,IF(OR(B253=$AZ$35,B253="ALL"),1,0)))</f>
        <v>#VALUE!</v>
      </c>
      <c r="B253" s="163" t="str">
        <f t="shared" si="12"/>
        <v>BD</v>
      </c>
      <c r="C253" s="158" t="s">
        <v>345</v>
      </c>
      <c r="E253" s="270" t="str">
        <f ca="1">_xll.DBRA(Server&amp;$C$24,$C253,$F$21)</f>
        <v>Personnel mis à disposition (DC)</v>
      </c>
      <c r="F253" s="270"/>
      <c r="G253" s="270"/>
      <c r="H253" s="40"/>
      <c r="I253" s="221" t="str">
        <f ca="1">_xll.DBRW(Server&amp;Cube1,$F$17,$F$18,$F$19,$F$16,$C$14,$F$15,$F$14,$F$20,I$2,I$1,$C253)</f>
        <v/>
      </c>
      <c r="J253" s="221" t="str">
        <f ca="1">_xll.DBRW(Server&amp;Cube1,$F$17,$F$18,$F$19,$F$16,$C$14,$F$15,$F$14,$F$20,J$2,J$1,$C253)</f>
        <v/>
      </c>
      <c r="K253" s="221" t="e">
        <f ca="1">_xll.DBRW(Server&amp;Cube1,$F$17,$F$18,$F$19,$F$16,$C$14,$F$15,$F$14,$F$20,I$2,I$1,$C253) -_xll.DBRW(Server&amp;Cube1,$F$17,$F$18,$F$19,$F$16,$C$14,$F$15,$F$14,$F$20,K$2,I$1,$C253)</f>
        <v>#VALUE!</v>
      </c>
      <c r="L253" s="221" t="e">
        <f t="shared" ca="1" si="11"/>
        <v>#VALUE!</v>
      </c>
      <c r="M253" s="221" t="e">
        <f t="shared" ca="1" si="10"/>
        <v>#VALUE!</v>
      </c>
      <c r="N253" s="226"/>
      <c r="O253" s="221" t="str">
        <f ca="1">_xll.DBRW(Server&amp;Cube1,$F$17,$F$18,$F$19,$F$16,$C$14,$F$15,$F$14,$F$20,O$2,O$1,$C253)</f>
        <v/>
      </c>
      <c r="P253" s="226"/>
      <c r="Q253" s="240" t="str">
        <f ca="1">IF(_xll.ELCOMPN(Server&amp;$C$24,C253)=0,"YES","NO")</f>
        <v>YES</v>
      </c>
      <c r="R253" s="241">
        <v>0</v>
      </c>
      <c r="S253" s="226"/>
      <c r="T253" s="227" t="str">
        <f ca="1">_xll.DBRW(Server&amp;Cube1,$F$17,$F$18,$F$19,$F$16,$C$14,$F$15,$F$14,$F$20,T$2,$T$1,$C253)</f>
        <v/>
      </c>
      <c r="U253" s="227" t="str">
        <f ca="1">_xll.DBRW(Server&amp;Cube1,$F$17,$F$18,$F$19,$F$16,$C$14,$F$15,$F$14,$F$20,U$2,$U$1,$C253)</f>
        <v/>
      </c>
      <c r="V253" s="227" t="str">
        <f ca="1">_xll.DBRW(Server&amp;Cube1,$F$17,$F$18,$F$19,$F$16,$C$14,$F$15,$F$14,$F$20,V$2,V$1,$C253)</f>
        <v/>
      </c>
      <c r="W253" s="227" t="str">
        <f ca="1">_xll.DBRW(Server&amp;Cube1,$F$17,$F$18,$F$19,$F$16,$C$14,$F$15,$F$14,$F$20,W$2,W$1,$C253)</f>
        <v/>
      </c>
      <c r="X253" s="227" t="str">
        <f ca="1">_xll.DBRW(Server&amp;Cube1,$F$17,$F$18,$F$19,$F$16,$C$14,$F$15,$F$14,$F$20,X$2,X$1,$C253)</f>
        <v/>
      </c>
      <c r="Y253" s="227" t="str">
        <f ca="1">_xll.DBRW(Server&amp;Cube1,$F$17,$F$18,$F$19,$F$16,$C$14,$F$15,$F$14,$F$20,Y$2,Y$1,$C253)</f>
        <v/>
      </c>
      <c r="Z253" s="241"/>
      <c r="AA253" s="241"/>
      <c r="AB253" s="241"/>
      <c r="AC253" s="241"/>
      <c r="AD253" s="241"/>
      <c r="AE253" s="241"/>
      <c r="AF253" s="221" t="str">
        <f ca="1">_xll.DBRW(Server&amp;Cube1,$F$17,$F$18,$F$19,$F$16,$C$14,$F$15,$F$14,$F$20,AF$2,$AF$1,$C253)</f>
        <v/>
      </c>
      <c r="AG253" s="53"/>
      <c r="AH253" s="53"/>
      <c r="AI253" s="53"/>
      <c r="AJ253" s="53"/>
      <c r="AK253" s="53"/>
      <c r="AL253" s="53"/>
      <c r="AM253" s="53"/>
      <c r="AN253" s="53"/>
      <c r="AO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:53" s="9" customFormat="1" ht="24" customHeight="1" x14ac:dyDescent="0.35">
      <c r="A254" s="181" t="e">
        <f ca="1">IF($AT$35="YES",1,IF(_xll.ELCOMPN(Server&amp;$C$24,C254)&lt;&gt;0,1,IF(OR(B254=$AZ$35,B254="ALL"),1,0)))</f>
        <v>#VALUE!</v>
      </c>
      <c r="B254" s="163" t="str">
        <f t="shared" si="12"/>
        <v>FI</v>
      </c>
      <c r="C254" s="158" t="s">
        <v>346</v>
      </c>
      <c r="E254" s="270" t="str">
        <f ca="1">_xll.DBRA(Server&amp;$C$24,$C254,$F$21)</f>
        <v>Personnel mis à disposition (DF)</v>
      </c>
      <c r="F254" s="270"/>
      <c r="G254" s="270"/>
      <c r="H254" s="40"/>
      <c r="I254" s="221" t="str">
        <f ca="1">_xll.DBRW(Server&amp;Cube1,$F$17,$F$18,$F$19,$F$16,$C$14,$F$15,$F$14,$F$20,I$2,I$1,$C254)</f>
        <v/>
      </c>
      <c r="J254" s="221" t="str">
        <f ca="1">_xll.DBRW(Server&amp;Cube1,$F$17,$F$18,$F$19,$F$16,$C$14,$F$15,$F$14,$F$20,J$2,J$1,$C254)</f>
        <v/>
      </c>
      <c r="K254" s="221" t="e">
        <f ca="1">_xll.DBRW(Server&amp;Cube1,$F$17,$F$18,$F$19,$F$16,$C$14,$F$15,$F$14,$F$20,I$2,I$1,$C254) -_xll.DBRW(Server&amp;Cube1,$F$17,$F$18,$F$19,$F$16,$C$14,$F$15,$F$14,$F$20,K$2,I$1,$C254)</f>
        <v>#VALUE!</v>
      </c>
      <c r="L254" s="221" t="e">
        <f t="shared" ca="1" si="11"/>
        <v>#VALUE!</v>
      </c>
      <c r="M254" s="221" t="e">
        <f t="shared" ca="1" si="10"/>
        <v>#VALUE!</v>
      </c>
      <c r="N254" s="226"/>
      <c r="O254" s="221" t="str">
        <f ca="1">_xll.DBRW(Server&amp;Cube1,$F$17,$F$18,$F$19,$F$16,$C$14,$F$15,$F$14,$F$20,O$2,O$1,$C254)</f>
        <v/>
      </c>
      <c r="P254" s="226"/>
      <c r="Q254" s="240" t="str">
        <f ca="1">IF(_xll.ELCOMPN(Server&amp;$C$24,C254)=0,"YES","NO")</f>
        <v>YES</v>
      </c>
      <c r="R254" s="241">
        <v>0</v>
      </c>
      <c r="S254" s="226"/>
      <c r="T254" s="227" t="str">
        <f ca="1">_xll.DBRW(Server&amp;Cube1,$F$17,$F$18,$F$19,$F$16,$C$14,$F$15,$F$14,$F$20,T$2,$T$1,$C254)</f>
        <v/>
      </c>
      <c r="U254" s="227" t="str">
        <f ca="1">_xll.DBRW(Server&amp;Cube1,$F$17,$F$18,$F$19,$F$16,$C$14,$F$15,$F$14,$F$20,U$2,$U$1,$C254)</f>
        <v/>
      </c>
      <c r="V254" s="227" t="str">
        <f ca="1">_xll.DBRW(Server&amp;Cube1,$F$17,$F$18,$F$19,$F$16,$C$14,$F$15,$F$14,$F$20,V$2,V$1,$C254)</f>
        <v/>
      </c>
      <c r="W254" s="227" t="str">
        <f ca="1">_xll.DBRW(Server&amp;Cube1,$F$17,$F$18,$F$19,$F$16,$C$14,$F$15,$F$14,$F$20,W$2,W$1,$C254)</f>
        <v/>
      </c>
      <c r="X254" s="227" t="str">
        <f ca="1">_xll.DBRW(Server&amp;Cube1,$F$17,$F$18,$F$19,$F$16,$C$14,$F$15,$F$14,$F$20,X$2,X$1,$C254)</f>
        <v/>
      </c>
      <c r="Y254" s="227" t="str">
        <f ca="1">_xll.DBRW(Server&amp;Cube1,$F$17,$F$18,$F$19,$F$16,$C$14,$F$15,$F$14,$F$20,Y$2,Y$1,$C254)</f>
        <v/>
      </c>
      <c r="Z254" s="241"/>
      <c r="AA254" s="241"/>
      <c r="AB254" s="241"/>
      <c r="AC254" s="241"/>
      <c r="AD254" s="241"/>
      <c r="AE254" s="241"/>
      <c r="AF254" s="221" t="str">
        <f ca="1">_xll.DBRW(Server&amp;Cube1,$F$17,$F$18,$F$19,$F$16,$C$14,$F$15,$F$14,$F$20,AF$2,$AF$1,$C254)</f>
        <v/>
      </c>
      <c r="AG254" s="53"/>
      <c r="AH254" s="53"/>
      <c r="AI254" s="53"/>
      <c r="AJ254" s="53"/>
      <c r="AK254" s="53"/>
      <c r="AL254" s="53"/>
      <c r="AM254" s="53"/>
      <c r="AN254" s="53"/>
      <c r="AO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:53" s="9" customFormat="1" ht="24" customHeight="1" x14ac:dyDescent="0.35">
      <c r="A255" s="181" t="e">
        <f ca="1">IF($AT$35="YES",1,IF(_xll.ELCOMPN(Server&amp;$C$24,C255)&lt;&gt;0,1,IF(OR(B255=$AZ$35,B255="ALL"),1,0)))</f>
        <v>#VALUE!</v>
      </c>
      <c r="B255" s="163" t="str">
        <f t="shared" si="12"/>
        <v>IT</v>
      </c>
      <c r="C255" s="158" t="s">
        <v>347</v>
      </c>
      <c r="E255" s="270" t="str">
        <f ca="1">_xll.DBRA(Server&amp;$C$24,$C255,$F$21)</f>
        <v>Personnel mis à disposition (IT)</v>
      </c>
      <c r="F255" s="270"/>
      <c r="G255" s="270"/>
      <c r="H255" s="40"/>
      <c r="I255" s="221" t="str">
        <f ca="1">_xll.DBRW(Server&amp;Cube1,$F$17,$F$18,$F$19,$F$16,$C$14,$F$15,$F$14,$F$20,I$2,I$1,$C255)</f>
        <v/>
      </c>
      <c r="J255" s="221" t="str">
        <f ca="1">_xll.DBRW(Server&amp;Cube1,$F$17,$F$18,$F$19,$F$16,$C$14,$F$15,$F$14,$F$20,J$2,J$1,$C255)</f>
        <v/>
      </c>
      <c r="K255" s="221" t="e">
        <f ca="1">_xll.DBRW(Server&amp;Cube1,$F$17,$F$18,$F$19,$F$16,$C$14,$F$15,$F$14,$F$20,I$2,I$1,$C255) -_xll.DBRW(Server&amp;Cube1,$F$17,$F$18,$F$19,$F$16,$C$14,$F$15,$F$14,$F$20,K$2,I$1,$C255)</f>
        <v>#VALUE!</v>
      </c>
      <c r="L255" s="221" t="e">
        <f t="shared" ca="1" si="11"/>
        <v>#VALUE!</v>
      </c>
      <c r="M255" s="221" t="e">
        <f t="shared" ca="1" si="10"/>
        <v>#VALUE!</v>
      </c>
      <c r="N255" s="226"/>
      <c r="O255" s="221" t="str">
        <f ca="1">_xll.DBRW(Server&amp;Cube1,$F$17,$F$18,$F$19,$F$16,$C$14,$F$15,$F$14,$F$20,O$2,O$1,$C255)</f>
        <v/>
      </c>
      <c r="P255" s="226"/>
      <c r="Q255" s="240" t="str">
        <f ca="1">IF(_xll.ELCOMPN(Server&amp;$C$24,C255)=0,"YES","NO")</f>
        <v>YES</v>
      </c>
      <c r="R255" s="241">
        <v>0</v>
      </c>
      <c r="S255" s="226"/>
      <c r="T255" s="227" t="str">
        <f ca="1">_xll.DBRW(Server&amp;Cube1,$F$17,$F$18,$F$19,$F$16,$C$14,$F$15,$F$14,$F$20,T$2,$T$1,$C255)</f>
        <v/>
      </c>
      <c r="U255" s="227" t="str">
        <f ca="1">_xll.DBRW(Server&amp;Cube1,$F$17,$F$18,$F$19,$F$16,$C$14,$F$15,$F$14,$F$20,U$2,$U$1,$C255)</f>
        <v/>
      </c>
      <c r="V255" s="227" t="str">
        <f ca="1">_xll.DBRW(Server&amp;Cube1,$F$17,$F$18,$F$19,$F$16,$C$14,$F$15,$F$14,$F$20,V$2,V$1,$C255)</f>
        <v/>
      </c>
      <c r="W255" s="227" t="str">
        <f ca="1">_xll.DBRW(Server&amp;Cube1,$F$17,$F$18,$F$19,$F$16,$C$14,$F$15,$F$14,$F$20,W$2,W$1,$C255)</f>
        <v/>
      </c>
      <c r="X255" s="227" t="str">
        <f ca="1">_xll.DBRW(Server&amp;Cube1,$F$17,$F$18,$F$19,$F$16,$C$14,$F$15,$F$14,$F$20,X$2,X$1,$C255)</f>
        <v/>
      </c>
      <c r="Y255" s="227" t="str">
        <f ca="1">_xll.DBRW(Server&amp;Cube1,$F$17,$F$18,$F$19,$F$16,$C$14,$F$15,$F$14,$F$20,Y$2,Y$1,$C255)</f>
        <v/>
      </c>
      <c r="Z255" s="241"/>
      <c r="AA255" s="241"/>
      <c r="AB255" s="241"/>
      <c r="AC255" s="241"/>
      <c r="AD255" s="241"/>
      <c r="AE255" s="241"/>
      <c r="AF255" s="221" t="str">
        <f ca="1">_xll.DBRW(Server&amp;Cube1,$F$17,$F$18,$F$19,$F$16,$C$14,$F$15,$F$14,$F$20,AF$2,$AF$1,$C255)</f>
        <v/>
      </c>
      <c r="AG255" s="53"/>
      <c r="AH255" s="53"/>
      <c r="AI255" s="53"/>
      <c r="AJ255" s="53"/>
      <c r="AK255" s="53"/>
      <c r="AL255" s="53"/>
      <c r="AM255" s="53"/>
      <c r="AN255" s="53"/>
      <c r="AO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:53" s="9" customFormat="1" ht="24" customHeight="1" x14ac:dyDescent="0.35">
      <c r="A256" s="181" t="e">
        <f ca="1">IF($AT$35="YES",1,IF(_xll.ELCOMPN(Server&amp;$C$24,C256)&lt;&gt;0,1,IF(OR(B256=$AZ$35,B256="ALL"),1,0)))</f>
        <v>#VALUE!</v>
      </c>
      <c r="B256" s="163" t="str">
        <f t="shared" si="12"/>
        <v>HR</v>
      </c>
      <c r="C256" s="158" t="s">
        <v>348</v>
      </c>
      <c r="E256" s="270" t="str">
        <f ca="1">_xll.DBRA(Server&amp;$C$24,$C256,$F$21)</f>
        <v>Personnel mis à disposition (RH)</v>
      </c>
      <c r="F256" s="270"/>
      <c r="G256" s="270"/>
      <c r="H256" s="40"/>
      <c r="I256" s="221" t="str">
        <f ca="1">_xll.DBRW(Server&amp;Cube1,$F$17,$F$18,$F$19,$F$16,$C$14,$F$15,$F$14,$F$20,I$2,I$1,$C256)</f>
        <v/>
      </c>
      <c r="J256" s="221" t="str">
        <f ca="1">_xll.DBRW(Server&amp;Cube1,$F$17,$F$18,$F$19,$F$16,$C$14,$F$15,$F$14,$F$20,J$2,J$1,$C256)</f>
        <v/>
      </c>
      <c r="K256" s="221" t="e">
        <f ca="1">_xll.DBRW(Server&amp;Cube1,$F$17,$F$18,$F$19,$F$16,$C$14,$F$15,$F$14,$F$20,I$2,I$1,$C256) -_xll.DBRW(Server&amp;Cube1,$F$17,$F$18,$F$19,$F$16,$C$14,$F$15,$F$14,$F$20,K$2,I$1,$C256)</f>
        <v>#VALUE!</v>
      </c>
      <c r="L256" s="221" t="e">
        <f t="shared" ca="1" si="11"/>
        <v>#VALUE!</v>
      </c>
      <c r="M256" s="221" t="e">
        <f t="shared" ca="1" si="10"/>
        <v>#VALUE!</v>
      </c>
      <c r="N256" s="226"/>
      <c r="O256" s="221" t="str">
        <f ca="1">_xll.DBRW(Server&amp;Cube1,$F$17,$F$18,$F$19,$F$16,$C$14,$F$15,$F$14,$F$20,O$2,O$1,$C256)</f>
        <v/>
      </c>
      <c r="P256" s="226"/>
      <c r="Q256" s="240" t="str">
        <f ca="1">IF(_xll.ELCOMPN(Server&amp;$C$24,C256)=0,"YES","NO")</f>
        <v>YES</v>
      </c>
      <c r="R256" s="241">
        <v>0</v>
      </c>
      <c r="S256" s="226"/>
      <c r="T256" s="227" t="str">
        <f ca="1">_xll.DBRW(Server&amp;Cube1,$F$17,$F$18,$F$19,$F$16,$C$14,$F$15,$F$14,$F$20,T$2,$T$1,$C256)</f>
        <v/>
      </c>
      <c r="U256" s="227" t="str">
        <f ca="1">_xll.DBRW(Server&amp;Cube1,$F$17,$F$18,$F$19,$F$16,$C$14,$F$15,$F$14,$F$20,U$2,$U$1,$C256)</f>
        <v/>
      </c>
      <c r="V256" s="227" t="str">
        <f ca="1">_xll.DBRW(Server&amp;Cube1,$F$17,$F$18,$F$19,$F$16,$C$14,$F$15,$F$14,$F$20,V$2,V$1,$C256)</f>
        <v/>
      </c>
      <c r="W256" s="227" t="str">
        <f ca="1">_xll.DBRW(Server&amp;Cube1,$F$17,$F$18,$F$19,$F$16,$C$14,$F$15,$F$14,$F$20,W$2,W$1,$C256)</f>
        <v/>
      </c>
      <c r="X256" s="227" t="str">
        <f ca="1">_xll.DBRW(Server&amp;Cube1,$F$17,$F$18,$F$19,$F$16,$C$14,$F$15,$F$14,$F$20,X$2,X$1,$C256)</f>
        <v/>
      </c>
      <c r="Y256" s="227" t="str">
        <f ca="1">_xll.DBRW(Server&amp;Cube1,$F$17,$F$18,$F$19,$F$16,$C$14,$F$15,$F$14,$F$20,Y$2,Y$1,$C256)</f>
        <v/>
      </c>
      <c r="Z256" s="241"/>
      <c r="AA256" s="241"/>
      <c r="AB256" s="241"/>
      <c r="AC256" s="241"/>
      <c r="AD256" s="241"/>
      <c r="AE256" s="241"/>
      <c r="AF256" s="221" t="str">
        <f ca="1">_xll.DBRW(Server&amp;Cube1,$F$17,$F$18,$F$19,$F$16,$C$14,$F$15,$F$14,$F$20,AF$2,$AF$1,$C256)</f>
        <v/>
      </c>
      <c r="AG256" s="53"/>
      <c r="AH256" s="53"/>
      <c r="AI256" s="53"/>
      <c r="AJ256" s="53"/>
      <c r="AK256" s="53"/>
      <c r="AL256" s="53"/>
      <c r="AM256" s="53"/>
      <c r="AN256" s="53"/>
      <c r="AO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:53" s="9" customFormat="1" ht="24" customHeight="1" x14ac:dyDescent="0.35">
      <c r="A257" s="181" t="e">
        <f ca="1">IF($AT$35="YES",1,IF(_xll.ELCOMPN(Server&amp;$C$24,C257)&lt;&gt;0,1,IF(OR(B257=$AZ$35,B257="ALL"),1,0)))</f>
        <v>#VALUE!</v>
      </c>
      <c r="B257" s="163" t="str">
        <f t="shared" si="12"/>
        <v>GM</v>
      </c>
      <c r="C257" s="158" t="s">
        <v>349</v>
      </c>
      <c r="E257" s="270" t="str">
        <f ca="1">_xll.DBRA(Server&amp;$C$24,$C257,$F$21)</f>
        <v>Personnel mis à disposition (DG)</v>
      </c>
      <c r="F257" s="270"/>
      <c r="G257" s="270"/>
      <c r="H257" s="40"/>
      <c r="I257" s="221" t="str">
        <f ca="1">_xll.DBRW(Server&amp;Cube1,$F$17,$F$18,$F$19,$F$16,$C$14,$F$15,$F$14,$F$20,I$2,I$1,$C257)</f>
        <v/>
      </c>
      <c r="J257" s="221" t="str">
        <f ca="1">_xll.DBRW(Server&amp;Cube1,$F$17,$F$18,$F$19,$F$16,$C$14,$F$15,$F$14,$F$20,J$2,J$1,$C257)</f>
        <v/>
      </c>
      <c r="K257" s="221" t="e">
        <f ca="1">_xll.DBRW(Server&amp;Cube1,$F$17,$F$18,$F$19,$F$16,$C$14,$F$15,$F$14,$F$20,I$2,I$1,$C257) -_xll.DBRW(Server&amp;Cube1,$F$17,$F$18,$F$19,$F$16,$C$14,$F$15,$F$14,$F$20,K$2,I$1,$C257)</f>
        <v>#VALUE!</v>
      </c>
      <c r="L257" s="221" t="e">
        <f t="shared" ca="1" si="11"/>
        <v>#VALUE!</v>
      </c>
      <c r="M257" s="221" t="e">
        <f t="shared" ca="1" si="10"/>
        <v>#VALUE!</v>
      </c>
      <c r="N257" s="226"/>
      <c r="O257" s="221" t="str">
        <f ca="1">_xll.DBRW(Server&amp;Cube1,$F$17,$F$18,$F$19,$F$16,$C$14,$F$15,$F$14,$F$20,O$2,O$1,$C257)</f>
        <v/>
      </c>
      <c r="P257" s="226"/>
      <c r="Q257" s="240" t="str">
        <f ca="1">IF(_xll.ELCOMPN(Server&amp;$C$24,C257)=0,"YES","NO")</f>
        <v>YES</v>
      </c>
      <c r="R257" s="241">
        <v>0</v>
      </c>
      <c r="S257" s="226"/>
      <c r="T257" s="227" t="str">
        <f ca="1">_xll.DBRW(Server&amp;Cube1,$F$17,$F$18,$F$19,$F$16,$C$14,$F$15,$F$14,$F$20,T$2,$T$1,$C257)</f>
        <v/>
      </c>
      <c r="U257" s="227" t="str">
        <f ca="1">_xll.DBRW(Server&amp;Cube1,$F$17,$F$18,$F$19,$F$16,$C$14,$F$15,$F$14,$F$20,U$2,$U$1,$C257)</f>
        <v/>
      </c>
      <c r="V257" s="227" t="str">
        <f ca="1">_xll.DBRW(Server&amp;Cube1,$F$17,$F$18,$F$19,$F$16,$C$14,$F$15,$F$14,$F$20,V$2,V$1,$C257)</f>
        <v/>
      </c>
      <c r="W257" s="227" t="str">
        <f ca="1">_xll.DBRW(Server&amp;Cube1,$F$17,$F$18,$F$19,$F$16,$C$14,$F$15,$F$14,$F$20,W$2,W$1,$C257)</f>
        <v/>
      </c>
      <c r="X257" s="227" t="str">
        <f ca="1">_xll.DBRW(Server&amp;Cube1,$F$17,$F$18,$F$19,$F$16,$C$14,$F$15,$F$14,$F$20,X$2,X$1,$C257)</f>
        <v/>
      </c>
      <c r="Y257" s="227" t="str">
        <f ca="1">_xll.DBRW(Server&amp;Cube1,$F$17,$F$18,$F$19,$F$16,$C$14,$F$15,$F$14,$F$20,Y$2,Y$1,$C257)</f>
        <v/>
      </c>
      <c r="Z257" s="241"/>
      <c r="AA257" s="241"/>
      <c r="AB257" s="241"/>
      <c r="AC257" s="241"/>
      <c r="AD257" s="241"/>
      <c r="AE257" s="241"/>
      <c r="AF257" s="221" t="str">
        <f ca="1">_xll.DBRW(Server&amp;Cube1,$F$17,$F$18,$F$19,$F$16,$C$14,$F$15,$F$14,$F$20,AF$2,$AF$1,$C257)</f>
        <v/>
      </c>
      <c r="AG257" s="53"/>
      <c r="AH257" s="53"/>
      <c r="AI257" s="53"/>
      <c r="AJ257" s="53"/>
      <c r="AK257" s="53"/>
      <c r="AL257" s="53"/>
      <c r="AM257" s="53"/>
      <c r="AN257" s="53"/>
      <c r="AO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:53" s="9" customFormat="1" ht="24" customHeight="1" x14ac:dyDescent="0.35">
      <c r="A258" s="181" t="e">
        <f ca="1">IF($AT$35="YES",1,IF(_xll.ELCOMPN(Server&amp;$C$24,C258)&lt;&gt;0,1,IF(OR(B258=$AZ$35,B258="ALL"),1,0)))</f>
        <v>#VALUE!</v>
      </c>
      <c r="B258" s="163" t="str">
        <f t="shared" si="12"/>
        <v>IA</v>
      </c>
      <c r="C258" s="158" t="s">
        <v>350</v>
      </c>
      <c r="E258" s="270" t="str">
        <f ca="1">_xll.DBRA(Server&amp;$C$24,$C258,$F$21)</f>
        <v>Personnel mis à disposition (AI)</v>
      </c>
      <c r="F258" s="270"/>
      <c r="G258" s="270"/>
      <c r="H258" s="40"/>
      <c r="I258" s="221" t="str">
        <f ca="1">_xll.DBRW(Server&amp;Cube1,$F$17,$F$18,$F$19,$F$16,$C$14,$F$15,$F$14,$F$20,I$2,I$1,$C258)</f>
        <v/>
      </c>
      <c r="J258" s="221" t="str">
        <f ca="1">_xll.DBRW(Server&amp;Cube1,$F$17,$F$18,$F$19,$F$16,$C$14,$F$15,$F$14,$F$20,J$2,J$1,$C258)</f>
        <v/>
      </c>
      <c r="K258" s="221" t="e">
        <f ca="1">_xll.DBRW(Server&amp;Cube1,$F$17,$F$18,$F$19,$F$16,$C$14,$F$15,$F$14,$F$20,I$2,I$1,$C258) -_xll.DBRW(Server&amp;Cube1,$F$17,$F$18,$F$19,$F$16,$C$14,$F$15,$F$14,$F$20,K$2,I$1,$C258)</f>
        <v>#VALUE!</v>
      </c>
      <c r="L258" s="221" t="e">
        <f t="shared" ca="1" si="11"/>
        <v>#VALUE!</v>
      </c>
      <c r="M258" s="221" t="e">
        <f t="shared" ca="1" si="10"/>
        <v>#VALUE!</v>
      </c>
      <c r="N258" s="226"/>
      <c r="O258" s="221" t="str">
        <f ca="1">_xll.DBRW(Server&amp;Cube1,$F$17,$F$18,$F$19,$F$16,$C$14,$F$15,$F$14,$F$20,O$2,O$1,$C258)</f>
        <v/>
      </c>
      <c r="P258" s="226"/>
      <c r="Q258" s="240" t="str">
        <f ca="1">IF(_xll.ELCOMPN(Server&amp;$C$24,C258)=0,"YES","NO")</f>
        <v>YES</v>
      </c>
      <c r="R258" s="241">
        <v>0</v>
      </c>
      <c r="S258" s="226"/>
      <c r="T258" s="227" t="str">
        <f ca="1">_xll.DBRW(Server&amp;Cube1,$F$17,$F$18,$F$19,$F$16,$C$14,$F$15,$F$14,$F$20,T$2,$T$1,$C258)</f>
        <v/>
      </c>
      <c r="U258" s="227" t="str">
        <f ca="1">_xll.DBRW(Server&amp;Cube1,$F$17,$F$18,$F$19,$F$16,$C$14,$F$15,$F$14,$F$20,U$2,$U$1,$C258)</f>
        <v/>
      </c>
      <c r="V258" s="227" t="str">
        <f ca="1">_xll.DBRW(Server&amp;Cube1,$F$17,$F$18,$F$19,$F$16,$C$14,$F$15,$F$14,$F$20,V$2,V$1,$C258)</f>
        <v/>
      </c>
      <c r="W258" s="227" t="str">
        <f ca="1">_xll.DBRW(Server&amp;Cube1,$F$17,$F$18,$F$19,$F$16,$C$14,$F$15,$F$14,$F$20,W$2,W$1,$C258)</f>
        <v/>
      </c>
      <c r="X258" s="227" t="str">
        <f ca="1">_xll.DBRW(Server&amp;Cube1,$F$17,$F$18,$F$19,$F$16,$C$14,$F$15,$F$14,$F$20,X$2,X$1,$C258)</f>
        <v/>
      </c>
      <c r="Y258" s="227" t="str">
        <f ca="1">_xll.DBRW(Server&amp;Cube1,$F$17,$F$18,$F$19,$F$16,$C$14,$F$15,$F$14,$F$20,Y$2,Y$1,$C258)</f>
        <v/>
      </c>
      <c r="Z258" s="241"/>
      <c r="AA258" s="241"/>
      <c r="AB258" s="241"/>
      <c r="AC258" s="241"/>
      <c r="AD258" s="241"/>
      <c r="AE258" s="241"/>
      <c r="AF258" s="221" t="str">
        <f ca="1">_xll.DBRW(Server&amp;Cube1,$F$17,$F$18,$F$19,$F$16,$C$14,$F$15,$F$14,$F$20,AF$2,$AF$1,$C258)</f>
        <v/>
      </c>
      <c r="AG258" s="53"/>
      <c r="AH258" s="53"/>
      <c r="AI258" s="53"/>
      <c r="AJ258" s="53"/>
      <c r="AK258" s="53"/>
      <c r="AL258" s="53"/>
      <c r="AM258" s="53"/>
      <c r="AN258" s="53"/>
      <c r="AO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:53" s="9" customFormat="1" ht="24" customHeight="1" x14ac:dyDescent="0.35">
      <c r="A259" s="181" t="e">
        <f ca="1">IF($AT$35="YES",1,IF(_xll.ELCOMPN(Server&amp;$C$24,C259)&lt;&gt;0,1,IF(OR(B259=$AZ$35,B259="ALL"),1,0)))</f>
        <v>#VALUE!</v>
      </c>
      <c r="B259" s="163" t="str">
        <f t="shared" si="12"/>
        <v>LE</v>
      </c>
      <c r="C259" s="158" t="s">
        <v>351</v>
      </c>
      <c r="E259" s="270" t="str">
        <f ca="1">_xll.DBRA(Server&amp;$C$24,$C259,$F$21)</f>
        <v>Personnel mis à disposition (JU)</v>
      </c>
      <c r="F259" s="270"/>
      <c r="G259" s="270"/>
      <c r="H259" s="40"/>
      <c r="I259" s="221" t="str">
        <f ca="1">_xll.DBRW(Server&amp;Cube1,$F$17,$F$18,$F$19,$F$16,$C$14,$F$15,$F$14,$F$20,I$2,I$1,$C259)</f>
        <v/>
      </c>
      <c r="J259" s="221" t="str">
        <f ca="1">_xll.DBRW(Server&amp;Cube1,$F$17,$F$18,$F$19,$F$16,$C$14,$F$15,$F$14,$F$20,J$2,J$1,$C259)</f>
        <v/>
      </c>
      <c r="K259" s="221" t="e">
        <f ca="1">_xll.DBRW(Server&amp;Cube1,$F$17,$F$18,$F$19,$F$16,$C$14,$F$15,$F$14,$F$20,I$2,I$1,$C259) -_xll.DBRW(Server&amp;Cube1,$F$17,$F$18,$F$19,$F$16,$C$14,$F$15,$F$14,$F$20,K$2,I$1,$C259)</f>
        <v>#VALUE!</v>
      </c>
      <c r="L259" s="221" t="e">
        <f t="shared" ca="1" si="11"/>
        <v>#VALUE!</v>
      </c>
      <c r="M259" s="221" t="e">
        <f t="shared" ca="1" si="10"/>
        <v>#VALUE!</v>
      </c>
      <c r="N259" s="226"/>
      <c r="O259" s="221" t="str">
        <f ca="1">_xll.DBRW(Server&amp;Cube1,$F$17,$F$18,$F$19,$F$16,$C$14,$F$15,$F$14,$F$20,O$2,O$1,$C259)</f>
        <v/>
      </c>
      <c r="P259" s="226"/>
      <c r="Q259" s="240" t="str">
        <f ca="1">IF(_xll.ELCOMPN(Server&amp;$C$24,C259)=0,"YES","NO")</f>
        <v>YES</v>
      </c>
      <c r="R259" s="241">
        <v>0</v>
      </c>
      <c r="S259" s="226"/>
      <c r="T259" s="227" t="str">
        <f ca="1">_xll.DBRW(Server&amp;Cube1,$F$17,$F$18,$F$19,$F$16,$C$14,$F$15,$F$14,$F$20,T$2,$T$1,$C259)</f>
        <v/>
      </c>
      <c r="U259" s="227" t="str">
        <f ca="1">_xll.DBRW(Server&amp;Cube1,$F$17,$F$18,$F$19,$F$16,$C$14,$F$15,$F$14,$F$20,U$2,$U$1,$C259)</f>
        <v/>
      </c>
      <c r="V259" s="227" t="str">
        <f ca="1">_xll.DBRW(Server&amp;Cube1,$F$17,$F$18,$F$19,$F$16,$C$14,$F$15,$F$14,$F$20,V$2,V$1,$C259)</f>
        <v/>
      </c>
      <c r="W259" s="227" t="str">
        <f ca="1">_xll.DBRW(Server&amp;Cube1,$F$17,$F$18,$F$19,$F$16,$C$14,$F$15,$F$14,$F$20,W$2,W$1,$C259)</f>
        <v/>
      </c>
      <c r="X259" s="227" t="str">
        <f ca="1">_xll.DBRW(Server&amp;Cube1,$F$17,$F$18,$F$19,$F$16,$C$14,$F$15,$F$14,$F$20,X$2,X$1,$C259)</f>
        <v/>
      </c>
      <c r="Y259" s="227" t="str">
        <f ca="1">_xll.DBRW(Server&amp;Cube1,$F$17,$F$18,$F$19,$F$16,$C$14,$F$15,$F$14,$F$20,Y$2,Y$1,$C259)</f>
        <v/>
      </c>
      <c r="Z259" s="241"/>
      <c r="AA259" s="241"/>
      <c r="AB259" s="241"/>
      <c r="AC259" s="241"/>
      <c r="AD259" s="241"/>
      <c r="AE259" s="241"/>
      <c r="AF259" s="221" t="str">
        <f ca="1">_xll.DBRW(Server&amp;Cube1,$F$17,$F$18,$F$19,$F$16,$C$14,$F$15,$F$14,$F$20,AF$2,$AF$1,$C259)</f>
        <v/>
      </c>
      <c r="AG259" s="53"/>
      <c r="AH259" s="53"/>
      <c r="AI259" s="53"/>
      <c r="AJ259" s="53"/>
      <c r="AK259" s="53"/>
      <c r="AL259" s="53"/>
      <c r="AM259" s="53"/>
      <c r="AN259" s="53"/>
      <c r="AO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:53" s="9" customFormat="1" ht="24" customHeight="1" x14ac:dyDescent="0.35">
      <c r="A260" s="181" t="e">
        <f ca="1">IF($AT$35="YES",1,IF(_xll.ELCOMPN(Server&amp;$C$24,C260)&lt;&gt;0,1,IF(OR(B260=$AZ$35,B260="ALL"),1,0)))</f>
        <v>#VALUE!</v>
      </c>
      <c r="B260" s="163" t="str">
        <f t="shared" si="12"/>
        <v>RM</v>
      </c>
      <c r="C260" s="158" t="s">
        <v>352</v>
      </c>
      <c r="E260" s="270" t="str">
        <f ca="1">_xll.DBRA(Server&amp;$C$24,$C260,$F$21)</f>
        <v>Personnel mis à disposition (GR)</v>
      </c>
      <c r="F260" s="270"/>
      <c r="G260" s="270"/>
      <c r="H260" s="40"/>
      <c r="I260" s="221" t="str">
        <f ca="1">_xll.DBRW(Server&amp;Cube1,$F$17,$F$18,$F$19,$F$16,$C$14,$F$15,$F$14,$F$20,I$2,I$1,$C260)</f>
        <v/>
      </c>
      <c r="J260" s="221" t="str">
        <f ca="1">_xll.DBRW(Server&amp;Cube1,$F$17,$F$18,$F$19,$F$16,$C$14,$F$15,$F$14,$F$20,J$2,J$1,$C260)</f>
        <v/>
      </c>
      <c r="K260" s="221" t="e">
        <f ca="1">_xll.DBRW(Server&amp;Cube1,$F$17,$F$18,$F$19,$F$16,$C$14,$F$15,$F$14,$F$20,I$2,I$1,$C260) -_xll.DBRW(Server&amp;Cube1,$F$17,$F$18,$F$19,$F$16,$C$14,$F$15,$F$14,$F$20,K$2,I$1,$C260)</f>
        <v>#VALUE!</v>
      </c>
      <c r="L260" s="221" t="e">
        <f t="shared" ca="1" si="11"/>
        <v>#VALUE!</v>
      </c>
      <c r="M260" s="221" t="e">
        <f t="shared" ca="1" si="10"/>
        <v>#VALUE!</v>
      </c>
      <c r="N260" s="226"/>
      <c r="O260" s="221" t="str">
        <f ca="1">_xll.DBRW(Server&amp;Cube1,$F$17,$F$18,$F$19,$F$16,$C$14,$F$15,$F$14,$F$20,O$2,O$1,$C260)</f>
        <v/>
      </c>
      <c r="P260" s="226"/>
      <c r="Q260" s="240" t="str">
        <f ca="1">IF(_xll.ELCOMPN(Server&amp;$C$24,C260)=0,"YES","NO")</f>
        <v>YES</v>
      </c>
      <c r="R260" s="241">
        <v>0</v>
      </c>
      <c r="S260" s="226"/>
      <c r="T260" s="227" t="str">
        <f ca="1">_xll.DBRW(Server&amp;Cube1,$F$17,$F$18,$F$19,$F$16,$C$14,$F$15,$F$14,$F$20,T$2,$T$1,$C260)</f>
        <v/>
      </c>
      <c r="U260" s="227" t="str">
        <f ca="1">_xll.DBRW(Server&amp;Cube1,$F$17,$F$18,$F$19,$F$16,$C$14,$F$15,$F$14,$F$20,U$2,$U$1,$C260)</f>
        <v/>
      </c>
      <c r="V260" s="227" t="str">
        <f ca="1">_xll.DBRW(Server&amp;Cube1,$F$17,$F$18,$F$19,$F$16,$C$14,$F$15,$F$14,$F$20,V$2,V$1,$C260)</f>
        <v/>
      </c>
      <c r="W260" s="227" t="str">
        <f ca="1">_xll.DBRW(Server&amp;Cube1,$F$17,$F$18,$F$19,$F$16,$C$14,$F$15,$F$14,$F$20,W$2,W$1,$C260)</f>
        <v/>
      </c>
      <c r="X260" s="227" t="str">
        <f ca="1">_xll.DBRW(Server&amp;Cube1,$F$17,$F$18,$F$19,$F$16,$C$14,$F$15,$F$14,$F$20,X$2,X$1,$C260)</f>
        <v/>
      </c>
      <c r="Y260" s="227" t="str">
        <f ca="1">_xll.DBRW(Server&amp;Cube1,$F$17,$F$18,$F$19,$F$16,$C$14,$F$15,$F$14,$F$20,Y$2,Y$1,$C260)</f>
        <v/>
      </c>
      <c r="Z260" s="241"/>
      <c r="AA260" s="241"/>
      <c r="AB260" s="241"/>
      <c r="AC260" s="241"/>
      <c r="AD260" s="241"/>
      <c r="AE260" s="241"/>
      <c r="AF260" s="221" t="str">
        <f ca="1">_xll.DBRW(Server&amp;Cube1,$F$17,$F$18,$F$19,$F$16,$C$14,$F$15,$F$14,$F$20,AF$2,$AF$1,$C260)</f>
        <v/>
      </c>
      <c r="AG260" s="53"/>
      <c r="AH260" s="53"/>
      <c r="AI260" s="53"/>
      <c r="AJ260" s="53"/>
      <c r="AK260" s="53"/>
      <c r="AL260" s="53"/>
      <c r="AM260" s="53"/>
      <c r="AN260" s="53"/>
      <c r="AO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:53" s="9" customFormat="1" ht="24" customHeight="1" x14ac:dyDescent="0.35">
      <c r="A261" s="181" t="e">
        <f ca="1">IF($AT$35="YES",1,IF(_xll.ELCOMPN(Server&amp;$C$24,C261)&lt;&gt;0,1,IF(OR(B261=$AZ$35,B261="ALL"),1,0)))</f>
        <v>#VALUE!</v>
      </c>
      <c r="B261" s="163" t="str">
        <f t="shared" si="12"/>
        <v>PU</v>
      </c>
      <c r="C261" s="158" t="s">
        <v>353</v>
      </c>
      <c r="E261" s="270" t="str">
        <f ca="1">_xll.DBRA(Server&amp;$C$24,$C261,$F$21)</f>
        <v>Personnel mis à disposition (AC)</v>
      </c>
      <c r="F261" s="270"/>
      <c r="G261" s="270"/>
      <c r="H261" s="40"/>
      <c r="I261" s="221" t="str">
        <f ca="1">_xll.DBRW(Server&amp;Cube1,$F$17,$F$18,$F$19,$F$16,$C$14,$F$15,$F$14,$F$20,I$2,I$1,$C261)</f>
        <v/>
      </c>
      <c r="J261" s="221" t="str">
        <f ca="1">_xll.DBRW(Server&amp;Cube1,$F$17,$F$18,$F$19,$F$16,$C$14,$F$15,$F$14,$F$20,J$2,J$1,$C261)</f>
        <v/>
      </c>
      <c r="K261" s="221" t="e">
        <f ca="1">_xll.DBRW(Server&amp;Cube1,$F$17,$F$18,$F$19,$F$16,$C$14,$F$15,$F$14,$F$20,I$2,I$1,$C261) -_xll.DBRW(Server&amp;Cube1,$F$17,$F$18,$F$19,$F$16,$C$14,$F$15,$F$14,$F$20,K$2,I$1,$C261)</f>
        <v>#VALUE!</v>
      </c>
      <c r="L261" s="221" t="e">
        <f t="shared" ca="1" si="11"/>
        <v>#VALUE!</v>
      </c>
      <c r="M261" s="221" t="e">
        <f t="shared" ca="1" si="10"/>
        <v>#VALUE!</v>
      </c>
      <c r="N261" s="226"/>
      <c r="O261" s="221" t="str">
        <f ca="1">_xll.DBRW(Server&amp;Cube1,$F$17,$F$18,$F$19,$F$16,$C$14,$F$15,$F$14,$F$20,O$2,O$1,$C261)</f>
        <v/>
      </c>
      <c r="P261" s="226"/>
      <c r="Q261" s="240" t="str">
        <f ca="1">IF(_xll.ELCOMPN(Server&amp;$C$24,C261)=0,"YES","NO")</f>
        <v>YES</v>
      </c>
      <c r="R261" s="241">
        <v>0</v>
      </c>
      <c r="S261" s="226"/>
      <c r="T261" s="227" t="str">
        <f ca="1">_xll.DBRW(Server&amp;Cube1,$F$17,$F$18,$F$19,$F$16,$C$14,$F$15,$F$14,$F$20,T$2,$T$1,$C261)</f>
        <v/>
      </c>
      <c r="U261" s="227" t="str">
        <f ca="1">_xll.DBRW(Server&amp;Cube1,$F$17,$F$18,$F$19,$F$16,$C$14,$F$15,$F$14,$F$20,U$2,$U$1,$C261)</f>
        <v/>
      </c>
      <c r="V261" s="227" t="str">
        <f ca="1">_xll.DBRW(Server&amp;Cube1,$F$17,$F$18,$F$19,$F$16,$C$14,$F$15,$F$14,$F$20,V$2,V$1,$C261)</f>
        <v/>
      </c>
      <c r="W261" s="227" t="str">
        <f ca="1">_xll.DBRW(Server&amp;Cube1,$F$17,$F$18,$F$19,$F$16,$C$14,$F$15,$F$14,$F$20,W$2,W$1,$C261)</f>
        <v/>
      </c>
      <c r="X261" s="227" t="str">
        <f ca="1">_xll.DBRW(Server&amp;Cube1,$F$17,$F$18,$F$19,$F$16,$C$14,$F$15,$F$14,$F$20,X$2,X$1,$C261)</f>
        <v/>
      </c>
      <c r="Y261" s="227" t="str">
        <f ca="1">_xll.DBRW(Server&amp;Cube1,$F$17,$F$18,$F$19,$F$16,$C$14,$F$15,$F$14,$F$20,Y$2,Y$1,$C261)</f>
        <v/>
      </c>
      <c r="Z261" s="241"/>
      <c r="AA261" s="241"/>
      <c r="AB261" s="241"/>
      <c r="AC261" s="241"/>
      <c r="AD261" s="241"/>
      <c r="AE261" s="241"/>
      <c r="AF261" s="221" t="str">
        <f ca="1">_xll.DBRW(Server&amp;Cube1,$F$17,$F$18,$F$19,$F$16,$C$14,$F$15,$F$14,$F$20,AF$2,$AF$1,$C261)</f>
        <v/>
      </c>
      <c r="AG261" s="53"/>
      <c r="AH261" s="53"/>
      <c r="AI261" s="53"/>
      <c r="AJ261" s="53"/>
      <c r="AK261" s="53"/>
      <c r="AL261" s="53"/>
      <c r="AM261" s="53"/>
      <c r="AN261" s="53"/>
      <c r="AO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:53" s="9" customFormat="1" ht="24" customHeight="1" x14ac:dyDescent="0.35">
      <c r="A262" s="181" t="e">
        <f ca="1">IF($AT$35="YES",1,IF(_xll.ELCOMPN(Server&amp;$C$24,C262)&lt;&gt;0,1,IF(OR(B262=$AZ$35,B262="ALL"),1,0)))</f>
        <v>#VALUE!</v>
      </c>
      <c r="B262" s="163" t="str">
        <f t="shared" si="12"/>
        <v>CO</v>
      </c>
      <c r="C262" s="158" t="s">
        <v>354</v>
      </c>
      <c r="E262" s="270" t="str">
        <f ca="1">_xll.DBRA(Server&amp;$C$24,$C262,$F$21)</f>
        <v>Personnel mis à disposition (CO)</v>
      </c>
      <c r="F262" s="270"/>
      <c r="G262" s="270"/>
      <c r="H262" s="40"/>
      <c r="I262" s="221" t="str">
        <f ca="1">_xll.DBRW(Server&amp;Cube1,$F$17,$F$18,$F$19,$F$16,$C$14,$F$15,$F$14,$F$20,I$2,I$1,$C262)</f>
        <v/>
      </c>
      <c r="J262" s="221" t="str">
        <f ca="1">_xll.DBRW(Server&amp;Cube1,$F$17,$F$18,$F$19,$F$16,$C$14,$F$15,$F$14,$F$20,J$2,J$1,$C262)</f>
        <v/>
      </c>
      <c r="K262" s="221" t="e">
        <f ca="1">_xll.DBRW(Server&amp;Cube1,$F$17,$F$18,$F$19,$F$16,$C$14,$F$15,$F$14,$F$20,I$2,I$1,$C262) -_xll.DBRW(Server&amp;Cube1,$F$17,$F$18,$F$19,$F$16,$C$14,$F$15,$F$14,$F$20,K$2,I$1,$C262)</f>
        <v>#VALUE!</v>
      </c>
      <c r="L262" s="221" t="e">
        <f t="shared" ca="1" si="11"/>
        <v>#VALUE!</v>
      </c>
      <c r="M262" s="221" t="e">
        <f t="shared" ca="1" si="10"/>
        <v>#VALUE!</v>
      </c>
      <c r="N262" s="226"/>
      <c r="O262" s="221" t="str">
        <f ca="1">_xll.DBRW(Server&amp;Cube1,$F$17,$F$18,$F$19,$F$16,$C$14,$F$15,$F$14,$F$20,O$2,O$1,$C262)</f>
        <v/>
      </c>
      <c r="P262" s="226"/>
      <c r="Q262" s="240" t="str">
        <f ca="1">IF(_xll.ELCOMPN(Server&amp;$C$24,C262)=0,"YES","NO")</f>
        <v>YES</v>
      </c>
      <c r="R262" s="241">
        <v>0</v>
      </c>
      <c r="S262" s="226"/>
      <c r="T262" s="227" t="str">
        <f ca="1">_xll.DBRW(Server&amp;Cube1,$F$17,$F$18,$F$19,$F$16,$C$14,$F$15,$F$14,$F$20,T$2,$T$1,$C262)</f>
        <v/>
      </c>
      <c r="U262" s="227" t="str">
        <f ca="1">_xll.DBRW(Server&amp;Cube1,$F$17,$F$18,$F$19,$F$16,$C$14,$F$15,$F$14,$F$20,U$2,$U$1,$C262)</f>
        <v/>
      </c>
      <c r="V262" s="227" t="str">
        <f ca="1">_xll.DBRW(Server&amp;Cube1,$F$17,$F$18,$F$19,$F$16,$C$14,$F$15,$F$14,$F$20,V$2,V$1,$C262)</f>
        <v/>
      </c>
      <c r="W262" s="227" t="str">
        <f ca="1">_xll.DBRW(Server&amp;Cube1,$F$17,$F$18,$F$19,$F$16,$C$14,$F$15,$F$14,$F$20,W$2,W$1,$C262)</f>
        <v/>
      </c>
      <c r="X262" s="227" t="str">
        <f ca="1">_xll.DBRW(Server&amp;Cube1,$F$17,$F$18,$F$19,$F$16,$C$14,$F$15,$F$14,$F$20,X$2,X$1,$C262)</f>
        <v/>
      </c>
      <c r="Y262" s="227" t="str">
        <f ca="1">_xll.DBRW(Server&amp;Cube1,$F$17,$F$18,$F$19,$F$16,$C$14,$F$15,$F$14,$F$20,Y$2,Y$1,$C262)</f>
        <v/>
      </c>
      <c r="Z262" s="241"/>
      <c r="AA262" s="241"/>
      <c r="AB262" s="241"/>
      <c r="AC262" s="241"/>
      <c r="AD262" s="241"/>
      <c r="AE262" s="241"/>
      <c r="AF262" s="221" t="str">
        <f ca="1">_xll.DBRW(Server&amp;Cube1,$F$17,$F$18,$F$19,$F$16,$C$14,$F$15,$F$14,$F$20,AF$2,$AF$1,$C262)</f>
        <v/>
      </c>
      <c r="AG262" s="53"/>
      <c r="AH262" s="53"/>
      <c r="AI262" s="53"/>
      <c r="AJ262" s="53"/>
      <c r="AK262" s="53"/>
      <c r="AL262" s="53"/>
      <c r="AM262" s="53"/>
      <c r="AN262" s="53"/>
      <c r="AO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:53" s="9" customFormat="1" ht="24" customHeight="1" x14ac:dyDescent="0.35">
      <c r="A263" s="181" t="e">
        <f ca="1">IF($AT$35="YES",1,IF(_xll.ELCOMPN(Server&amp;$C$24,C263)&lt;&gt;0,1,IF(OR(B263=$AZ$35,B263="ALL"),1,0)))</f>
        <v>#VALUE!</v>
      </c>
      <c r="B263" s="163" t="str">
        <f t="shared" si="12"/>
        <v>GS</v>
      </c>
      <c r="C263" s="158" t="s">
        <v>355</v>
      </c>
      <c r="E263" s="270" t="str">
        <f ca="1">_xll.DBRA(Server&amp;$C$24,$C263,$F$21)</f>
        <v>Personnel mis à disposition (SG)</v>
      </c>
      <c r="F263" s="270"/>
      <c r="G263" s="270"/>
      <c r="H263" s="40"/>
      <c r="I263" s="221" t="str">
        <f ca="1">_xll.DBRW(Server&amp;Cube1,$F$17,$F$18,$F$19,$F$16,$C$14,$F$15,$F$14,$F$20,I$2,I$1,$C263)</f>
        <v/>
      </c>
      <c r="J263" s="221" t="str">
        <f ca="1">_xll.DBRW(Server&amp;Cube1,$F$17,$F$18,$F$19,$F$16,$C$14,$F$15,$F$14,$F$20,J$2,J$1,$C263)</f>
        <v/>
      </c>
      <c r="K263" s="221" t="e">
        <f ca="1">_xll.DBRW(Server&amp;Cube1,$F$17,$F$18,$F$19,$F$16,$C$14,$F$15,$F$14,$F$20,I$2,I$1,$C263) -_xll.DBRW(Server&amp;Cube1,$F$17,$F$18,$F$19,$F$16,$C$14,$F$15,$F$14,$F$20,K$2,I$1,$C263)</f>
        <v>#VALUE!</v>
      </c>
      <c r="L263" s="221" t="e">
        <f t="shared" ca="1" si="11"/>
        <v>#VALUE!</v>
      </c>
      <c r="M263" s="221" t="e">
        <f t="shared" ca="1" si="10"/>
        <v>#VALUE!</v>
      </c>
      <c r="N263" s="226"/>
      <c r="O263" s="221" t="str">
        <f ca="1">_xll.DBRW(Server&amp;Cube1,$F$17,$F$18,$F$19,$F$16,$C$14,$F$15,$F$14,$F$20,O$2,O$1,$C263)</f>
        <v/>
      </c>
      <c r="P263" s="226"/>
      <c r="Q263" s="240" t="str">
        <f ca="1">IF(_xll.ELCOMPN(Server&amp;$C$24,C263)=0,"YES","NO")</f>
        <v>YES</v>
      </c>
      <c r="R263" s="241">
        <v>0</v>
      </c>
      <c r="S263" s="226"/>
      <c r="T263" s="227" t="str">
        <f ca="1">_xll.DBRW(Server&amp;Cube1,$F$17,$F$18,$F$19,$F$16,$C$14,$F$15,$F$14,$F$20,T$2,$T$1,$C263)</f>
        <v/>
      </c>
      <c r="U263" s="227" t="str">
        <f ca="1">_xll.DBRW(Server&amp;Cube1,$F$17,$F$18,$F$19,$F$16,$C$14,$F$15,$F$14,$F$20,U$2,$U$1,$C263)</f>
        <v/>
      </c>
      <c r="V263" s="227" t="str">
        <f ca="1">_xll.DBRW(Server&amp;Cube1,$F$17,$F$18,$F$19,$F$16,$C$14,$F$15,$F$14,$F$20,V$2,V$1,$C263)</f>
        <v/>
      </c>
      <c r="W263" s="227" t="str">
        <f ca="1">_xll.DBRW(Server&amp;Cube1,$F$17,$F$18,$F$19,$F$16,$C$14,$F$15,$F$14,$F$20,W$2,W$1,$C263)</f>
        <v/>
      </c>
      <c r="X263" s="227" t="str">
        <f ca="1">_xll.DBRW(Server&amp;Cube1,$F$17,$F$18,$F$19,$F$16,$C$14,$F$15,$F$14,$F$20,X$2,X$1,$C263)</f>
        <v/>
      </c>
      <c r="Y263" s="227" t="str">
        <f ca="1">_xll.DBRW(Server&amp;Cube1,$F$17,$F$18,$F$19,$F$16,$C$14,$F$15,$F$14,$F$20,Y$2,Y$1,$C263)</f>
        <v/>
      </c>
      <c r="Z263" s="241"/>
      <c r="AA263" s="241"/>
      <c r="AB263" s="241"/>
      <c r="AC263" s="241"/>
      <c r="AD263" s="241"/>
      <c r="AE263" s="241"/>
      <c r="AF263" s="221" t="str">
        <f ca="1">_xll.DBRW(Server&amp;Cube1,$F$17,$F$18,$F$19,$F$16,$C$14,$F$15,$F$14,$F$20,AF$2,$AF$1,$C263)</f>
        <v/>
      </c>
      <c r="AG263" s="53"/>
      <c r="AH263" s="53"/>
      <c r="AI263" s="53"/>
      <c r="AJ263" s="53"/>
      <c r="AK263" s="53"/>
      <c r="AL263" s="53"/>
      <c r="AM263" s="53"/>
      <c r="AN263" s="53"/>
      <c r="AO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:53" s="9" customFormat="1" ht="24" customHeight="1" x14ac:dyDescent="0.35">
      <c r="A264" s="181" t="e">
        <f ca="1">IF($AT$35="YES",1,IF(_xll.ELCOMPN(Server&amp;$C$24,C264)&lt;&gt;0,1,IF(OR(B264=$AZ$35,B264="ALL"),1,0)))</f>
        <v>#VALUE!</v>
      </c>
      <c r="B264" s="163" t="str">
        <f t="shared" si="12"/>
        <v>RD</v>
      </c>
      <c r="C264" s="158" t="s">
        <v>356</v>
      </c>
      <c r="E264" s="270" t="str">
        <f ca="1">_xll.DBRA(Server&amp;$C$24,$C264,$F$21)</f>
        <v>Personnel mis à disposition (RD)</v>
      </c>
      <c r="F264" s="270"/>
      <c r="G264" s="270"/>
      <c r="H264" s="40"/>
      <c r="I264" s="221" t="str">
        <f ca="1">_xll.DBRW(Server&amp;Cube1,$F$17,$F$18,$F$19,$F$16,$C$14,$F$15,$F$14,$F$20,I$2,I$1,$C264)</f>
        <v/>
      </c>
      <c r="J264" s="221" t="str">
        <f ca="1">_xll.DBRW(Server&amp;Cube1,$F$17,$F$18,$F$19,$F$16,$C$14,$F$15,$F$14,$F$20,J$2,J$1,$C264)</f>
        <v/>
      </c>
      <c r="K264" s="221" t="e">
        <f ca="1">_xll.DBRW(Server&amp;Cube1,$F$17,$F$18,$F$19,$F$16,$C$14,$F$15,$F$14,$F$20,I$2,I$1,$C264) -_xll.DBRW(Server&amp;Cube1,$F$17,$F$18,$F$19,$F$16,$C$14,$F$15,$F$14,$F$20,K$2,I$1,$C264)</f>
        <v>#VALUE!</v>
      </c>
      <c r="L264" s="221" t="e">
        <f t="shared" ca="1" si="11"/>
        <v>#VALUE!</v>
      </c>
      <c r="M264" s="221" t="e">
        <f t="shared" ca="1" si="10"/>
        <v>#VALUE!</v>
      </c>
      <c r="N264" s="226"/>
      <c r="O264" s="221" t="str">
        <f ca="1">_xll.DBRW(Server&amp;Cube1,$F$17,$F$18,$F$19,$F$16,$C$14,$F$15,$F$14,$F$20,O$2,O$1,$C264)</f>
        <v/>
      </c>
      <c r="P264" s="226"/>
      <c r="Q264" s="240" t="str">
        <f ca="1">IF(_xll.ELCOMPN(Server&amp;$C$24,C264)=0,"YES","NO")</f>
        <v>YES</v>
      </c>
      <c r="R264" s="241">
        <v>0</v>
      </c>
      <c r="S264" s="226"/>
      <c r="T264" s="227" t="str">
        <f ca="1">_xll.DBRW(Server&amp;Cube1,$F$17,$F$18,$F$19,$F$16,$C$14,$F$15,$F$14,$F$20,T$2,$T$1,$C264)</f>
        <v/>
      </c>
      <c r="U264" s="227" t="str">
        <f ca="1">_xll.DBRW(Server&amp;Cube1,$F$17,$F$18,$F$19,$F$16,$C$14,$F$15,$F$14,$F$20,U$2,$U$1,$C264)</f>
        <v/>
      </c>
      <c r="V264" s="227" t="str">
        <f ca="1">_xll.DBRW(Server&amp;Cube1,$F$17,$F$18,$F$19,$F$16,$C$14,$F$15,$F$14,$F$20,V$2,V$1,$C264)</f>
        <v/>
      </c>
      <c r="W264" s="227" t="str">
        <f ca="1">_xll.DBRW(Server&amp;Cube1,$F$17,$F$18,$F$19,$F$16,$C$14,$F$15,$F$14,$F$20,W$2,W$1,$C264)</f>
        <v/>
      </c>
      <c r="X264" s="227" t="str">
        <f ca="1">_xll.DBRW(Server&amp;Cube1,$F$17,$F$18,$F$19,$F$16,$C$14,$F$15,$F$14,$F$20,X$2,X$1,$C264)</f>
        <v/>
      </c>
      <c r="Y264" s="227" t="str">
        <f ca="1">_xll.DBRW(Server&amp;Cube1,$F$17,$F$18,$F$19,$F$16,$C$14,$F$15,$F$14,$F$20,Y$2,Y$1,$C264)</f>
        <v/>
      </c>
      <c r="Z264" s="241"/>
      <c r="AA264" s="241"/>
      <c r="AB264" s="241"/>
      <c r="AC264" s="241"/>
      <c r="AD264" s="241"/>
      <c r="AE264" s="241"/>
      <c r="AF264" s="221" t="str">
        <f ca="1">_xll.DBRW(Server&amp;Cube1,$F$17,$F$18,$F$19,$F$16,$C$14,$F$15,$F$14,$F$20,AF$2,$AF$1,$C264)</f>
        <v/>
      </c>
      <c r="AG264" s="53"/>
      <c r="AH264" s="53"/>
      <c r="AI264" s="53"/>
      <c r="AJ264" s="53"/>
      <c r="AK264" s="53"/>
      <c r="AL264" s="53"/>
      <c r="AM264" s="53"/>
      <c r="AN264" s="53"/>
      <c r="AO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:53" s="9" customFormat="1" ht="24.95" customHeight="1" thickBot="1" x14ac:dyDescent="0.4">
      <c r="A265" s="181">
        <f ca="1">IF($AT$35="YES",1,IF(_xll.ELCOMPN(Server&amp;$C$24,C265)&lt;&gt;0,1,IF(OR(B265=$AZ$35,B265="ALL"),1,0)))</f>
        <v>1</v>
      </c>
      <c r="B265" s="163" t="str">
        <f t="shared" si="12"/>
        <v>de</v>
      </c>
      <c r="C265" s="116" t="s">
        <v>107</v>
      </c>
      <c r="E265" s="271" t="str">
        <f ca="1">_xll.DBRA(Server&amp;$C$24,$C265,$F$21)</f>
        <v>Frais de déplacement</v>
      </c>
      <c r="F265" s="271"/>
      <c r="G265" s="271"/>
      <c r="H265" s="40"/>
      <c r="I265" s="249" t="str">
        <f ca="1">_xll.DBRW(Server&amp;Cube1,$F$17,$F$18,$F$19,$F$16,$C$14,$F$15,$F$14,$F$20,I$2,I$1,$C265)</f>
        <v/>
      </c>
      <c r="J265" s="249" t="str">
        <f ca="1">_xll.DBRW(Server&amp;Cube1,$F$17,$F$18,$F$19,$F$16,$C$14,$F$15,$F$14,$F$20,J$2,J$1,$C265)</f>
        <v/>
      </c>
      <c r="K265" s="252" t="e">
        <f ca="1">_xll.DBRW(Server&amp;Cube1,$F$17,$F$18,$F$19,$F$16,$C$14,$F$15,$F$14,$F$20,I$2,I$1,$C265) -_xll.DBRW(Server&amp;Cube1,$F$17,$F$18,$F$19,$F$16,$C$14,$F$15,$F$14,$F$20,K$2,I$1,$C265)</f>
        <v>#VALUE!</v>
      </c>
      <c r="L265" s="252" t="e">
        <f t="shared" ca="1" si="11"/>
        <v>#VALUE!</v>
      </c>
      <c r="M265" s="252" t="e">
        <f t="shared" ca="1" si="10"/>
        <v>#VALUE!</v>
      </c>
      <c r="N265" s="250"/>
      <c r="O265" s="249" t="str">
        <f ca="1">_xll.DBRW(Server&amp;Cube1,$F$17,$F$18,$F$19,$F$16,$C$14,$F$15,$F$14,$F$20,O$2,O$1,$C265)</f>
        <v/>
      </c>
      <c r="P265" s="250"/>
      <c r="Q265" s="251" t="str">
        <f ca="1">IF(_xll.ELCOMPN(Server&amp;$C$24,C265)=0,"YES","NO")</f>
        <v>NO</v>
      </c>
      <c r="R265" s="249"/>
      <c r="S265" s="250"/>
      <c r="T265" s="249" t="str">
        <f ca="1">_xll.DBRW(Server&amp;Cube1,$F$17,$F$18,$F$19,$F$16,$C$14,$F$15,$F$14,$F$20,T$2,$T$1,$C265)</f>
        <v/>
      </c>
      <c r="U265" s="249" t="str">
        <f ca="1">_xll.DBRW(Server&amp;Cube1,$F$17,$F$18,$F$19,$F$16,$C$14,$F$15,$F$14,$F$20,U$2,$U$1,$C265)</f>
        <v/>
      </c>
      <c r="V265" s="249" t="str">
        <f ca="1">_xll.DBRW(Server&amp;Cube1,$F$17,$F$18,$F$19,$F$16,$C$14,$F$15,$F$14,$F$20,V$2,V$1,$C265)</f>
        <v/>
      </c>
      <c r="W265" s="249" t="str">
        <f ca="1">_xll.DBRW(Server&amp;Cube1,$F$17,$F$18,$F$19,$F$16,$C$14,$F$15,$F$14,$F$20,W$2,W$1,$C265)</f>
        <v/>
      </c>
      <c r="X265" s="249" t="str">
        <f ca="1">_xll.DBRW(Server&amp;Cube1,$F$17,$F$18,$F$19,$F$16,$C$14,$F$15,$F$14,$F$20,X$2,X$1,$C265)</f>
        <v/>
      </c>
      <c r="Y265" s="249" t="str">
        <f ca="1">_xll.DBRW(Server&amp;Cube1,$F$17,$F$18,$F$19,$F$16,$C$14,$F$15,$F$14,$F$20,Y$2,Y$1,$C265)</f>
        <v/>
      </c>
      <c r="Z265" s="249" t="str">
        <f ca="1">_xll.DBRW(Server&amp;Cube1,$F$17,$F$18,$F$19,$F$16,$C$14,$F$15,$F$14,$F$20,Z$2,Z$1,$C265)</f>
        <v/>
      </c>
      <c r="AA265" s="249" t="str">
        <f ca="1">_xll.DBRW(Server&amp;Cube1,$F$17,$F$18,$F$19,$F$16,$C$14,$F$15,$F$14,$F$20,AA$2,AA$1,$C265)</f>
        <v/>
      </c>
      <c r="AB265" s="249" t="str">
        <f ca="1">_xll.DBRW(Server&amp;Cube1,$F$17,$F$18,$F$19,$F$16,$C$14,$F$15,$F$14,$F$20,AB$2,AB$1,$C265)</f>
        <v/>
      </c>
      <c r="AC265" s="249" t="str">
        <f ca="1">_xll.DBRW(Server&amp;Cube1,$F$17,$F$18,$F$19,$F$16,$C$14,$F$15,$F$14,$F$20,AC$2,AC$1,$C265)</f>
        <v/>
      </c>
      <c r="AD265" s="249" t="str">
        <f ca="1">_xll.DBRW(Server&amp;Cube1,$F$17,$F$18,$F$19,$F$16,$C$14,$F$15,$F$14,$F$20,AD$2,AD$1,$C265)</f>
        <v/>
      </c>
      <c r="AE265" s="249" t="str">
        <f ca="1">_xll.DBRW(Server&amp;Cube1,$F$17,$F$18,$F$19,$F$16,$C$14,$F$15,$F$14,$F$20,AE$2,AE$1,$C265)</f>
        <v/>
      </c>
      <c r="AF265" s="249" t="str">
        <f ca="1">_xll.DBRW(Server&amp;Cube1,$F$17,$F$18,$F$19,$F$16,$C$14,$F$15,$F$14,$F$20,AF$2,$AF$1,$C265)</f>
        <v/>
      </c>
      <c r="AG265" s="53"/>
      <c r="AH265" s="53"/>
      <c r="AI265" s="53"/>
      <c r="AJ265" s="53"/>
      <c r="AK265" s="53"/>
      <c r="AL265" s="53"/>
      <c r="AM265" s="53"/>
      <c r="AN265" s="53"/>
      <c r="AO265" s="53"/>
      <c r="AP265" s="72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:53" s="9" customFormat="1" ht="24" customHeight="1" x14ac:dyDescent="0.35">
      <c r="A266" s="181">
        <f ca="1">IF($AT$35="YES",1,IF(_xll.ELCOMPN(Server&amp;$C$24,C266)&lt;&gt;0,1,IF(OR(B266=$AZ$35,B266="ALL"),1,0)))</f>
        <v>1</v>
      </c>
      <c r="B266" s="163" t="str">
        <f t="shared" si="12"/>
        <v>fr</v>
      </c>
      <c r="C266" s="117" t="s">
        <v>108</v>
      </c>
      <c r="E266" s="272" t="str">
        <f ca="1">_xll.DBRA(Server&amp;$C$24,$C266,$F$21)</f>
        <v>Notes de Frais</v>
      </c>
      <c r="F266" s="272"/>
      <c r="G266" s="272"/>
      <c r="H266" s="40"/>
      <c r="I266" s="221" t="str">
        <f ca="1">_xll.DBRW(Server&amp;Cube1,$F$17,$F$18,$F$19,$F$16,$C$14,$F$15,$F$14,$F$20,I$2,I$1,$C266)</f>
        <v/>
      </c>
      <c r="J266" s="221" t="str">
        <f ca="1">_xll.DBRW(Server&amp;Cube1,$F$17,$F$18,$F$19,$F$16,$C$14,$F$15,$F$14,$F$20,J$2,J$1,$C266)</f>
        <v/>
      </c>
      <c r="K266" s="221" t="e">
        <f ca="1">_xll.DBRW(Server&amp;Cube1,$F$17,$F$18,$F$19,$F$16,$C$14,$F$15,$F$14,$F$20,I$2,I$1,$C266) -_xll.DBRW(Server&amp;Cube1,$F$17,$F$18,$F$19,$F$16,$C$14,$F$15,$F$14,$F$20,K$2,I$1,$C266)</f>
        <v>#VALUE!</v>
      </c>
      <c r="L266" s="221" t="e">
        <f t="shared" ca="1" si="11"/>
        <v>#VALUE!</v>
      </c>
      <c r="M266" s="221" t="e">
        <f t="shared" ca="1" si="10"/>
        <v>#VALUE!</v>
      </c>
      <c r="N266" s="226"/>
      <c r="O266" s="226" t="str">
        <f ca="1">_xll.DBRW(Server&amp;Cube1,$F$17,$F$18,$F$19,$F$16,$C$14,$F$15,$F$14,$F$20,O$2,O$1,$C266)</f>
        <v/>
      </c>
      <c r="P266" s="226"/>
      <c r="Q266" s="240" t="str">
        <f ca="1">IF(_xll.ELCOMPN(Server&amp;$C$24,C266)=0,"YES","NO")</f>
        <v>NO</v>
      </c>
      <c r="R266" s="226"/>
      <c r="S266" s="226"/>
      <c r="T266" s="232" t="str">
        <f ca="1">_xll.DBRW(Server&amp;Cube1,$F$17,$F$18,$F$19,$F$16,$C$14,$F$15,$F$14,$F$20,T$2,$T$1,$C266)</f>
        <v/>
      </c>
      <c r="U266" s="232" t="str">
        <f ca="1">_xll.DBRW(Server&amp;Cube1,$F$17,$F$18,$F$19,$F$16,$C$14,$F$15,$F$14,$F$20,U$2,$U$1,$C266)</f>
        <v/>
      </c>
      <c r="V266" s="232" t="str">
        <f ca="1">_xll.DBRW(Server&amp;Cube1,$F$17,$F$18,$F$19,$F$16,$C$14,$F$15,$F$14,$F$20,V$2,V$1,$C266)</f>
        <v/>
      </c>
      <c r="W266" s="232" t="str">
        <f ca="1">_xll.DBRW(Server&amp;Cube1,$F$17,$F$18,$F$19,$F$16,$C$14,$F$15,$F$14,$F$20,W$2,W$1,$C266)</f>
        <v/>
      </c>
      <c r="X266" s="226" t="str">
        <f ca="1">_xll.DBRW(Server&amp;Cube1,$F$17,$F$18,$F$19,$F$16,$C$14,$F$15,$F$14,$F$20,X$2,X$1,$C266)</f>
        <v/>
      </c>
      <c r="Y266" s="226" t="str">
        <f ca="1">_xll.DBRW(Server&amp;Cube1,$F$17,$F$18,$F$19,$F$16,$C$14,$F$15,$F$14,$F$20,Y$2,Y$1,$C266)</f>
        <v/>
      </c>
      <c r="Z266" s="226" t="str">
        <f ca="1">_xll.DBRW(Server&amp;Cube1,$F$17,$F$18,$F$19,$F$16,$C$14,$F$15,$F$14,$F$20,Z$2,Z$1,$C266)</f>
        <v/>
      </c>
      <c r="AA266" s="226" t="str">
        <f ca="1">_xll.DBRW(Server&amp;Cube1,$F$17,$F$18,$F$19,$F$16,$C$14,$F$15,$F$14,$F$20,AA$2,AA$1,$C266)</f>
        <v/>
      </c>
      <c r="AB266" s="226" t="str">
        <f ca="1">_xll.DBRW(Server&amp;Cube1,$F$17,$F$18,$F$19,$F$16,$C$14,$F$15,$F$14,$F$20,AB$2,AB$1,$C266)</f>
        <v/>
      </c>
      <c r="AC266" s="226" t="str">
        <f ca="1">_xll.DBRW(Server&amp;Cube1,$F$17,$F$18,$F$19,$F$16,$C$14,$F$15,$F$14,$F$20,AC$2,AC$1,$C266)</f>
        <v/>
      </c>
      <c r="AD266" s="226" t="str">
        <f ca="1">_xll.DBRW(Server&amp;Cube1,$F$17,$F$18,$F$19,$F$16,$C$14,$F$15,$F$14,$F$20,AD$2,AD$1,$C266)</f>
        <v/>
      </c>
      <c r="AE266" s="226" t="str">
        <f ca="1">_xll.DBRW(Server&amp;Cube1,$F$17,$F$18,$F$19,$F$16,$C$14,$F$15,$F$14,$F$20,AE$2,AE$1,$C266)</f>
        <v/>
      </c>
      <c r="AF266" s="226" t="str">
        <f ca="1">_xll.DBRW(Server&amp;Cube1,$F$17,$F$18,$F$19,$F$16,$C$14,$F$15,$F$14,$F$20,AF$2,$AF$1,$C266)</f>
        <v/>
      </c>
      <c r="AG266" s="53"/>
      <c r="AH266" s="53"/>
      <c r="AI266" s="53"/>
      <c r="AJ266" s="53"/>
      <c r="AK266" s="53"/>
      <c r="AL266" s="53"/>
      <c r="AM266" s="53"/>
      <c r="AN266" s="53"/>
      <c r="AO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:53" s="9" customFormat="1" ht="24" customHeight="1" x14ac:dyDescent="0.35">
      <c r="A267" s="181" t="e">
        <f ca="1">IF($AT$35="YES",1,IF(_xll.ELCOMPN(Server&amp;$C$24,C267)&lt;&gt;0,1,IF(OR(B267=$AZ$35,B267="ALL"),1,0)))</f>
        <v>#VALUE!</v>
      </c>
      <c r="B267" s="163" t="str">
        <f t="shared" si="12"/>
        <v>DS</v>
      </c>
      <c r="C267" s="158" t="s">
        <v>498</v>
      </c>
      <c r="E267" s="270" t="str">
        <f ca="1">_xll.DBRA(Server&amp;$C$24,$C267,$F$21)</f>
        <v>Note de Frais (SO)</v>
      </c>
      <c r="F267" s="270"/>
      <c r="G267" s="270"/>
      <c r="H267" s="40"/>
      <c r="I267" s="221" t="str">
        <f ca="1">_xll.DBRW(Server&amp;Cube1,$F$17,$F$18,$F$19,$F$16,$C$14,$F$15,$F$14,$F$20,I$2,I$1,$C267)</f>
        <v/>
      </c>
      <c r="J267" s="221" t="str">
        <f ca="1">_xll.DBRW(Server&amp;Cube1,$F$17,$F$18,$F$19,$F$16,$C$14,$F$15,$F$14,$F$20,J$2,J$1,$C267)</f>
        <v/>
      </c>
      <c r="K267" s="221" t="e">
        <f ca="1">_xll.DBRW(Server&amp;Cube1,$F$17,$F$18,$F$19,$F$16,$C$14,$F$15,$F$14,$F$20,I$2,I$1,$C267) -_xll.DBRW(Server&amp;Cube1,$F$17,$F$18,$F$19,$F$16,$C$14,$F$15,$F$14,$F$20,K$2,I$1,$C267)</f>
        <v>#VALUE!</v>
      </c>
      <c r="L267" s="221" t="e">
        <f t="shared" ca="1" si="11"/>
        <v>#VALUE!</v>
      </c>
      <c r="M267" s="221" t="e">
        <f t="shared" ca="1" si="10"/>
        <v>#VALUE!</v>
      </c>
      <c r="N267" s="226"/>
      <c r="O267" s="221" t="str">
        <f ca="1">_xll.DBRW(Server&amp;Cube1,$F$17,$F$18,$F$19,$F$16,$C$14,$F$15,$F$14,$F$20,O$2,O$1,$C267)</f>
        <v/>
      </c>
      <c r="P267" s="226"/>
      <c r="Q267" s="240" t="str">
        <f ca="1">IF(_xll.ELCOMPN(Server&amp;$C$24,C267)=0,"YES","NO")</f>
        <v>YES</v>
      </c>
      <c r="R267" s="241">
        <v>0</v>
      </c>
      <c r="S267" s="226"/>
      <c r="T267" s="227" t="str">
        <f ca="1">_xll.DBRW(Server&amp;Cube1,$F$17,$F$18,$F$19,$F$16,$C$14,$F$15,$F$14,$F$20,T$2,$T$1,$C267)</f>
        <v/>
      </c>
      <c r="U267" s="227" t="str">
        <f ca="1">_xll.DBRW(Server&amp;Cube1,$F$17,$F$18,$F$19,$F$16,$C$14,$F$15,$F$14,$F$20,U$2,$U$1,$C267)</f>
        <v/>
      </c>
      <c r="V267" s="227" t="str">
        <f ca="1">_xll.DBRW(Server&amp;Cube1,$F$17,$F$18,$F$19,$F$16,$C$14,$F$15,$F$14,$F$20,V$2,V$1,$C267)</f>
        <v/>
      </c>
      <c r="W267" s="227" t="str">
        <f ca="1">_xll.DBRW(Server&amp;Cube1,$F$17,$F$18,$F$19,$F$16,$C$14,$F$15,$F$14,$F$20,W$2,W$1,$C267)</f>
        <v/>
      </c>
      <c r="X267" s="227" t="str">
        <f ca="1">_xll.DBRW(Server&amp;Cube1,$F$17,$F$18,$F$19,$F$16,$C$14,$F$15,$F$14,$F$20,X$2,X$1,$C267)</f>
        <v/>
      </c>
      <c r="Y267" s="227" t="str">
        <f ca="1">_xll.DBRW(Server&amp;Cube1,$F$17,$F$18,$F$19,$F$16,$C$14,$F$15,$F$14,$F$20,Y$2,Y$1,$C267)</f>
        <v/>
      </c>
      <c r="Z267" s="241"/>
      <c r="AA267" s="241"/>
      <c r="AB267" s="241"/>
      <c r="AC267" s="241"/>
      <c r="AD267" s="241"/>
      <c r="AE267" s="241"/>
      <c r="AF267" s="221" t="str">
        <f ca="1">_xll.DBRW(Server&amp;Cube1,$F$17,$F$18,$F$19,$F$16,$C$14,$F$15,$F$14,$F$20,AF$2,$AF$1,$C267)</f>
        <v/>
      </c>
      <c r="AG267" s="53"/>
      <c r="AH267" s="53"/>
      <c r="AI267" s="53"/>
      <c r="AJ267" s="53"/>
      <c r="AK267" s="53"/>
      <c r="AL267" s="53"/>
      <c r="AM267" s="53"/>
      <c r="AN267" s="53"/>
      <c r="AO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:53" s="9" customFormat="1" ht="24" customHeight="1" x14ac:dyDescent="0.35">
      <c r="A268" s="181" t="e">
        <f ca="1">IF($AT$35="YES",1,IF(_xll.ELCOMPN(Server&amp;$C$24,C268)&lt;&gt;0,1,IF(OR(B268=$AZ$35,B268="ALL"),1,0)))</f>
        <v>#VALUE!</v>
      </c>
      <c r="B268" s="163" t="str">
        <f t="shared" si="12"/>
        <v>BD</v>
      </c>
      <c r="C268" s="158" t="s">
        <v>499</v>
      </c>
      <c r="E268" s="270" t="str">
        <f ca="1">_xll.DBRA(Server&amp;$C$24,$C268,$F$21)</f>
        <v>Note de Frais (DC)</v>
      </c>
      <c r="F268" s="270"/>
      <c r="G268" s="270"/>
      <c r="H268" s="40"/>
      <c r="I268" s="221" t="str">
        <f ca="1">_xll.DBRW(Server&amp;Cube1,$F$17,$F$18,$F$19,$F$16,$C$14,$F$15,$F$14,$F$20,I$2,I$1,$C268)</f>
        <v/>
      </c>
      <c r="J268" s="221" t="str">
        <f ca="1">_xll.DBRW(Server&amp;Cube1,$F$17,$F$18,$F$19,$F$16,$C$14,$F$15,$F$14,$F$20,J$2,J$1,$C268)</f>
        <v/>
      </c>
      <c r="K268" s="221" t="e">
        <f ca="1">_xll.DBRW(Server&amp;Cube1,$F$17,$F$18,$F$19,$F$16,$C$14,$F$15,$F$14,$F$20,I$2,I$1,$C268) -_xll.DBRW(Server&amp;Cube1,$F$17,$F$18,$F$19,$F$16,$C$14,$F$15,$F$14,$F$20,K$2,I$1,$C268)</f>
        <v>#VALUE!</v>
      </c>
      <c r="L268" s="221" t="e">
        <f t="shared" ca="1" si="11"/>
        <v>#VALUE!</v>
      </c>
      <c r="M268" s="221" t="e">
        <f t="shared" ca="1" si="10"/>
        <v>#VALUE!</v>
      </c>
      <c r="N268" s="226"/>
      <c r="O268" s="221" t="str">
        <f ca="1">_xll.DBRW(Server&amp;Cube1,$F$17,$F$18,$F$19,$F$16,$C$14,$F$15,$F$14,$F$20,O$2,O$1,$C268)</f>
        <v/>
      </c>
      <c r="P268" s="226"/>
      <c r="Q268" s="240" t="str">
        <f ca="1">IF(_xll.ELCOMPN(Server&amp;$C$24,C268)=0,"YES","NO")</f>
        <v>YES</v>
      </c>
      <c r="R268" s="241">
        <v>0</v>
      </c>
      <c r="S268" s="226"/>
      <c r="T268" s="227" t="str">
        <f ca="1">_xll.DBRW(Server&amp;Cube1,$F$17,$F$18,$F$19,$F$16,$C$14,$F$15,$F$14,$F$20,T$2,$T$1,$C268)</f>
        <v/>
      </c>
      <c r="U268" s="227" t="str">
        <f ca="1">_xll.DBRW(Server&amp;Cube1,$F$17,$F$18,$F$19,$F$16,$C$14,$F$15,$F$14,$F$20,U$2,$U$1,$C268)</f>
        <v/>
      </c>
      <c r="V268" s="227" t="str">
        <f ca="1">_xll.DBRW(Server&amp;Cube1,$F$17,$F$18,$F$19,$F$16,$C$14,$F$15,$F$14,$F$20,V$2,V$1,$C268)</f>
        <v/>
      </c>
      <c r="W268" s="227" t="str">
        <f ca="1">_xll.DBRW(Server&amp;Cube1,$F$17,$F$18,$F$19,$F$16,$C$14,$F$15,$F$14,$F$20,W$2,W$1,$C268)</f>
        <v/>
      </c>
      <c r="X268" s="227" t="str">
        <f ca="1">_xll.DBRW(Server&amp;Cube1,$F$17,$F$18,$F$19,$F$16,$C$14,$F$15,$F$14,$F$20,X$2,X$1,$C268)</f>
        <v/>
      </c>
      <c r="Y268" s="227" t="str">
        <f ca="1">_xll.DBRW(Server&amp;Cube1,$F$17,$F$18,$F$19,$F$16,$C$14,$F$15,$F$14,$F$20,Y$2,Y$1,$C268)</f>
        <v/>
      </c>
      <c r="Z268" s="241"/>
      <c r="AA268" s="241"/>
      <c r="AB268" s="241"/>
      <c r="AC268" s="241"/>
      <c r="AD268" s="241"/>
      <c r="AE268" s="241"/>
      <c r="AF268" s="221" t="str">
        <f ca="1">_xll.DBRW(Server&amp;Cube1,$F$17,$F$18,$F$19,$F$16,$C$14,$F$15,$F$14,$F$20,AF$2,$AF$1,$C268)</f>
        <v/>
      </c>
      <c r="AG268" s="53"/>
      <c r="AH268" s="53"/>
      <c r="AI268" s="53"/>
      <c r="AJ268" s="53"/>
      <c r="AK268" s="53"/>
      <c r="AL268" s="53"/>
      <c r="AM268" s="53"/>
      <c r="AN268" s="53"/>
      <c r="AO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:53" s="9" customFormat="1" ht="24" customHeight="1" x14ac:dyDescent="0.35">
      <c r="A269" s="181" t="e">
        <f ca="1">IF($AT$35="YES",1,IF(_xll.ELCOMPN(Server&amp;$C$24,C269)&lt;&gt;0,1,IF(OR(B269=$AZ$35,B269="ALL"),1,0)))</f>
        <v>#VALUE!</v>
      </c>
      <c r="B269" s="163" t="str">
        <f t="shared" si="12"/>
        <v>FI</v>
      </c>
      <c r="C269" s="158" t="s">
        <v>500</v>
      </c>
      <c r="E269" s="270" t="str">
        <f ca="1">_xll.DBRA(Server&amp;$C$24,$C269,$F$21)</f>
        <v>Note de Frais (DF)</v>
      </c>
      <c r="F269" s="270"/>
      <c r="G269" s="270"/>
      <c r="H269" s="40"/>
      <c r="I269" s="221" t="str">
        <f ca="1">_xll.DBRW(Server&amp;Cube1,$F$17,$F$18,$F$19,$F$16,$C$14,$F$15,$F$14,$F$20,I$2,I$1,$C269)</f>
        <v/>
      </c>
      <c r="J269" s="221" t="str">
        <f ca="1">_xll.DBRW(Server&amp;Cube1,$F$17,$F$18,$F$19,$F$16,$C$14,$F$15,$F$14,$F$20,J$2,J$1,$C269)</f>
        <v/>
      </c>
      <c r="K269" s="221" t="e">
        <f ca="1">_xll.DBRW(Server&amp;Cube1,$F$17,$F$18,$F$19,$F$16,$C$14,$F$15,$F$14,$F$20,I$2,I$1,$C269) -_xll.DBRW(Server&amp;Cube1,$F$17,$F$18,$F$19,$F$16,$C$14,$F$15,$F$14,$F$20,K$2,I$1,$C269)</f>
        <v>#VALUE!</v>
      </c>
      <c r="L269" s="221" t="e">
        <f t="shared" ca="1" si="11"/>
        <v>#VALUE!</v>
      </c>
      <c r="M269" s="221" t="e">
        <f t="shared" ca="1" si="10"/>
        <v>#VALUE!</v>
      </c>
      <c r="N269" s="226"/>
      <c r="O269" s="221" t="str">
        <f ca="1">_xll.DBRW(Server&amp;Cube1,$F$17,$F$18,$F$19,$F$16,$C$14,$F$15,$F$14,$F$20,O$2,O$1,$C269)</f>
        <v/>
      </c>
      <c r="P269" s="226"/>
      <c r="Q269" s="240" t="str">
        <f ca="1">IF(_xll.ELCOMPN(Server&amp;$C$24,C269)=0,"YES","NO")</f>
        <v>YES</v>
      </c>
      <c r="R269" s="241">
        <v>0</v>
      </c>
      <c r="S269" s="226"/>
      <c r="T269" s="227" t="str">
        <f ca="1">_xll.DBRW(Server&amp;Cube1,$F$17,$F$18,$F$19,$F$16,$C$14,$F$15,$F$14,$F$20,T$2,$T$1,$C269)</f>
        <v/>
      </c>
      <c r="U269" s="227" t="str">
        <f ca="1">_xll.DBRW(Server&amp;Cube1,$F$17,$F$18,$F$19,$F$16,$C$14,$F$15,$F$14,$F$20,U$2,$U$1,$C269)</f>
        <v/>
      </c>
      <c r="V269" s="227" t="str">
        <f ca="1">_xll.DBRW(Server&amp;Cube1,$F$17,$F$18,$F$19,$F$16,$C$14,$F$15,$F$14,$F$20,V$2,V$1,$C269)</f>
        <v/>
      </c>
      <c r="W269" s="227" t="str">
        <f ca="1">_xll.DBRW(Server&amp;Cube1,$F$17,$F$18,$F$19,$F$16,$C$14,$F$15,$F$14,$F$20,W$2,W$1,$C269)</f>
        <v/>
      </c>
      <c r="X269" s="227" t="str">
        <f ca="1">_xll.DBRW(Server&amp;Cube1,$F$17,$F$18,$F$19,$F$16,$C$14,$F$15,$F$14,$F$20,X$2,X$1,$C269)</f>
        <v/>
      </c>
      <c r="Y269" s="227" t="str">
        <f ca="1">_xll.DBRW(Server&amp;Cube1,$F$17,$F$18,$F$19,$F$16,$C$14,$F$15,$F$14,$F$20,Y$2,Y$1,$C269)</f>
        <v/>
      </c>
      <c r="Z269" s="241"/>
      <c r="AA269" s="241"/>
      <c r="AB269" s="241"/>
      <c r="AC269" s="241"/>
      <c r="AD269" s="241"/>
      <c r="AE269" s="241"/>
      <c r="AF269" s="221" t="str">
        <f ca="1">_xll.DBRW(Server&amp;Cube1,$F$17,$F$18,$F$19,$F$16,$C$14,$F$15,$F$14,$F$20,AF$2,$AF$1,$C269)</f>
        <v/>
      </c>
      <c r="AG269" s="53"/>
      <c r="AH269" s="53"/>
      <c r="AI269" s="53"/>
      <c r="AJ269" s="53"/>
      <c r="AK269" s="53"/>
      <c r="AL269" s="53"/>
      <c r="AM269" s="53"/>
      <c r="AN269" s="53"/>
      <c r="AO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:53" s="9" customFormat="1" ht="24" customHeight="1" x14ac:dyDescent="0.35">
      <c r="A270" s="181" t="e">
        <f ca="1">IF($AT$35="YES",1,IF(_xll.ELCOMPN(Server&amp;$C$24,C270)&lt;&gt;0,1,IF(OR(B270=$AZ$35,B270="ALL"),1,0)))</f>
        <v>#VALUE!</v>
      </c>
      <c r="B270" s="163" t="str">
        <f t="shared" si="12"/>
        <v>IT</v>
      </c>
      <c r="C270" s="158" t="s">
        <v>501</v>
      </c>
      <c r="E270" s="270" t="str">
        <f ca="1">_xll.DBRA(Server&amp;$C$24,$C270,$F$21)</f>
        <v>Note de Frais (IT)</v>
      </c>
      <c r="F270" s="270"/>
      <c r="G270" s="270"/>
      <c r="H270" s="40"/>
      <c r="I270" s="221" t="str">
        <f ca="1">_xll.DBRW(Server&amp;Cube1,$F$17,$F$18,$F$19,$F$16,$C$14,$F$15,$F$14,$F$20,I$2,I$1,$C270)</f>
        <v/>
      </c>
      <c r="J270" s="221" t="str">
        <f ca="1">_xll.DBRW(Server&amp;Cube1,$F$17,$F$18,$F$19,$F$16,$C$14,$F$15,$F$14,$F$20,J$2,J$1,$C270)</f>
        <v/>
      </c>
      <c r="K270" s="221" t="e">
        <f ca="1">_xll.DBRW(Server&amp;Cube1,$F$17,$F$18,$F$19,$F$16,$C$14,$F$15,$F$14,$F$20,I$2,I$1,$C270) -_xll.DBRW(Server&amp;Cube1,$F$17,$F$18,$F$19,$F$16,$C$14,$F$15,$F$14,$F$20,K$2,I$1,$C270)</f>
        <v>#VALUE!</v>
      </c>
      <c r="L270" s="221" t="e">
        <f t="shared" ca="1" si="11"/>
        <v>#VALUE!</v>
      </c>
      <c r="M270" s="221" t="e">
        <f t="shared" ca="1" si="10"/>
        <v>#VALUE!</v>
      </c>
      <c r="N270" s="226"/>
      <c r="O270" s="221" t="str">
        <f ca="1">_xll.DBRW(Server&amp;Cube1,$F$17,$F$18,$F$19,$F$16,$C$14,$F$15,$F$14,$F$20,O$2,O$1,$C270)</f>
        <v/>
      </c>
      <c r="P270" s="226"/>
      <c r="Q270" s="240" t="str">
        <f ca="1">IF(_xll.ELCOMPN(Server&amp;$C$24,C270)=0,"YES","NO")</f>
        <v>YES</v>
      </c>
      <c r="R270" s="241">
        <v>0</v>
      </c>
      <c r="S270" s="226"/>
      <c r="T270" s="227" t="str">
        <f ca="1">_xll.DBRW(Server&amp;Cube1,$F$17,$F$18,$F$19,$F$16,$C$14,$F$15,$F$14,$F$20,T$2,$T$1,$C270)</f>
        <v/>
      </c>
      <c r="U270" s="227" t="str">
        <f ca="1">_xll.DBRW(Server&amp;Cube1,$F$17,$F$18,$F$19,$F$16,$C$14,$F$15,$F$14,$F$20,U$2,$U$1,$C270)</f>
        <v/>
      </c>
      <c r="V270" s="227" t="str">
        <f ca="1">_xll.DBRW(Server&amp;Cube1,$F$17,$F$18,$F$19,$F$16,$C$14,$F$15,$F$14,$F$20,V$2,V$1,$C270)</f>
        <v/>
      </c>
      <c r="W270" s="227" t="str">
        <f ca="1">_xll.DBRW(Server&amp;Cube1,$F$17,$F$18,$F$19,$F$16,$C$14,$F$15,$F$14,$F$20,W$2,W$1,$C270)</f>
        <v/>
      </c>
      <c r="X270" s="227" t="str">
        <f ca="1">_xll.DBRW(Server&amp;Cube1,$F$17,$F$18,$F$19,$F$16,$C$14,$F$15,$F$14,$F$20,X$2,X$1,$C270)</f>
        <v/>
      </c>
      <c r="Y270" s="227" t="str">
        <f ca="1">_xll.DBRW(Server&amp;Cube1,$F$17,$F$18,$F$19,$F$16,$C$14,$F$15,$F$14,$F$20,Y$2,Y$1,$C270)</f>
        <v/>
      </c>
      <c r="Z270" s="241"/>
      <c r="AA270" s="241"/>
      <c r="AB270" s="241"/>
      <c r="AC270" s="241"/>
      <c r="AD270" s="241"/>
      <c r="AE270" s="241"/>
      <c r="AF270" s="221" t="str">
        <f ca="1">_xll.DBRW(Server&amp;Cube1,$F$17,$F$18,$F$19,$F$16,$C$14,$F$15,$F$14,$F$20,AF$2,$AF$1,$C270)</f>
        <v/>
      </c>
      <c r="AG270" s="53"/>
      <c r="AH270" s="53"/>
      <c r="AI270" s="53"/>
      <c r="AJ270" s="53"/>
      <c r="AK270" s="53"/>
      <c r="AL270" s="53"/>
      <c r="AM270" s="53"/>
      <c r="AN270" s="53"/>
      <c r="AO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:53" s="9" customFormat="1" ht="24" customHeight="1" x14ac:dyDescent="0.35">
      <c r="A271" s="181" t="e">
        <f ca="1">IF($AT$35="YES",1,IF(_xll.ELCOMPN(Server&amp;$C$24,C271)&lt;&gt;0,1,IF(OR(B271=$AZ$35,B271="ALL"),1,0)))</f>
        <v>#VALUE!</v>
      </c>
      <c r="B271" s="163" t="str">
        <f t="shared" si="12"/>
        <v>HR</v>
      </c>
      <c r="C271" s="158" t="s">
        <v>502</v>
      </c>
      <c r="E271" s="270" t="str">
        <f ca="1">_xll.DBRA(Server&amp;$C$24,$C271,$F$21)</f>
        <v>Note de Frais (RH)</v>
      </c>
      <c r="F271" s="270"/>
      <c r="G271" s="270"/>
      <c r="H271" s="40"/>
      <c r="I271" s="221" t="str">
        <f ca="1">_xll.DBRW(Server&amp;Cube1,$F$17,$F$18,$F$19,$F$16,$C$14,$F$15,$F$14,$F$20,I$2,I$1,$C271)</f>
        <v/>
      </c>
      <c r="J271" s="221" t="str">
        <f ca="1">_xll.DBRW(Server&amp;Cube1,$F$17,$F$18,$F$19,$F$16,$C$14,$F$15,$F$14,$F$20,J$2,J$1,$C271)</f>
        <v/>
      </c>
      <c r="K271" s="221" t="e">
        <f ca="1">_xll.DBRW(Server&amp;Cube1,$F$17,$F$18,$F$19,$F$16,$C$14,$F$15,$F$14,$F$20,I$2,I$1,$C271) -_xll.DBRW(Server&amp;Cube1,$F$17,$F$18,$F$19,$F$16,$C$14,$F$15,$F$14,$F$20,K$2,I$1,$C271)</f>
        <v>#VALUE!</v>
      </c>
      <c r="L271" s="221" t="e">
        <f t="shared" ca="1" si="11"/>
        <v>#VALUE!</v>
      </c>
      <c r="M271" s="221" t="e">
        <f t="shared" ca="1" si="10"/>
        <v>#VALUE!</v>
      </c>
      <c r="N271" s="226"/>
      <c r="O271" s="221" t="str">
        <f ca="1">_xll.DBRW(Server&amp;Cube1,$F$17,$F$18,$F$19,$F$16,$C$14,$F$15,$F$14,$F$20,O$2,O$1,$C271)</f>
        <v/>
      </c>
      <c r="P271" s="226"/>
      <c r="Q271" s="240" t="str">
        <f ca="1">IF(_xll.ELCOMPN(Server&amp;$C$24,C271)=0,"YES","NO")</f>
        <v>YES</v>
      </c>
      <c r="R271" s="241">
        <v>0</v>
      </c>
      <c r="S271" s="226"/>
      <c r="T271" s="227" t="str">
        <f ca="1">_xll.DBRW(Server&amp;Cube1,$F$17,$F$18,$F$19,$F$16,$C$14,$F$15,$F$14,$F$20,T$2,$T$1,$C271)</f>
        <v/>
      </c>
      <c r="U271" s="227" t="str">
        <f ca="1">_xll.DBRW(Server&amp;Cube1,$F$17,$F$18,$F$19,$F$16,$C$14,$F$15,$F$14,$F$20,U$2,$U$1,$C271)</f>
        <v/>
      </c>
      <c r="V271" s="227" t="str">
        <f ca="1">_xll.DBRW(Server&amp;Cube1,$F$17,$F$18,$F$19,$F$16,$C$14,$F$15,$F$14,$F$20,V$2,V$1,$C271)</f>
        <v/>
      </c>
      <c r="W271" s="227" t="str">
        <f ca="1">_xll.DBRW(Server&amp;Cube1,$F$17,$F$18,$F$19,$F$16,$C$14,$F$15,$F$14,$F$20,W$2,W$1,$C271)</f>
        <v/>
      </c>
      <c r="X271" s="227" t="str">
        <f ca="1">_xll.DBRW(Server&amp;Cube1,$F$17,$F$18,$F$19,$F$16,$C$14,$F$15,$F$14,$F$20,X$2,X$1,$C271)</f>
        <v/>
      </c>
      <c r="Y271" s="227" t="str">
        <f ca="1">_xll.DBRW(Server&amp;Cube1,$F$17,$F$18,$F$19,$F$16,$C$14,$F$15,$F$14,$F$20,Y$2,Y$1,$C271)</f>
        <v/>
      </c>
      <c r="Z271" s="241"/>
      <c r="AA271" s="241"/>
      <c r="AB271" s="241"/>
      <c r="AC271" s="241"/>
      <c r="AD271" s="241"/>
      <c r="AE271" s="241"/>
      <c r="AF271" s="221" t="str">
        <f ca="1">_xll.DBRW(Server&amp;Cube1,$F$17,$F$18,$F$19,$F$16,$C$14,$F$15,$F$14,$F$20,AF$2,$AF$1,$C271)</f>
        <v/>
      </c>
      <c r="AG271" s="53"/>
      <c r="AH271" s="53"/>
      <c r="AI271" s="53"/>
      <c r="AJ271" s="53"/>
      <c r="AK271" s="53"/>
      <c r="AL271" s="53"/>
      <c r="AM271" s="53"/>
      <c r="AN271" s="53"/>
      <c r="AO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:53" s="9" customFormat="1" ht="24" customHeight="1" x14ac:dyDescent="0.35">
      <c r="A272" s="181" t="e">
        <f ca="1">IF($AT$35="YES",1,IF(_xll.ELCOMPN(Server&amp;$C$24,C272)&lt;&gt;0,1,IF(OR(B272=$AZ$35,B272="ALL"),1,0)))</f>
        <v>#VALUE!</v>
      </c>
      <c r="B272" s="163" t="str">
        <f t="shared" si="12"/>
        <v>GM</v>
      </c>
      <c r="C272" s="158" t="s">
        <v>503</v>
      </c>
      <c r="E272" s="270" t="str">
        <f ca="1">_xll.DBRA(Server&amp;$C$24,$C272,$F$21)</f>
        <v>Note de Frais (DG)</v>
      </c>
      <c r="F272" s="270"/>
      <c r="G272" s="270"/>
      <c r="H272" s="40"/>
      <c r="I272" s="221" t="str">
        <f ca="1">_xll.DBRW(Server&amp;Cube1,$F$17,$F$18,$F$19,$F$16,$C$14,$F$15,$F$14,$F$20,I$2,I$1,$C272)</f>
        <v/>
      </c>
      <c r="J272" s="221" t="str">
        <f ca="1">_xll.DBRW(Server&amp;Cube1,$F$17,$F$18,$F$19,$F$16,$C$14,$F$15,$F$14,$F$20,J$2,J$1,$C272)</f>
        <v/>
      </c>
      <c r="K272" s="221" t="e">
        <f ca="1">_xll.DBRW(Server&amp;Cube1,$F$17,$F$18,$F$19,$F$16,$C$14,$F$15,$F$14,$F$20,I$2,I$1,$C272) -_xll.DBRW(Server&amp;Cube1,$F$17,$F$18,$F$19,$F$16,$C$14,$F$15,$F$14,$F$20,K$2,I$1,$C272)</f>
        <v>#VALUE!</v>
      </c>
      <c r="L272" s="221" t="e">
        <f t="shared" ca="1" si="11"/>
        <v>#VALUE!</v>
      </c>
      <c r="M272" s="221" t="e">
        <f t="shared" ca="1" si="10"/>
        <v>#VALUE!</v>
      </c>
      <c r="N272" s="226"/>
      <c r="O272" s="221" t="str">
        <f ca="1">_xll.DBRW(Server&amp;Cube1,$F$17,$F$18,$F$19,$F$16,$C$14,$F$15,$F$14,$F$20,O$2,O$1,$C272)</f>
        <v/>
      </c>
      <c r="P272" s="226"/>
      <c r="Q272" s="240" t="str">
        <f ca="1">IF(_xll.ELCOMPN(Server&amp;$C$24,C272)=0,"YES","NO")</f>
        <v>YES</v>
      </c>
      <c r="R272" s="241">
        <v>0</v>
      </c>
      <c r="S272" s="226"/>
      <c r="T272" s="227" t="str">
        <f ca="1">_xll.DBRW(Server&amp;Cube1,$F$17,$F$18,$F$19,$F$16,$C$14,$F$15,$F$14,$F$20,T$2,$T$1,$C272)</f>
        <v/>
      </c>
      <c r="U272" s="227" t="str">
        <f ca="1">_xll.DBRW(Server&amp;Cube1,$F$17,$F$18,$F$19,$F$16,$C$14,$F$15,$F$14,$F$20,U$2,$U$1,$C272)</f>
        <v/>
      </c>
      <c r="V272" s="227" t="str">
        <f ca="1">_xll.DBRW(Server&amp;Cube1,$F$17,$F$18,$F$19,$F$16,$C$14,$F$15,$F$14,$F$20,V$2,V$1,$C272)</f>
        <v/>
      </c>
      <c r="W272" s="227" t="str">
        <f ca="1">_xll.DBRW(Server&amp;Cube1,$F$17,$F$18,$F$19,$F$16,$C$14,$F$15,$F$14,$F$20,W$2,W$1,$C272)</f>
        <v/>
      </c>
      <c r="X272" s="227" t="str">
        <f ca="1">_xll.DBRW(Server&amp;Cube1,$F$17,$F$18,$F$19,$F$16,$C$14,$F$15,$F$14,$F$20,X$2,X$1,$C272)</f>
        <v/>
      </c>
      <c r="Y272" s="227" t="str">
        <f ca="1">_xll.DBRW(Server&amp;Cube1,$F$17,$F$18,$F$19,$F$16,$C$14,$F$15,$F$14,$F$20,Y$2,Y$1,$C272)</f>
        <v/>
      </c>
      <c r="Z272" s="241"/>
      <c r="AA272" s="241"/>
      <c r="AB272" s="241"/>
      <c r="AC272" s="241"/>
      <c r="AD272" s="241"/>
      <c r="AE272" s="241"/>
      <c r="AF272" s="221" t="str">
        <f ca="1">_xll.DBRW(Server&amp;Cube1,$F$17,$F$18,$F$19,$F$16,$C$14,$F$15,$F$14,$F$20,AF$2,$AF$1,$C272)</f>
        <v/>
      </c>
      <c r="AG272" s="53"/>
      <c r="AH272" s="53"/>
      <c r="AI272" s="53"/>
      <c r="AJ272" s="53"/>
      <c r="AK272" s="53"/>
      <c r="AL272" s="53"/>
      <c r="AM272" s="53"/>
      <c r="AN272" s="53"/>
      <c r="AO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:53" s="9" customFormat="1" ht="24" customHeight="1" x14ac:dyDescent="0.35">
      <c r="A273" s="181" t="e">
        <f ca="1">IF($AT$35="YES",1,IF(_xll.ELCOMPN(Server&amp;$C$24,C273)&lt;&gt;0,1,IF(OR(B273=$AZ$35,B273="ALL"),1,0)))</f>
        <v>#VALUE!</v>
      </c>
      <c r="B273" s="163" t="str">
        <f t="shared" si="12"/>
        <v>IA</v>
      </c>
      <c r="C273" s="158" t="s">
        <v>504</v>
      </c>
      <c r="E273" s="270" t="str">
        <f ca="1">_xll.DBRA(Server&amp;$C$24,$C273,$F$21)</f>
        <v>Note de Frais (AI)</v>
      </c>
      <c r="F273" s="270"/>
      <c r="G273" s="270"/>
      <c r="H273" s="40"/>
      <c r="I273" s="221" t="str">
        <f ca="1">_xll.DBRW(Server&amp;Cube1,$F$17,$F$18,$F$19,$F$16,$C$14,$F$15,$F$14,$F$20,I$2,I$1,$C273)</f>
        <v/>
      </c>
      <c r="J273" s="221" t="str">
        <f ca="1">_xll.DBRW(Server&amp;Cube1,$F$17,$F$18,$F$19,$F$16,$C$14,$F$15,$F$14,$F$20,J$2,J$1,$C273)</f>
        <v/>
      </c>
      <c r="K273" s="221" t="e">
        <f ca="1">_xll.DBRW(Server&amp;Cube1,$F$17,$F$18,$F$19,$F$16,$C$14,$F$15,$F$14,$F$20,I$2,I$1,$C273) -_xll.DBRW(Server&amp;Cube1,$F$17,$F$18,$F$19,$F$16,$C$14,$F$15,$F$14,$F$20,K$2,I$1,$C273)</f>
        <v>#VALUE!</v>
      </c>
      <c r="L273" s="221" t="e">
        <f t="shared" ca="1" si="11"/>
        <v>#VALUE!</v>
      </c>
      <c r="M273" s="221" t="e">
        <f t="shared" ca="1" si="10"/>
        <v>#VALUE!</v>
      </c>
      <c r="N273" s="226"/>
      <c r="O273" s="221" t="str">
        <f ca="1">_xll.DBRW(Server&amp;Cube1,$F$17,$F$18,$F$19,$F$16,$C$14,$F$15,$F$14,$F$20,O$2,O$1,$C273)</f>
        <v/>
      </c>
      <c r="P273" s="226"/>
      <c r="Q273" s="240" t="str">
        <f ca="1">IF(_xll.ELCOMPN(Server&amp;$C$24,C273)=0,"YES","NO")</f>
        <v>YES</v>
      </c>
      <c r="R273" s="241">
        <v>0</v>
      </c>
      <c r="S273" s="226"/>
      <c r="T273" s="227" t="str">
        <f ca="1">_xll.DBRW(Server&amp;Cube1,$F$17,$F$18,$F$19,$F$16,$C$14,$F$15,$F$14,$F$20,T$2,$T$1,$C273)</f>
        <v/>
      </c>
      <c r="U273" s="227" t="str">
        <f ca="1">_xll.DBRW(Server&amp;Cube1,$F$17,$F$18,$F$19,$F$16,$C$14,$F$15,$F$14,$F$20,U$2,$U$1,$C273)</f>
        <v/>
      </c>
      <c r="V273" s="227" t="str">
        <f ca="1">_xll.DBRW(Server&amp;Cube1,$F$17,$F$18,$F$19,$F$16,$C$14,$F$15,$F$14,$F$20,V$2,V$1,$C273)</f>
        <v/>
      </c>
      <c r="W273" s="227" t="str">
        <f ca="1">_xll.DBRW(Server&amp;Cube1,$F$17,$F$18,$F$19,$F$16,$C$14,$F$15,$F$14,$F$20,W$2,W$1,$C273)</f>
        <v/>
      </c>
      <c r="X273" s="227" t="str">
        <f ca="1">_xll.DBRW(Server&amp;Cube1,$F$17,$F$18,$F$19,$F$16,$C$14,$F$15,$F$14,$F$20,X$2,X$1,$C273)</f>
        <v/>
      </c>
      <c r="Y273" s="227" t="str">
        <f ca="1">_xll.DBRW(Server&amp;Cube1,$F$17,$F$18,$F$19,$F$16,$C$14,$F$15,$F$14,$F$20,Y$2,Y$1,$C273)</f>
        <v/>
      </c>
      <c r="Z273" s="241"/>
      <c r="AA273" s="241"/>
      <c r="AB273" s="241"/>
      <c r="AC273" s="241"/>
      <c r="AD273" s="241"/>
      <c r="AE273" s="241"/>
      <c r="AF273" s="221" t="str">
        <f ca="1">_xll.DBRW(Server&amp;Cube1,$F$17,$F$18,$F$19,$F$16,$C$14,$F$15,$F$14,$F$20,AF$2,$AF$1,$C273)</f>
        <v/>
      </c>
      <c r="AG273" s="53"/>
      <c r="AH273" s="53"/>
      <c r="AI273" s="53"/>
      <c r="AJ273" s="53"/>
      <c r="AK273" s="53"/>
      <c r="AL273" s="53"/>
      <c r="AM273" s="53"/>
      <c r="AN273" s="53"/>
      <c r="AO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:53" s="9" customFormat="1" ht="24" customHeight="1" x14ac:dyDescent="0.35">
      <c r="A274" s="181" t="e">
        <f ca="1">IF($AT$35="YES",1,IF(_xll.ELCOMPN(Server&amp;$C$24,C274)&lt;&gt;0,1,IF(OR(B274=$AZ$35,B274="ALL"),1,0)))</f>
        <v>#VALUE!</v>
      </c>
      <c r="B274" s="163" t="str">
        <f t="shared" si="12"/>
        <v>LE</v>
      </c>
      <c r="C274" s="158" t="s">
        <v>505</v>
      </c>
      <c r="E274" s="270" t="str">
        <f ca="1">_xll.DBRA(Server&amp;$C$24,$C274,$F$21)</f>
        <v>Note de Frais (JU)</v>
      </c>
      <c r="F274" s="270"/>
      <c r="G274" s="270"/>
      <c r="H274" s="40"/>
      <c r="I274" s="221" t="str">
        <f ca="1">_xll.DBRW(Server&amp;Cube1,$F$17,$F$18,$F$19,$F$16,$C$14,$F$15,$F$14,$F$20,I$2,I$1,$C274)</f>
        <v/>
      </c>
      <c r="J274" s="221" t="str">
        <f ca="1">_xll.DBRW(Server&amp;Cube1,$F$17,$F$18,$F$19,$F$16,$C$14,$F$15,$F$14,$F$20,J$2,J$1,$C274)</f>
        <v/>
      </c>
      <c r="K274" s="221" t="e">
        <f ca="1">_xll.DBRW(Server&amp;Cube1,$F$17,$F$18,$F$19,$F$16,$C$14,$F$15,$F$14,$F$20,I$2,I$1,$C274) -_xll.DBRW(Server&amp;Cube1,$F$17,$F$18,$F$19,$F$16,$C$14,$F$15,$F$14,$F$20,K$2,I$1,$C274)</f>
        <v>#VALUE!</v>
      </c>
      <c r="L274" s="221" t="e">
        <f t="shared" ca="1" si="11"/>
        <v>#VALUE!</v>
      </c>
      <c r="M274" s="221" t="e">
        <f t="shared" ca="1" si="10"/>
        <v>#VALUE!</v>
      </c>
      <c r="N274" s="226"/>
      <c r="O274" s="221" t="str">
        <f ca="1">_xll.DBRW(Server&amp;Cube1,$F$17,$F$18,$F$19,$F$16,$C$14,$F$15,$F$14,$F$20,O$2,O$1,$C274)</f>
        <v/>
      </c>
      <c r="P274" s="226"/>
      <c r="Q274" s="240" t="str">
        <f ca="1">IF(_xll.ELCOMPN(Server&amp;$C$24,C274)=0,"YES","NO")</f>
        <v>YES</v>
      </c>
      <c r="R274" s="241">
        <v>0</v>
      </c>
      <c r="S274" s="226"/>
      <c r="T274" s="227" t="str">
        <f ca="1">_xll.DBRW(Server&amp;Cube1,$F$17,$F$18,$F$19,$F$16,$C$14,$F$15,$F$14,$F$20,T$2,$T$1,$C274)</f>
        <v/>
      </c>
      <c r="U274" s="227" t="str">
        <f ca="1">_xll.DBRW(Server&amp;Cube1,$F$17,$F$18,$F$19,$F$16,$C$14,$F$15,$F$14,$F$20,U$2,$U$1,$C274)</f>
        <v/>
      </c>
      <c r="V274" s="227" t="str">
        <f ca="1">_xll.DBRW(Server&amp;Cube1,$F$17,$F$18,$F$19,$F$16,$C$14,$F$15,$F$14,$F$20,V$2,V$1,$C274)</f>
        <v/>
      </c>
      <c r="W274" s="227" t="str">
        <f ca="1">_xll.DBRW(Server&amp;Cube1,$F$17,$F$18,$F$19,$F$16,$C$14,$F$15,$F$14,$F$20,W$2,W$1,$C274)</f>
        <v/>
      </c>
      <c r="X274" s="227" t="str">
        <f ca="1">_xll.DBRW(Server&amp;Cube1,$F$17,$F$18,$F$19,$F$16,$C$14,$F$15,$F$14,$F$20,X$2,X$1,$C274)</f>
        <v/>
      </c>
      <c r="Y274" s="227" t="str">
        <f ca="1">_xll.DBRW(Server&amp;Cube1,$F$17,$F$18,$F$19,$F$16,$C$14,$F$15,$F$14,$F$20,Y$2,Y$1,$C274)</f>
        <v/>
      </c>
      <c r="Z274" s="241"/>
      <c r="AA274" s="241"/>
      <c r="AB274" s="241"/>
      <c r="AC274" s="241"/>
      <c r="AD274" s="241"/>
      <c r="AE274" s="241"/>
      <c r="AF274" s="221" t="str">
        <f ca="1">_xll.DBRW(Server&amp;Cube1,$F$17,$F$18,$F$19,$F$16,$C$14,$F$15,$F$14,$F$20,AF$2,$AF$1,$C274)</f>
        <v/>
      </c>
      <c r="AG274" s="53"/>
      <c r="AH274" s="53"/>
      <c r="AI274" s="53"/>
      <c r="AJ274" s="53"/>
      <c r="AK274" s="53"/>
      <c r="AL274" s="53"/>
      <c r="AM274" s="53"/>
      <c r="AN274" s="53"/>
      <c r="AO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:53" s="9" customFormat="1" ht="24" customHeight="1" x14ac:dyDescent="0.35">
      <c r="A275" s="181" t="e">
        <f ca="1">IF($AT$35="YES",1,IF(_xll.ELCOMPN(Server&amp;$C$24,C275)&lt;&gt;0,1,IF(OR(B275=$AZ$35,B275="ALL"),1,0)))</f>
        <v>#VALUE!</v>
      </c>
      <c r="B275" s="163" t="str">
        <f t="shared" si="12"/>
        <v>RM</v>
      </c>
      <c r="C275" s="158" t="s">
        <v>506</v>
      </c>
      <c r="E275" s="270" t="str">
        <f ca="1">_xll.DBRA(Server&amp;$C$24,$C275,$F$21)</f>
        <v>Note de Frais (GR)</v>
      </c>
      <c r="F275" s="270"/>
      <c r="G275" s="270"/>
      <c r="H275" s="40"/>
      <c r="I275" s="221" t="str">
        <f ca="1">_xll.DBRW(Server&amp;Cube1,$F$17,$F$18,$F$19,$F$16,$C$14,$F$15,$F$14,$F$20,I$2,I$1,$C275)</f>
        <v/>
      </c>
      <c r="J275" s="221" t="str">
        <f ca="1">_xll.DBRW(Server&amp;Cube1,$F$17,$F$18,$F$19,$F$16,$C$14,$F$15,$F$14,$F$20,J$2,J$1,$C275)</f>
        <v/>
      </c>
      <c r="K275" s="221" t="e">
        <f ca="1">_xll.DBRW(Server&amp;Cube1,$F$17,$F$18,$F$19,$F$16,$C$14,$F$15,$F$14,$F$20,I$2,I$1,$C275) -_xll.DBRW(Server&amp;Cube1,$F$17,$F$18,$F$19,$F$16,$C$14,$F$15,$F$14,$F$20,K$2,I$1,$C275)</f>
        <v>#VALUE!</v>
      </c>
      <c r="L275" s="221" t="e">
        <f t="shared" ca="1" si="11"/>
        <v>#VALUE!</v>
      </c>
      <c r="M275" s="221" t="e">
        <f t="shared" ca="1" si="10"/>
        <v>#VALUE!</v>
      </c>
      <c r="N275" s="226"/>
      <c r="O275" s="221" t="str">
        <f ca="1">_xll.DBRW(Server&amp;Cube1,$F$17,$F$18,$F$19,$F$16,$C$14,$F$15,$F$14,$F$20,O$2,O$1,$C275)</f>
        <v/>
      </c>
      <c r="P275" s="226"/>
      <c r="Q275" s="240" t="str">
        <f ca="1">IF(_xll.ELCOMPN(Server&amp;$C$24,C275)=0,"YES","NO")</f>
        <v>YES</v>
      </c>
      <c r="R275" s="241">
        <v>0</v>
      </c>
      <c r="S275" s="226"/>
      <c r="T275" s="227" t="str">
        <f ca="1">_xll.DBRW(Server&amp;Cube1,$F$17,$F$18,$F$19,$F$16,$C$14,$F$15,$F$14,$F$20,T$2,$T$1,$C275)</f>
        <v/>
      </c>
      <c r="U275" s="227" t="str">
        <f ca="1">_xll.DBRW(Server&amp;Cube1,$F$17,$F$18,$F$19,$F$16,$C$14,$F$15,$F$14,$F$20,U$2,$U$1,$C275)</f>
        <v/>
      </c>
      <c r="V275" s="227" t="str">
        <f ca="1">_xll.DBRW(Server&amp;Cube1,$F$17,$F$18,$F$19,$F$16,$C$14,$F$15,$F$14,$F$20,V$2,V$1,$C275)</f>
        <v/>
      </c>
      <c r="W275" s="227" t="str">
        <f ca="1">_xll.DBRW(Server&amp;Cube1,$F$17,$F$18,$F$19,$F$16,$C$14,$F$15,$F$14,$F$20,W$2,W$1,$C275)</f>
        <v/>
      </c>
      <c r="X275" s="227" t="str">
        <f ca="1">_xll.DBRW(Server&amp;Cube1,$F$17,$F$18,$F$19,$F$16,$C$14,$F$15,$F$14,$F$20,X$2,X$1,$C275)</f>
        <v/>
      </c>
      <c r="Y275" s="227" t="str">
        <f ca="1">_xll.DBRW(Server&amp;Cube1,$F$17,$F$18,$F$19,$F$16,$C$14,$F$15,$F$14,$F$20,Y$2,Y$1,$C275)</f>
        <v/>
      </c>
      <c r="Z275" s="241"/>
      <c r="AA275" s="241"/>
      <c r="AB275" s="241"/>
      <c r="AC275" s="241"/>
      <c r="AD275" s="241"/>
      <c r="AE275" s="241"/>
      <c r="AF275" s="221" t="str">
        <f ca="1">_xll.DBRW(Server&amp;Cube1,$F$17,$F$18,$F$19,$F$16,$C$14,$F$15,$F$14,$F$20,AF$2,$AF$1,$C275)</f>
        <v/>
      </c>
      <c r="AG275" s="53"/>
      <c r="AH275" s="53"/>
      <c r="AI275" s="53"/>
      <c r="AJ275" s="53"/>
      <c r="AK275" s="53"/>
      <c r="AL275" s="53"/>
      <c r="AM275" s="53"/>
      <c r="AN275" s="53"/>
      <c r="AO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:53" s="9" customFormat="1" ht="24" customHeight="1" x14ac:dyDescent="0.35">
      <c r="A276" s="181" t="e">
        <f ca="1">IF($AT$35="YES",1,IF(_xll.ELCOMPN(Server&amp;$C$24,C276)&lt;&gt;0,1,IF(OR(B276=$AZ$35,B276="ALL"),1,0)))</f>
        <v>#VALUE!</v>
      </c>
      <c r="B276" s="163" t="str">
        <f t="shared" si="12"/>
        <v>PU</v>
      </c>
      <c r="C276" s="158" t="s">
        <v>507</v>
      </c>
      <c r="E276" s="270" t="str">
        <f ca="1">_xll.DBRA(Server&amp;$C$24,$C276,$F$21)</f>
        <v>Note de Frais (AC)</v>
      </c>
      <c r="F276" s="270"/>
      <c r="G276" s="270"/>
      <c r="H276" s="40"/>
      <c r="I276" s="221" t="str">
        <f ca="1">_xll.DBRW(Server&amp;Cube1,$F$17,$F$18,$F$19,$F$16,$C$14,$F$15,$F$14,$F$20,I$2,I$1,$C276)</f>
        <v/>
      </c>
      <c r="J276" s="221" t="str">
        <f ca="1">_xll.DBRW(Server&amp;Cube1,$F$17,$F$18,$F$19,$F$16,$C$14,$F$15,$F$14,$F$20,J$2,J$1,$C276)</f>
        <v/>
      </c>
      <c r="K276" s="221" t="e">
        <f ca="1">_xll.DBRW(Server&amp;Cube1,$F$17,$F$18,$F$19,$F$16,$C$14,$F$15,$F$14,$F$20,I$2,I$1,$C276) -_xll.DBRW(Server&amp;Cube1,$F$17,$F$18,$F$19,$F$16,$C$14,$F$15,$F$14,$F$20,K$2,I$1,$C276)</f>
        <v>#VALUE!</v>
      </c>
      <c r="L276" s="221" t="e">
        <f t="shared" ca="1" si="11"/>
        <v>#VALUE!</v>
      </c>
      <c r="M276" s="221" t="e">
        <f t="shared" ca="1" si="10"/>
        <v>#VALUE!</v>
      </c>
      <c r="N276" s="226"/>
      <c r="O276" s="221" t="str">
        <f ca="1">_xll.DBRW(Server&amp;Cube1,$F$17,$F$18,$F$19,$F$16,$C$14,$F$15,$F$14,$F$20,O$2,O$1,$C276)</f>
        <v/>
      </c>
      <c r="P276" s="226"/>
      <c r="Q276" s="240" t="str">
        <f ca="1">IF(_xll.ELCOMPN(Server&amp;$C$24,C276)=0,"YES","NO")</f>
        <v>YES</v>
      </c>
      <c r="R276" s="241">
        <v>0</v>
      </c>
      <c r="S276" s="226"/>
      <c r="T276" s="227" t="str">
        <f ca="1">_xll.DBRW(Server&amp;Cube1,$F$17,$F$18,$F$19,$F$16,$C$14,$F$15,$F$14,$F$20,T$2,$T$1,$C276)</f>
        <v/>
      </c>
      <c r="U276" s="227" t="str">
        <f ca="1">_xll.DBRW(Server&amp;Cube1,$F$17,$F$18,$F$19,$F$16,$C$14,$F$15,$F$14,$F$20,U$2,$U$1,$C276)</f>
        <v/>
      </c>
      <c r="V276" s="227" t="str">
        <f ca="1">_xll.DBRW(Server&amp;Cube1,$F$17,$F$18,$F$19,$F$16,$C$14,$F$15,$F$14,$F$20,V$2,V$1,$C276)</f>
        <v/>
      </c>
      <c r="W276" s="227" t="str">
        <f ca="1">_xll.DBRW(Server&amp;Cube1,$F$17,$F$18,$F$19,$F$16,$C$14,$F$15,$F$14,$F$20,W$2,W$1,$C276)</f>
        <v/>
      </c>
      <c r="X276" s="227" t="str">
        <f ca="1">_xll.DBRW(Server&amp;Cube1,$F$17,$F$18,$F$19,$F$16,$C$14,$F$15,$F$14,$F$20,X$2,X$1,$C276)</f>
        <v/>
      </c>
      <c r="Y276" s="227" t="str">
        <f ca="1">_xll.DBRW(Server&amp;Cube1,$F$17,$F$18,$F$19,$F$16,$C$14,$F$15,$F$14,$F$20,Y$2,Y$1,$C276)</f>
        <v/>
      </c>
      <c r="Z276" s="241"/>
      <c r="AA276" s="241"/>
      <c r="AB276" s="241"/>
      <c r="AC276" s="241"/>
      <c r="AD276" s="241"/>
      <c r="AE276" s="241"/>
      <c r="AF276" s="221" t="str">
        <f ca="1">_xll.DBRW(Server&amp;Cube1,$F$17,$F$18,$F$19,$F$16,$C$14,$F$15,$F$14,$F$20,AF$2,$AF$1,$C276)</f>
        <v/>
      </c>
      <c r="AG276" s="53"/>
      <c r="AH276" s="53"/>
      <c r="AI276" s="53"/>
      <c r="AJ276" s="53"/>
      <c r="AK276" s="53"/>
      <c r="AL276" s="53"/>
      <c r="AM276" s="53"/>
      <c r="AN276" s="53"/>
      <c r="AO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:53" s="9" customFormat="1" ht="24" customHeight="1" x14ac:dyDescent="0.35">
      <c r="A277" s="181" t="e">
        <f ca="1">IF($AT$35="YES",1,IF(_xll.ELCOMPN(Server&amp;$C$24,C277)&lt;&gt;0,1,IF(OR(B277=$AZ$35,B277="ALL"),1,0)))</f>
        <v>#VALUE!</v>
      </c>
      <c r="B277" s="163" t="str">
        <f t="shared" si="12"/>
        <v>CO</v>
      </c>
      <c r="C277" s="158" t="s">
        <v>508</v>
      </c>
      <c r="E277" s="270" t="str">
        <f ca="1">_xll.DBRA(Server&amp;$C$24,$C277,$F$21)</f>
        <v>Note de Frais (CO)</v>
      </c>
      <c r="F277" s="270"/>
      <c r="G277" s="270"/>
      <c r="H277" s="40"/>
      <c r="I277" s="221" t="str">
        <f ca="1">_xll.DBRW(Server&amp;Cube1,$F$17,$F$18,$F$19,$F$16,$C$14,$F$15,$F$14,$F$20,I$2,I$1,$C277)</f>
        <v/>
      </c>
      <c r="J277" s="221" t="str">
        <f ca="1">_xll.DBRW(Server&amp;Cube1,$F$17,$F$18,$F$19,$F$16,$C$14,$F$15,$F$14,$F$20,J$2,J$1,$C277)</f>
        <v/>
      </c>
      <c r="K277" s="221" t="e">
        <f ca="1">_xll.DBRW(Server&amp;Cube1,$F$17,$F$18,$F$19,$F$16,$C$14,$F$15,$F$14,$F$20,I$2,I$1,$C277) -_xll.DBRW(Server&amp;Cube1,$F$17,$F$18,$F$19,$F$16,$C$14,$F$15,$F$14,$F$20,K$2,I$1,$C277)</f>
        <v>#VALUE!</v>
      </c>
      <c r="L277" s="221" t="e">
        <f t="shared" ca="1" si="11"/>
        <v>#VALUE!</v>
      </c>
      <c r="M277" s="221" t="e">
        <f t="shared" ca="1" si="10"/>
        <v>#VALUE!</v>
      </c>
      <c r="N277" s="226"/>
      <c r="O277" s="221" t="str">
        <f ca="1">_xll.DBRW(Server&amp;Cube1,$F$17,$F$18,$F$19,$F$16,$C$14,$F$15,$F$14,$F$20,O$2,O$1,$C277)</f>
        <v/>
      </c>
      <c r="P277" s="226"/>
      <c r="Q277" s="240" t="str">
        <f ca="1">IF(_xll.ELCOMPN(Server&amp;$C$24,C277)=0,"YES","NO")</f>
        <v>YES</v>
      </c>
      <c r="R277" s="241">
        <v>0</v>
      </c>
      <c r="S277" s="226"/>
      <c r="T277" s="227" t="str">
        <f ca="1">_xll.DBRW(Server&amp;Cube1,$F$17,$F$18,$F$19,$F$16,$C$14,$F$15,$F$14,$F$20,T$2,$T$1,$C277)</f>
        <v/>
      </c>
      <c r="U277" s="227" t="str">
        <f ca="1">_xll.DBRW(Server&amp;Cube1,$F$17,$F$18,$F$19,$F$16,$C$14,$F$15,$F$14,$F$20,U$2,$U$1,$C277)</f>
        <v/>
      </c>
      <c r="V277" s="227" t="str">
        <f ca="1">_xll.DBRW(Server&amp;Cube1,$F$17,$F$18,$F$19,$F$16,$C$14,$F$15,$F$14,$F$20,V$2,V$1,$C277)</f>
        <v/>
      </c>
      <c r="W277" s="227" t="str">
        <f ca="1">_xll.DBRW(Server&amp;Cube1,$F$17,$F$18,$F$19,$F$16,$C$14,$F$15,$F$14,$F$20,W$2,W$1,$C277)</f>
        <v/>
      </c>
      <c r="X277" s="227" t="str">
        <f ca="1">_xll.DBRW(Server&amp;Cube1,$F$17,$F$18,$F$19,$F$16,$C$14,$F$15,$F$14,$F$20,X$2,X$1,$C277)</f>
        <v/>
      </c>
      <c r="Y277" s="227" t="str">
        <f ca="1">_xll.DBRW(Server&amp;Cube1,$F$17,$F$18,$F$19,$F$16,$C$14,$F$15,$F$14,$F$20,Y$2,Y$1,$C277)</f>
        <v/>
      </c>
      <c r="Z277" s="241"/>
      <c r="AA277" s="241"/>
      <c r="AB277" s="241"/>
      <c r="AC277" s="241"/>
      <c r="AD277" s="241"/>
      <c r="AE277" s="241"/>
      <c r="AF277" s="221" t="str">
        <f ca="1">_xll.DBRW(Server&amp;Cube1,$F$17,$F$18,$F$19,$F$16,$C$14,$F$15,$F$14,$F$20,AF$2,$AF$1,$C277)</f>
        <v/>
      </c>
      <c r="AG277" s="53"/>
      <c r="AH277" s="53"/>
      <c r="AI277" s="53"/>
      <c r="AJ277" s="53"/>
      <c r="AK277" s="53"/>
      <c r="AL277" s="53"/>
      <c r="AM277" s="53"/>
      <c r="AN277" s="53"/>
      <c r="AO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:53" s="9" customFormat="1" ht="24" customHeight="1" x14ac:dyDescent="0.35">
      <c r="A278" s="181" t="e">
        <f ca="1">IF($AT$35="YES",1,IF(_xll.ELCOMPN(Server&amp;$C$24,C278)&lt;&gt;0,1,IF(OR(B278=$AZ$35,B278="ALL"),1,0)))</f>
        <v>#VALUE!</v>
      </c>
      <c r="B278" s="163" t="str">
        <f t="shared" si="12"/>
        <v>GS</v>
      </c>
      <c r="C278" s="158" t="s">
        <v>509</v>
      </c>
      <c r="E278" s="270" t="str">
        <f ca="1">_xll.DBRA(Server&amp;$C$24,$C278,$F$21)</f>
        <v>Note de Frais (SG)</v>
      </c>
      <c r="F278" s="270"/>
      <c r="G278" s="270"/>
      <c r="H278" s="40"/>
      <c r="I278" s="221" t="str">
        <f ca="1">_xll.DBRW(Server&amp;Cube1,$F$17,$F$18,$F$19,$F$16,$C$14,$F$15,$F$14,$F$20,I$2,I$1,$C278)</f>
        <v/>
      </c>
      <c r="J278" s="221" t="str">
        <f ca="1">_xll.DBRW(Server&amp;Cube1,$F$17,$F$18,$F$19,$F$16,$C$14,$F$15,$F$14,$F$20,J$2,J$1,$C278)</f>
        <v/>
      </c>
      <c r="K278" s="221" t="e">
        <f ca="1">_xll.DBRW(Server&amp;Cube1,$F$17,$F$18,$F$19,$F$16,$C$14,$F$15,$F$14,$F$20,I$2,I$1,$C278) -_xll.DBRW(Server&amp;Cube1,$F$17,$F$18,$F$19,$F$16,$C$14,$F$15,$F$14,$F$20,K$2,I$1,$C278)</f>
        <v>#VALUE!</v>
      </c>
      <c r="L278" s="221" t="e">
        <f t="shared" ca="1" si="11"/>
        <v>#VALUE!</v>
      </c>
      <c r="M278" s="221" t="e">
        <f t="shared" ca="1" si="10"/>
        <v>#VALUE!</v>
      </c>
      <c r="N278" s="226"/>
      <c r="O278" s="221" t="str">
        <f ca="1">_xll.DBRW(Server&amp;Cube1,$F$17,$F$18,$F$19,$F$16,$C$14,$F$15,$F$14,$F$20,O$2,O$1,$C278)</f>
        <v/>
      </c>
      <c r="P278" s="226"/>
      <c r="Q278" s="240" t="str">
        <f ca="1">IF(_xll.ELCOMPN(Server&amp;$C$24,C278)=0,"YES","NO")</f>
        <v>YES</v>
      </c>
      <c r="R278" s="241">
        <v>0</v>
      </c>
      <c r="S278" s="226"/>
      <c r="T278" s="227" t="str">
        <f ca="1">_xll.DBRW(Server&amp;Cube1,$F$17,$F$18,$F$19,$F$16,$C$14,$F$15,$F$14,$F$20,T$2,$T$1,$C278)</f>
        <v/>
      </c>
      <c r="U278" s="227" t="str">
        <f ca="1">_xll.DBRW(Server&amp;Cube1,$F$17,$F$18,$F$19,$F$16,$C$14,$F$15,$F$14,$F$20,U$2,$U$1,$C278)</f>
        <v/>
      </c>
      <c r="V278" s="227" t="str">
        <f ca="1">_xll.DBRW(Server&amp;Cube1,$F$17,$F$18,$F$19,$F$16,$C$14,$F$15,$F$14,$F$20,V$2,V$1,$C278)</f>
        <v/>
      </c>
      <c r="W278" s="227" t="str">
        <f ca="1">_xll.DBRW(Server&amp;Cube1,$F$17,$F$18,$F$19,$F$16,$C$14,$F$15,$F$14,$F$20,W$2,W$1,$C278)</f>
        <v/>
      </c>
      <c r="X278" s="227" t="str">
        <f ca="1">_xll.DBRW(Server&amp;Cube1,$F$17,$F$18,$F$19,$F$16,$C$14,$F$15,$F$14,$F$20,X$2,X$1,$C278)</f>
        <v/>
      </c>
      <c r="Y278" s="227" t="str">
        <f ca="1">_xll.DBRW(Server&amp;Cube1,$F$17,$F$18,$F$19,$F$16,$C$14,$F$15,$F$14,$F$20,Y$2,Y$1,$C278)</f>
        <v/>
      </c>
      <c r="Z278" s="241"/>
      <c r="AA278" s="241"/>
      <c r="AB278" s="241"/>
      <c r="AC278" s="241"/>
      <c r="AD278" s="241"/>
      <c r="AE278" s="241"/>
      <c r="AF278" s="221" t="str">
        <f ca="1">_xll.DBRW(Server&amp;Cube1,$F$17,$F$18,$F$19,$F$16,$C$14,$F$15,$F$14,$F$20,AF$2,$AF$1,$C278)</f>
        <v/>
      </c>
      <c r="AG278" s="53"/>
      <c r="AH278" s="53"/>
      <c r="AI278" s="53"/>
      <c r="AJ278" s="53"/>
      <c r="AK278" s="53"/>
      <c r="AL278" s="53"/>
      <c r="AM278" s="53"/>
      <c r="AN278" s="53"/>
      <c r="AO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:53" s="9" customFormat="1" ht="24" customHeight="1" x14ac:dyDescent="0.35">
      <c r="A279" s="181" t="e">
        <f ca="1">IF($AT$35="YES",1,IF(_xll.ELCOMPN(Server&amp;$C$24,C279)&lt;&gt;0,1,IF(OR(B279=$AZ$35,B279="ALL"),1,0)))</f>
        <v>#VALUE!</v>
      </c>
      <c r="B279" s="163" t="str">
        <f t="shared" si="12"/>
        <v>RD</v>
      </c>
      <c r="C279" s="158" t="s">
        <v>510</v>
      </c>
      <c r="E279" s="270" t="str">
        <f ca="1">_xll.DBRA(Server&amp;$C$24,$C279,$F$21)</f>
        <v>Note de Frais (RD)</v>
      </c>
      <c r="F279" s="270"/>
      <c r="G279" s="270"/>
      <c r="H279" s="40"/>
      <c r="I279" s="221" t="str">
        <f ca="1">_xll.DBRW(Server&amp;Cube1,$F$17,$F$18,$F$19,$F$16,$C$14,$F$15,$F$14,$F$20,I$2,I$1,$C279)</f>
        <v/>
      </c>
      <c r="J279" s="221" t="str">
        <f ca="1">_xll.DBRW(Server&amp;Cube1,$F$17,$F$18,$F$19,$F$16,$C$14,$F$15,$F$14,$F$20,J$2,J$1,$C279)</f>
        <v/>
      </c>
      <c r="K279" s="221" t="e">
        <f ca="1">_xll.DBRW(Server&amp;Cube1,$F$17,$F$18,$F$19,$F$16,$C$14,$F$15,$F$14,$F$20,I$2,I$1,$C279) -_xll.DBRW(Server&amp;Cube1,$F$17,$F$18,$F$19,$F$16,$C$14,$F$15,$F$14,$F$20,K$2,I$1,$C279)</f>
        <v>#VALUE!</v>
      </c>
      <c r="L279" s="221" t="e">
        <f t="shared" ca="1" si="11"/>
        <v>#VALUE!</v>
      </c>
      <c r="M279" s="221" t="e">
        <f t="shared" ca="1" si="10"/>
        <v>#VALUE!</v>
      </c>
      <c r="N279" s="226"/>
      <c r="O279" s="221" t="str">
        <f ca="1">_xll.DBRW(Server&amp;Cube1,$F$17,$F$18,$F$19,$F$16,$C$14,$F$15,$F$14,$F$20,O$2,O$1,$C279)</f>
        <v/>
      </c>
      <c r="P279" s="226"/>
      <c r="Q279" s="240" t="str">
        <f ca="1">IF(_xll.ELCOMPN(Server&amp;$C$24,C279)=0,"YES","NO")</f>
        <v>YES</v>
      </c>
      <c r="R279" s="241">
        <v>0</v>
      </c>
      <c r="S279" s="226"/>
      <c r="T279" s="227" t="str">
        <f ca="1">_xll.DBRW(Server&amp;Cube1,$F$17,$F$18,$F$19,$F$16,$C$14,$F$15,$F$14,$F$20,T$2,$T$1,$C279)</f>
        <v/>
      </c>
      <c r="U279" s="227" t="str">
        <f ca="1">_xll.DBRW(Server&amp;Cube1,$F$17,$F$18,$F$19,$F$16,$C$14,$F$15,$F$14,$F$20,U$2,$U$1,$C279)</f>
        <v/>
      </c>
      <c r="V279" s="227" t="str">
        <f ca="1">_xll.DBRW(Server&amp;Cube1,$F$17,$F$18,$F$19,$F$16,$C$14,$F$15,$F$14,$F$20,V$2,V$1,$C279)</f>
        <v/>
      </c>
      <c r="W279" s="227" t="str">
        <f ca="1">_xll.DBRW(Server&amp;Cube1,$F$17,$F$18,$F$19,$F$16,$C$14,$F$15,$F$14,$F$20,W$2,W$1,$C279)</f>
        <v/>
      </c>
      <c r="X279" s="227" t="str">
        <f ca="1">_xll.DBRW(Server&amp;Cube1,$F$17,$F$18,$F$19,$F$16,$C$14,$F$15,$F$14,$F$20,X$2,X$1,$C279)</f>
        <v/>
      </c>
      <c r="Y279" s="227" t="str">
        <f ca="1">_xll.DBRW(Server&amp;Cube1,$F$17,$F$18,$F$19,$F$16,$C$14,$F$15,$F$14,$F$20,Y$2,Y$1,$C279)</f>
        <v/>
      </c>
      <c r="Z279" s="241"/>
      <c r="AA279" s="241"/>
      <c r="AB279" s="241"/>
      <c r="AC279" s="241"/>
      <c r="AD279" s="241"/>
      <c r="AE279" s="241"/>
      <c r="AF279" s="221" t="str">
        <f ca="1">_xll.DBRW(Server&amp;Cube1,$F$17,$F$18,$F$19,$F$16,$C$14,$F$15,$F$14,$F$20,AF$2,$AF$1,$C279)</f>
        <v/>
      </c>
      <c r="AG279" s="53"/>
      <c r="AH279" s="53"/>
      <c r="AI279" s="53"/>
      <c r="AJ279" s="53"/>
      <c r="AK279" s="53"/>
      <c r="AL279" s="53"/>
      <c r="AM279" s="53"/>
      <c r="AN279" s="53"/>
      <c r="AO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:53" s="9" customFormat="1" ht="24" customHeight="1" x14ac:dyDescent="0.35">
      <c r="A280" s="181">
        <f ca="1">IF($AT$35="YES",1,IF(_xll.ELCOMPN(Server&amp;$C$24,C280)&lt;&gt;0,1,IF(OR(B280=$AZ$35,B280="ALL"),1,0)))</f>
        <v>1</v>
      </c>
      <c r="B280" s="163" t="e">
        <f t="shared" si="12"/>
        <v>#VALUE!</v>
      </c>
      <c r="C280" s="117" t="s">
        <v>109</v>
      </c>
      <c r="E280" s="272" t="str">
        <f ca="1">_xll.DBRA(Server&amp;$C$24,$C280,$F$21)</f>
        <v>Déplacements</v>
      </c>
      <c r="F280" s="272"/>
      <c r="G280" s="272"/>
      <c r="H280" s="40"/>
      <c r="I280" s="221" t="str">
        <f ca="1">_xll.DBRW(Server&amp;Cube1,$F$17,$F$18,$F$19,$F$16,$C$14,$F$15,$F$14,$F$20,I$2,I$1,$C280)</f>
        <v/>
      </c>
      <c r="J280" s="221" t="str">
        <f ca="1">_xll.DBRW(Server&amp;Cube1,$F$17,$F$18,$F$19,$F$16,$C$14,$F$15,$F$14,$F$20,J$2,J$1,$C280)</f>
        <v/>
      </c>
      <c r="K280" s="221" t="e">
        <f ca="1">_xll.DBRW(Server&amp;Cube1,$F$17,$F$18,$F$19,$F$16,$C$14,$F$15,$F$14,$F$20,I$2,I$1,$C280) -_xll.DBRW(Server&amp;Cube1,$F$17,$F$18,$F$19,$F$16,$C$14,$F$15,$F$14,$F$20,K$2,I$1,$C280)</f>
        <v>#VALUE!</v>
      </c>
      <c r="L280" s="221" t="e">
        <f t="shared" ca="1" si="11"/>
        <v>#VALUE!</v>
      </c>
      <c r="M280" s="221" t="e">
        <f t="shared" ca="1" si="10"/>
        <v>#VALUE!</v>
      </c>
      <c r="N280" s="226"/>
      <c r="O280" s="226" t="str">
        <f ca="1">_xll.DBRW(Server&amp;Cube1,$F$17,$F$18,$F$19,$F$16,$C$14,$F$15,$F$14,$F$20,O$2,O$1,$C280)</f>
        <v/>
      </c>
      <c r="P280" s="226"/>
      <c r="Q280" s="240" t="str">
        <f ca="1">IF(_xll.ELCOMPN(Server&amp;$C$24,C280)=0,"YES","NO")</f>
        <v>NO</v>
      </c>
      <c r="R280" s="226"/>
      <c r="S280" s="226"/>
      <c r="T280" s="232" t="str">
        <f ca="1">_xll.DBRW(Server&amp;Cube1,$F$17,$F$18,$F$19,$F$16,$C$14,$F$15,$F$14,$F$20,T$2,$T$1,$C280)</f>
        <v/>
      </c>
      <c r="U280" s="232" t="str">
        <f ca="1">_xll.DBRW(Server&amp;Cube1,$F$17,$F$18,$F$19,$F$16,$C$14,$F$15,$F$14,$F$20,U$2,$U$1,$C280)</f>
        <v/>
      </c>
      <c r="V280" s="232" t="str">
        <f ca="1">_xll.DBRW(Server&amp;Cube1,$F$17,$F$18,$F$19,$F$16,$C$14,$F$15,$F$14,$F$20,V$2,V$1,$C280)</f>
        <v/>
      </c>
      <c r="W280" s="232" t="str">
        <f ca="1">_xll.DBRW(Server&amp;Cube1,$F$17,$F$18,$F$19,$F$16,$C$14,$F$15,$F$14,$F$20,W$2,W$1,$C280)</f>
        <v/>
      </c>
      <c r="X280" s="226" t="str">
        <f ca="1">_xll.DBRW(Server&amp;Cube1,$F$17,$F$18,$F$19,$F$16,$C$14,$F$15,$F$14,$F$20,X$2,X$1,$C280)</f>
        <v/>
      </c>
      <c r="Y280" s="226" t="str">
        <f ca="1">_xll.DBRW(Server&amp;Cube1,$F$17,$F$18,$F$19,$F$16,$C$14,$F$15,$F$14,$F$20,Y$2,Y$1,$C280)</f>
        <v/>
      </c>
      <c r="Z280" s="226" t="str">
        <f ca="1">_xll.DBRW(Server&amp;Cube1,$F$17,$F$18,$F$19,$F$16,$C$14,$F$15,$F$14,$F$20,Z$2,Z$1,$C280)</f>
        <v/>
      </c>
      <c r="AA280" s="226" t="str">
        <f ca="1">_xll.DBRW(Server&amp;Cube1,$F$17,$F$18,$F$19,$F$16,$C$14,$F$15,$F$14,$F$20,AA$2,AA$1,$C280)</f>
        <v/>
      </c>
      <c r="AB280" s="226" t="str">
        <f ca="1">_xll.DBRW(Server&amp;Cube1,$F$17,$F$18,$F$19,$F$16,$C$14,$F$15,$F$14,$F$20,AB$2,AB$1,$C280)</f>
        <v/>
      </c>
      <c r="AC280" s="226" t="str">
        <f ca="1">_xll.DBRW(Server&amp;Cube1,$F$17,$F$18,$F$19,$F$16,$C$14,$F$15,$F$14,$F$20,AC$2,AC$1,$C280)</f>
        <v/>
      </c>
      <c r="AD280" s="226" t="str">
        <f ca="1">_xll.DBRW(Server&amp;Cube1,$F$17,$F$18,$F$19,$F$16,$C$14,$F$15,$F$14,$F$20,AD$2,AD$1,$C280)</f>
        <v/>
      </c>
      <c r="AE280" s="226" t="str">
        <f ca="1">_xll.DBRW(Server&amp;Cube1,$F$17,$F$18,$F$19,$F$16,$C$14,$F$15,$F$14,$F$20,AE$2,AE$1,$C280)</f>
        <v/>
      </c>
      <c r="AF280" s="226" t="str">
        <f ca="1">_xll.DBRW(Server&amp;Cube1,$F$17,$F$18,$F$19,$F$16,$C$14,$F$15,$F$14,$F$20,AF$2,$AF$1,$C280)</f>
        <v/>
      </c>
      <c r="AG280" s="53"/>
      <c r="AH280" s="53"/>
      <c r="AI280" s="53"/>
      <c r="AJ280" s="53"/>
      <c r="AK280" s="53"/>
      <c r="AL280" s="53"/>
      <c r="AM280" s="53"/>
      <c r="AN280" s="53"/>
      <c r="AO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:53" s="9" customFormat="1" ht="24" customHeight="1" x14ac:dyDescent="0.35">
      <c r="A281" s="181" t="e">
        <f ca="1">IF($AT$35="YES",1,IF(_xll.ELCOMPN(Server&amp;$C$24,C281)&lt;&gt;0,1,IF(OR(B281=$AZ$35,B281="ALL"),1,0)))</f>
        <v>#VALUE!</v>
      </c>
      <c r="B281" s="163" t="str">
        <f t="shared" si="12"/>
        <v>DS</v>
      </c>
      <c r="C281" s="158" t="s">
        <v>511</v>
      </c>
      <c r="E281" s="270" t="str">
        <f ca="1">_xll.DBRA(Server&amp;$C$24,$C281,$F$21)</f>
        <v>Voyages (SO)</v>
      </c>
      <c r="F281" s="270"/>
      <c r="G281" s="270"/>
      <c r="H281" s="40"/>
      <c r="I281" s="221" t="str">
        <f ca="1">_xll.DBRW(Server&amp;Cube1,$F$17,$F$18,$F$19,$F$16,$C$14,$F$15,$F$14,$F$20,I$2,I$1,$C281)</f>
        <v/>
      </c>
      <c r="J281" s="221" t="str">
        <f ca="1">_xll.DBRW(Server&amp;Cube1,$F$17,$F$18,$F$19,$F$16,$C$14,$F$15,$F$14,$F$20,J$2,J$1,$C281)</f>
        <v/>
      </c>
      <c r="K281" s="221" t="e">
        <f ca="1">_xll.DBRW(Server&amp;Cube1,$F$17,$F$18,$F$19,$F$16,$C$14,$F$15,$F$14,$F$20,I$2,I$1,$C281) -_xll.DBRW(Server&amp;Cube1,$F$17,$F$18,$F$19,$F$16,$C$14,$F$15,$F$14,$F$20,K$2,I$1,$C281)</f>
        <v>#VALUE!</v>
      </c>
      <c r="L281" s="221" t="e">
        <f t="shared" ca="1" si="11"/>
        <v>#VALUE!</v>
      </c>
      <c r="M281" s="221" t="e">
        <f t="shared" ca="1" si="10"/>
        <v>#VALUE!</v>
      </c>
      <c r="N281" s="226"/>
      <c r="O281" s="221" t="str">
        <f ca="1">_xll.DBRW(Server&amp;Cube1,$F$17,$F$18,$F$19,$F$16,$C$14,$F$15,$F$14,$F$20,O$2,O$1,$C281)</f>
        <v/>
      </c>
      <c r="P281" s="226"/>
      <c r="Q281" s="240" t="str">
        <f ca="1">IF(_xll.ELCOMPN(Server&amp;$C$24,C281)=0,"YES","NO")</f>
        <v>YES</v>
      </c>
      <c r="R281" s="241">
        <v>0</v>
      </c>
      <c r="S281" s="226"/>
      <c r="T281" s="227" t="str">
        <f ca="1">_xll.DBRW(Server&amp;Cube1,$F$17,$F$18,$F$19,$F$16,$C$14,$F$15,$F$14,$F$20,T$2,$T$1,$C281)</f>
        <v/>
      </c>
      <c r="U281" s="227" t="str">
        <f ca="1">_xll.DBRW(Server&amp;Cube1,$F$17,$F$18,$F$19,$F$16,$C$14,$F$15,$F$14,$F$20,U$2,$U$1,$C281)</f>
        <v/>
      </c>
      <c r="V281" s="227" t="str">
        <f ca="1">_xll.DBRW(Server&amp;Cube1,$F$17,$F$18,$F$19,$F$16,$C$14,$F$15,$F$14,$F$20,V$2,V$1,$C281)</f>
        <v/>
      </c>
      <c r="W281" s="227" t="str">
        <f ca="1">_xll.DBRW(Server&amp;Cube1,$F$17,$F$18,$F$19,$F$16,$C$14,$F$15,$F$14,$F$20,W$2,W$1,$C281)</f>
        <v/>
      </c>
      <c r="X281" s="227" t="str">
        <f ca="1">_xll.DBRW(Server&amp;Cube1,$F$17,$F$18,$F$19,$F$16,$C$14,$F$15,$F$14,$F$20,X$2,X$1,$C281)</f>
        <v/>
      </c>
      <c r="Y281" s="227" t="str">
        <f ca="1">_xll.DBRW(Server&amp;Cube1,$F$17,$F$18,$F$19,$F$16,$C$14,$F$15,$F$14,$F$20,Y$2,Y$1,$C281)</f>
        <v/>
      </c>
      <c r="Z281" s="241"/>
      <c r="AA281" s="241"/>
      <c r="AB281" s="241"/>
      <c r="AC281" s="241"/>
      <c r="AD281" s="241"/>
      <c r="AE281" s="241"/>
      <c r="AF281" s="221" t="str">
        <f ca="1">_xll.DBRW(Server&amp;Cube1,$F$17,$F$18,$F$19,$F$16,$C$14,$F$15,$F$14,$F$20,AF$2,$AF$1,$C281)</f>
        <v/>
      </c>
      <c r="AG281" s="53"/>
      <c r="AH281" s="53"/>
      <c r="AI281" s="53"/>
      <c r="AJ281" s="53"/>
      <c r="AK281" s="53"/>
      <c r="AL281" s="53"/>
      <c r="AM281" s="53"/>
      <c r="AN281" s="53"/>
      <c r="AO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:53" s="9" customFormat="1" ht="24" customHeight="1" x14ac:dyDescent="0.35">
      <c r="A282" s="181" t="e">
        <f ca="1">IF($AT$35="YES",1,IF(_xll.ELCOMPN(Server&amp;$C$24,C282)&lt;&gt;0,1,IF(OR(B282=$AZ$35,B282="ALL"),1,0)))</f>
        <v>#VALUE!</v>
      </c>
      <c r="B282" s="163" t="str">
        <f t="shared" si="12"/>
        <v>BD</v>
      </c>
      <c r="C282" s="158" t="s">
        <v>512</v>
      </c>
      <c r="E282" s="270" t="str">
        <f ca="1">_xll.DBRA(Server&amp;$C$24,$C282,$F$21)</f>
        <v>Voyages (DC)</v>
      </c>
      <c r="F282" s="270"/>
      <c r="G282" s="270"/>
      <c r="H282" s="40"/>
      <c r="I282" s="221" t="str">
        <f ca="1">_xll.DBRW(Server&amp;Cube1,$F$17,$F$18,$F$19,$F$16,$C$14,$F$15,$F$14,$F$20,I$2,I$1,$C282)</f>
        <v/>
      </c>
      <c r="J282" s="221" t="str">
        <f ca="1">_xll.DBRW(Server&amp;Cube1,$F$17,$F$18,$F$19,$F$16,$C$14,$F$15,$F$14,$F$20,J$2,J$1,$C282)</f>
        <v/>
      </c>
      <c r="K282" s="221" t="e">
        <f ca="1">_xll.DBRW(Server&amp;Cube1,$F$17,$F$18,$F$19,$F$16,$C$14,$F$15,$F$14,$F$20,I$2,I$1,$C282) -_xll.DBRW(Server&amp;Cube1,$F$17,$F$18,$F$19,$F$16,$C$14,$F$15,$F$14,$F$20,K$2,I$1,$C282)</f>
        <v>#VALUE!</v>
      </c>
      <c r="L282" s="221" t="e">
        <f t="shared" ca="1" si="11"/>
        <v>#VALUE!</v>
      </c>
      <c r="M282" s="221" t="e">
        <f t="shared" ref="M282:M345" ca="1" si="13">$L282-$I282</f>
        <v>#VALUE!</v>
      </c>
      <c r="N282" s="226"/>
      <c r="O282" s="221" t="str">
        <f ca="1">_xll.DBRW(Server&amp;Cube1,$F$17,$F$18,$F$19,$F$16,$C$14,$F$15,$F$14,$F$20,O$2,O$1,$C282)</f>
        <v/>
      </c>
      <c r="P282" s="226"/>
      <c r="Q282" s="240" t="str">
        <f ca="1">IF(_xll.ELCOMPN(Server&amp;$C$24,C282)=0,"YES","NO")</f>
        <v>YES</v>
      </c>
      <c r="R282" s="241">
        <v>0</v>
      </c>
      <c r="S282" s="226"/>
      <c r="T282" s="227" t="str">
        <f ca="1">_xll.DBRW(Server&amp;Cube1,$F$17,$F$18,$F$19,$F$16,$C$14,$F$15,$F$14,$F$20,T$2,$T$1,$C282)</f>
        <v/>
      </c>
      <c r="U282" s="227" t="str">
        <f ca="1">_xll.DBRW(Server&amp;Cube1,$F$17,$F$18,$F$19,$F$16,$C$14,$F$15,$F$14,$F$20,U$2,$U$1,$C282)</f>
        <v/>
      </c>
      <c r="V282" s="227" t="str">
        <f ca="1">_xll.DBRW(Server&amp;Cube1,$F$17,$F$18,$F$19,$F$16,$C$14,$F$15,$F$14,$F$20,V$2,V$1,$C282)</f>
        <v/>
      </c>
      <c r="W282" s="227" t="str">
        <f ca="1">_xll.DBRW(Server&amp;Cube1,$F$17,$F$18,$F$19,$F$16,$C$14,$F$15,$F$14,$F$20,W$2,W$1,$C282)</f>
        <v/>
      </c>
      <c r="X282" s="227" t="str">
        <f ca="1">_xll.DBRW(Server&amp;Cube1,$F$17,$F$18,$F$19,$F$16,$C$14,$F$15,$F$14,$F$20,X$2,X$1,$C282)</f>
        <v/>
      </c>
      <c r="Y282" s="227" t="str">
        <f ca="1">_xll.DBRW(Server&amp;Cube1,$F$17,$F$18,$F$19,$F$16,$C$14,$F$15,$F$14,$F$20,Y$2,Y$1,$C282)</f>
        <v/>
      </c>
      <c r="Z282" s="241"/>
      <c r="AA282" s="241"/>
      <c r="AB282" s="241"/>
      <c r="AC282" s="241"/>
      <c r="AD282" s="241"/>
      <c r="AE282" s="241"/>
      <c r="AF282" s="221" t="str">
        <f ca="1">_xll.DBRW(Server&amp;Cube1,$F$17,$F$18,$F$19,$F$16,$C$14,$F$15,$F$14,$F$20,AF$2,$AF$1,$C282)</f>
        <v/>
      </c>
      <c r="AG282" s="53"/>
      <c r="AH282" s="53"/>
      <c r="AI282" s="53"/>
      <c r="AJ282" s="53"/>
      <c r="AK282" s="53"/>
      <c r="AL282" s="53"/>
      <c r="AM282" s="53"/>
      <c r="AN282" s="53"/>
      <c r="AO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:53" s="9" customFormat="1" ht="24" customHeight="1" x14ac:dyDescent="0.35">
      <c r="A283" s="181" t="e">
        <f ca="1">IF($AT$35="YES",1,IF(_xll.ELCOMPN(Server&amp;$C$24,C283)&lt;&gt;0,1,IF(OR(B283=$AZ$35,B283="ALL"),1,0)))</f>
        <v>#VALUE!</v>
      </c>
      <c r="B283" s="163" t="str">
        <f t="shared" si="12"/>
        <v>FI</v>
      </c>
      <c r="C283" s="158" t="s">
        <v>513</v>
      </c>
      <c r="E283" s="270" t="str">
        <f ca="1">_xll.DBRA(Server&amp;$C$24,$C283,$F$21)</f>
        <v>Voyages (DF)</v>
      </c>
      <c r="F283" s="270"/>
      <c r="G283" s="270"/>
      <c r="H283" s="40"/>
      <c r="I283" s="221" t="str">
        <f ca="1">_xll.DBRW(Server&amp;Cube1,$F$17,$F$18,$F$19,$F$16,$C$14,$F$15,$F$14,$F$20,I$2,I$1,$C283)</f>
        <v/>
      </c>
      <c r="J283" s="221" t="str">
        <f ca="1">_xll.DBRW(Server&amp;Cube1,$F$17,$F$18,$F$19,$F$16,$C$14,$F$15,$F$14,$F$20,J$2,J$1,$C283)</f>
        <v/>
      </c>
      <c r="K283" s="221" t="e">
        <f ca="1">_xll.DBRW(Server&amp;Cube1,$F$17,$F$18,$F$19,$F$16,$C$14,$F$15,$F$14,$F$20,I$2,I$1,$C283) -_xll.DBRW(Server&amp;Cube1,$F$17,$F$18,$F$19,$F$16,$C$14,$F$15,$F$14,$F$20,K$2,I$1,$C283)</f>
        <v>#VALUE!</v>
      </c>
      <c r="L283" s="221" t="e">
        <f t="shared" ca="1" si="11"/>
        <v>#VALUE!</v>
      </c>
      <c r="M283" s="221" t="e">
        <f t="shared" ca="1" si="13"/>
        <v>#VALUE!</v>
      </c>
      <c r="N283" s="226"/>
      <c r="O283" s="221" t="str">
        <f ca="1">_xll.DBRW(Server&amp;Cube1,$F$17,$F$18,$F$19,$F$16,$C$14,$F$15,$F$14,$F$20,O$2,O$1,$C283)</f>
        <v/>
      </c>
      <c r="P283" s="226"/>
      <c r="Q283" s="240" t="str">
        <f ca="1">IF(_xll.ELCOMPN(Server&amp;$C$24,C283)=0,"YES","NO")</f>
        <v>YES</v>
      </c>
      <c r="R283" s="241">
        <v>0</v>
      </c>
      <c r="S283" s="226"/>
      <c r="T283" s="227" t="str">
        <f ca="1">_xll.DBRW(Server&amp;Cube1,$F$17,$F$18,$F$19,$F$16,$C$14,$F$15,$F$14,$F$20,T$2,$T$1,$C283)</f>
        <v/>
      </c>
      <c r="U283" s="227" t="str">
        <f ca="1">_xll.DBRW(Server&amp;Cube1,$F$17,$F$18,$F$19,$F$16,$C$14,$F$15,$F$14,$F$20,U$2,$U$1,$C283)</f>
        <v/>
      </c>
      <c r="V283" s="227" t="str">
        <f ca="1">_xll.DBRW(Server&amp;Cube1,$F$17,$F$18,$F$19,$F$16,$C$14,$F$15,$F$14,$F$20,V$2,V$1,$C283)</f>
        <v/>
      </c>
      <c r="W283" s="227" t="str">
        <f ca="1">_xll.DBRW(Server&amp;Cube1,$F$17,$F$18,$F$19,$F$16,$C$14,$F$15,$F$14,$F$20,W$2,W$1,$C283)</f>
        <v/>
      </c>
      <c r="X283" s="227" t="str">
        <f ca="1">_xll.DBRW(Server&amp;Cube1,$F$17,$F$18,$F$19,$F$16,$C$14,$F$15,$F$14,$F$20,X$2,X$1,$C283)</f>
        <v/>
      </c>
      <c r="Y283" s="227" t="str">
        <f ca="1">_xll.DBRW(Server&amp;Cube1,$F$17,$F$18,$F$19,$F$16,$C$14,$F$15,$F$14,$F$20,Y$2,Y$1,$C283)</f>
        <v/>
      </c>
      <c r="Z283" s="241"/>
      <c r="AA283" s="241"/>
      <c r="AB283" s="241"/>
      <c r="AC283" s="241"/>
      <c r="AD283" s="241"/>
      <c r="AE283" s="241"/>
      <c r="AF283" s="221" t="str">
        <f ca="1">_xll.DBRW(Server&amp;Cube1,$F$17,$F$18,$F$19,$F$16,$C$14,$F$15,$F$14,$F$20,AF$2,$AF$1,$C283)</f>
        <v/>
      </c>
      <c r="AG283" s="53"/>
      <c r="AH283" s="53"/>
      <c r="AI283" s="53"/>
      <c r="AJ283" s="53"/>
      <c r="AK283" s="53"/>
      <c r="AL283" s="53"/>
      <c r="AM283" s="53"/>
      <c r="AN283" s="53"/>
      <c r="AO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:53" s="9" customFormat="1" ht="24" customHeight="1" x14ac:dyDescent="0.35">
      <c r="A284" s="181" t="e">
        <f ca="1">IF($AT$35="YES",1,IF(_xll.ELCOMPN(Server&amp;$C$24,C284)&lt;&gt;0,1,IF(OR(B284=$AZ$35,B284="ALL"),1,0)))</f>
        <v>#VALUE!</v>
      </c>
      <c r="B284" s="163" t="str">
        <f t="shared" si="12"/>
        <v>IT</v>
      </c>
      <c r="C284" s="158" t="s">
        <v>514</v>
      </c>
      <c r="E284" s="270" t="str">
        <f ca="1">_xll.DBRA(Server&amp;$C$24,$C284,$F$21)</f>
        <v>Voyages (IT)</v>
      </c>
      <c r="F284" s="270"/>
      <c r="G284" s="270"/>
      <c r="H284" s="40"/>
      <c r="I284" s="221" t="str">
        <f ca="1">_xll.DBRW(Server&amp;Cube1,$F$17,$F$18,$F$19,$F$16,$C$14,$F$15,$F$14,$F$20,I$2,I$1,$C284)</f>
        <v/>
      </c>
      <c r="J284" s="221" t="str">
        <f ca="1">_xll.DBRW(Server&amp;Cube1,$F$17,$F$18,$F$19,$F$16,$C$14,$F$15,$F$14,$F$20,J$2,J$1,$C284)</f>
        <v/>
      </c>
      <c r="K284" s="221" t="e">
        <f ca="1">_xll.DBRW(Server&amp;Cube1,$F$17,$F$18,$F$19,$F$16,$C$14,$F$15,$F$14,$F$20,I$2,I$1,$C284) -_xll.DBRW(Server&amp;Cube1,$F$17,$F$18,$F$19,$F$16,$C$14,$F$15,$F$14,$F$20,K$2,I$1,$C284)</f>
        <v>#VALUE!</v>
      </c>
      <c r="L284" s="221" t="e">
        <f t="shared" ca="1" si="11"/>
        <v>#VALUE!</v>
      </c>
      <c r="M284" s="221" t="e">
        <f t="shared" ca="1" si="13"/>
        <v>#VALUE!</v>
      </c>
      <c r="N284" s="226"/>
      <c r="O284" s="221" t="str">
        <f ca="1">_xll.DBRW(Server&amp;Cube1,$F$17,$F$18,$F$19,$F$16,$C$14,$F$15,$F$14,$F$20,O$2,O$1,$C284)</f>
        <v/>
      </c>
      <c r="P284" s="226"/>
      <c r="Q284" s="240" t="str">
        <f ca="1">IF(_xll.ELCOMPN(Server&amp;$C$24,C284)=0,"YES","NO")</f>
        <v>YES</v>
      </c>
      <c r="R284" s="241">
        <v>0</v>
      </c>
      <c r="S284" s="226"/>
      <c r="T284" s="227" t="str">
        <f ca="1">_xll.DBRW(Server&amp;Cube1,$F$17,$F$18,$F$19,$F$16,$C$14,$F$15,$F$14,$F$20,T$2,$T$1,$C284)</f>
        <v/>
      </c>
      <c r="U284" s="227" t="str">
        <f ca="1">_xll.DBRW(Server&amp;Cube1,$F$17,$F$18,$F$19,$F$16,$C$14,$F$15,$F$14,$F$20,U$2,$U$1,$C284)</f>
        <v/>
      </c>
      <c r="V284" s="227" t="str">
        <f ca="1">_xll.DBRW(Server&amp;Cube1,$F$17,$F$18,$F$19,$F$16,$C$14,$F$15,$F$14,$F$20,V$2,V$1,$C284)</f>
        <v/>
      </c>
      <c r="W284" s="227" t="str">
        <f ca="1">_xll.DBRW(Server&amp;Cube1,$F$17,$F$18,$F$19,$F$16,$C$14,$F$15,$F$14,$F$20,W$2,W$1,$C284)</f>
        <v/>
      </c>
      <c r="X284" s="227" t="str">
        <f ca="1">_xll.DBRW(Server&amp;Cube1,$F$17,$F$18,$F$19,$F$16,$C$14,$F$15,$F$14,$F$20,X$2,X$1,$C284)</f>
        <v/>
      </c>
      <c r="Y284" s="227" t="str">
        <f ca="1">_xll.DBRW(Server&amp;Cube1,$F$17,$F$18,$F$19,$F$16,$C$14,$F$15,$F$14,$F$20,Y$2,Y$1,$C284)</f>
        <v/>
      </c>
      <c r="Z284" s="241"/>
      <c r="AA284" s="241"/>
      <c r="AB284" s="241"/>
      <c r="AC284" s="241"/>
      <c r="AD284" s="241"/>
      <c r="AE284" s="241"/>
      <c r="AF284" s="221" t="str">
        <f ca="1">_xll.DBRW(Server&amp;Cube1,$F$17,$F$18,$F$19,$F$16,$C$14,$F$15,$F$14,$F$20,AF$2,$AF$1,$C284)</f>
        <v/>
      </c>
      <c r="AG284" s="53"/>
      <c r="AH284" s="53"/>
      <c r="AI284" s="53"/>
      <c r="AJ284" s="53"/>
      <c r="AK284" s="53"/>
      <c r="AL284" s="53"/>
      <c r="AM284" s="53"/>
      <c r="AN284" s="53"/>
      <c r="AO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:53" s="9" customFormat="1" ht="24" customHeight="1" x14ac:dyDescent="0.35">
      <c r="A285" s="181" t="e">
        <f ca="1">IF($AT$35="YES",1,IF(_xll.ELCOMPN(Server&amp;$C$24,C285)&lt;&gt;0,1,IF(OR(B285=$AZ$35,B285="ALL"),1,0)))</f>
        <v>#VALUE!</v>
      </c>
      <c r="B285" s="163" t="str">
        <f t="shared" si="12"/>
        <v>HR</v>
      </c>
      <c r="C285" s="158" t="s">
        <v>515</v>
      </c>
      <c r="E285" s="270" t="str">
        <f ca="1">_xll.DBRA(Server&amp;$C$24,$C285,$F$21)</f>
        <v>Voyages (RH)</v>
      </c>
      <c r="F285" s="270"/>
      <c r="G285" s="270"/>
      <c r="H285" s="40"/>
      <c r="I285" s="221" t="str">
        <f ca="1">_xll.DBRW(Server&amp;Cube1,$F$17,$F$18,$F$19,$F$16,$C$14,$F$15,$F$14,$F$20,I$2,I$1,$C285)</f>
        <v/>
      </c>
      <c r="J285" s="221" t="str">
        <f ca="1">_xll.DBRW(Server&amp;Cube1,$F$17,$F$18,$F$19,$F$16,$C$14,$F$15,$F$14,$F$20,J$2,J$1,$C285)</f>
        <v/>
      </c>
      <c r="K285" s="221" t="e">
        <f ca="1">_xll.DBRW(Server&amp;Cube1,$F$17,$F$18,$F$19,$F$16,$C$14,$F$15,$F$14,$F$20,I$2,I$1,$C285) -_xll.DBRW(Server&amp;Cube1,$F$17,$F$18,$F$19,$F$16,$C$14,$F$15,$F$14,$F$20,K$2,I$1,$C285)</f>
        <v>#VALUE!</v>
      </c>
      <c r="L285" s="221" t="e">
        <f t="shared" ca="1" si="11"/>
        <v>#VALUE!</v>
      </c>
      <c r="M285" s="221" t="e">
        <f t="shared" ca="1" si="13"/>
        <v>#VALUE!</v>
      </c>
      <c r="N285" s="226"/>
      <c r="O285" s="221" t="str">
        <f ca="1">_xll.DBRW(Server&amp;Cube1,$F$17,$F$18,$F$19,$F$16,$C$14,$F$15,$F$14,$F$20,O$2,O$1,$C285)</f>
        <v/>
      </c>
      <c r="P285" s="226"/>
      <c r="Q285" s="240" t="str">
        <f ca="1">IF(_xll.ELCOMPN(Server&amp;$C$24,C285)=0,"YES","NO")</f>
        <v>YES</v>
      </c>
      <c r="R285" s="241">
        <v>0</v>
      </c>
      <c r="S285" s="226"/>
      <c r="T285" s="227" t="str">
        <f ca="1">_xll.DBRW(Server&amp;Cube1,$F$17,$F$18,$F$19,$F$16,$C$14,$F$15,$F$14,$F$20,T$2,$T$1,$C285)</f>
        <v/>
      </c>
      <c r="U285" s="227" t="str">
        <f ca="1">_xll.DBRW(Server&amp;Cube1,$F$17,$F$18,$F$19,$F$16,$C$14,$F$15,$F$14,$F$20,U$2,$U$1,$C285)</f>
        <v/>
      </c>
      <c r="V285" s="227" t="str">
        <f ca="1">_xll.DBRW(Server&amp;Cube1,$F$17,$F$18,$F$19,$F$16,$C$14,$F$15,$F$14,$F$20,V$2,V$1,$C285)</f>
        <v/>
      </c>
      <c r="W285" s="227" t="str">
        <f ca="1">_xll.DBRW(Server&amp;Cube1,$F$17,$F$18,$F$19,$F$16,$C$14,$F$15,$F$14,$F$20,W$2,W$1,$C285)</f>
        <v/>
      </c>
      <c r="X285" s="227" t="str">
        <f ca="1">_xll.DBRW(Server&amp;Cube1,$F$17,$F$18,$F$19,$F$16,$C$14,$F$15,$F$14,$F$20,X$2,X$1,$C285)</f>
        <v/>
      </c>
      <c r="Y285" s="227" t="str">
        <f ca="1">_xll.DBRW(Server&amp;Cube1,$F$17,$F$18,$F$19,$F$16,$C$14,$F$15,$F$14,$F$20,Y$2,Y$1,$C285)</f>
        <v/>
      </c>
      <c r="Z285" s="241"/>
      <c r="AA285" s="241"/>
      <c r="AB285" s="241"/>
      <c r="AC285" s="241"/>
      <c r="AD285" s="241"/>
      <c r="AE285" s="241"/>
      <c r="AF285" s="221" t="str">
        <f ca="1">_xll.DBRW(Server&amp;Cube1,$F$17,$F$18,$F$19,$F$16,$C$14,$F$15,$F$14,$F$20,AF$2,$AF$1,$C285)</f>
        <v/>
      </c>
      <c r="AG285" s="53"/>
      <c r="AH285" s="53"/>
      <c r="AI285" s="53"/>
      <c r="AJ285" s="53"/>
      <c r="AK285" s="53"/>
      <c r="AL285" s="53"/>
      <c r="AM285" s="53"/>
      <c r="AN285" s="53"/>
      <c r="AO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:53" s="9" customFormat="1" ht="24" customHeight="1" x14ac:dyDescent="0.35">
      <c r="A286" s="181" t="e">
        <f ca="1">IF($AT$35="YES",1,IF(_xll.ELCOMPN(Server&amp;$C$24,C286)&lt;&gt;0,1,IF(OR(B286=$AZ$35,B286="ALL"),1,0)))</f>
        <v>#VALUE!</v>
      </c>
      <c r="B286" s="163" t="str">
        <f t="shared" si="12"/>
        <v>GM</v>
      </c>
      <c r="C286" s="158" t="s">
        <v>516</v>
      </c>
      <c r="E286" s="270" t="str">
        <f ca="1">_xll.DBRA(Server&amp;$C$24,$C286,$F$21)</f>
        <v>Voyages (DG)</v>
      </c>
      <c r="F286" s="270"/>
      <c r="G286" s="270"/>
      <c r="H286" s="40"/>
      <c r="I286" s="221" t="str">
        <f ca="1">_xll.DBRW(Server&amp;Cube1,$F$17,$F$18,$F$19,$F$16,$C$14,$F$15,$F$14,$F$20,I$2,I$1,$C286)</f>
        <v/>
      </c>
      <c r="J286" s="221" t="str">
        <f ca="1">_xll.DBRW(Server&amp;Cube1,$F$17,$F$18,$F$19,$F$16,$C$14,$F$15,$F$14,$F$20,J$2,J$1,$C286)</f>
        <v/>
      </c>
      <c r="K286" s="221" t="e">
        <f ca="1">_xll.DBRW(Server&amp;Cube1,$F$17,$F$18,$F$19,$F$16,$C$14,$F$15,$F$14,$F$20,I$2,I$1,$C286) -_xll.DBRW(Server&amp;Cube1,$F$17,$F$18,$F$19,$F$16,$C$14,$F$15,$F$14,$F$20,K$2,I$1,$C286)</f>
        <v>#VALUE!</v>
      </c>
      <c r="L286" s="221" t="e">
        <f t="shared" ca="1" si="11"/>
        <v>#VALUE!</v>
      </c>
      <c r="M286" s="221" t="e">
        <f t="shared" ca="1" si="13"/>
        <v>#VALUE!</v>
      </c>
      <c r="N286" s="226"/>
      <c r="O286" s="221" t="str">
        <f ca="1">_xll.DBRW(Server&amp;Cube1,$F$17,$F$18,$F$19,$F$16,$C$14,$F$15,$F$14,$F$20,O$2,O$1,$C286)</f>
        <v/>
      </c>
      <c r="P286" s="226"/>
      <c r="Q286" s="240" t="str">
        <f ca="1">IF(_xll.ELCOMPN(Server&amp;$C$24,C286)=0,"YES","NO")</f>
        <v>YES</v>
      </c>
      <c r="R286" s="241">
        <v>0</v>
      </c>
      <c r="S286" s="226"/>
      <c r="T286" s="227" t="str">
        <f ca="1">_xll.DBRW(Server&amp;Cube1,$F$17,$F$18,$F$19,$F$16,$C$14,$F$15,$F$14,$F$20,T$2,$T$1,$C286)</f>
        <v/>
      </c>
      <c r="U286" s="227" t="str">
        <f ca="1">_xll.DBRW(Server&amp;Cube1,$F$17,$F$18,$F$19,$F$16,$C$14,$F$15,$F$14,$F$20,U$2,$U$1,$C286)</f>
        <v/>
      </c>
      <c r="V286" s="227" t="str">
        <f ca="1">_xll.DBRW(Server&amp;Cube1,$F$17,$F$18,$F$19,$F$16,$C$14,$F$15,$F$14,$F$20,V$2,V$1,$C286)</f>
        <v/>
      </c>
      <c r="W286" s="227" t="str">
        <f ca="1">_xll.DBRW(Server&amp;Cube1,$F$17,$F$18,$F$19,$F$16,$C$14,$F$15,$F$14,$F$20,W$2,W$1,$C286)</f>
        <v/>
      </c>
      <c r="X286" s="227" t="str">
        <f ca="1">_xll.DBRW(Server&amp;Cube1,$F$17,$F$18,$F$19,$F$16,$C$14,$F$15,$F$14,$F$20,X$2,X$1,$C286)</f>
        <v/>
      </c>
      <c r="Y286" s="227" t="str">
        <f ca="1">_xll.DBRW(Server&amp;Cube1,$F$17,$F$18,$F$19,$F$16,$C$14,$F$15,$F$14,$F$20,Y$2,Y$1,$C286)</f>
        <v/>
      </c>
      <c r="Z286" s="241"/>
      <c r="AA286" s="241"/>
      <c r="AB286" s="241"/>
      <c r="AC286" s="241"/>
      <c r="AD286" s="241"/>
      <c r="AE286" s="241"/>
      <c r="AF286" s="221" t="str">
        <f ca="1">_xll.DBRW(Server&amp;Cube1,$F$17,$F$18,$F$19,$F$16,$C$14,$F$15,$F$14,$F$20,AF$2,$AF$1,$C286)</f>
        <v/>
      </c>
      <c r="AG286" s="53"/>
      <c r="AH286" s="53"/>
      <c r="AI286" s="53"/>
      <c r="AJ286" s="53"/>
      <c r="AK286" s="53"/>
      <c r="AL286" s="53"/>
      <c r="AM286" s="53"/>
      <c r="AN286" s="53"/>
      <c r="AO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:53" s="9" customFormat="1" ht="24" customHeight="1" x14ac:dyDescent="0.35">
      <c r="A287" s="181" t="e">
        <f ca="1">IF($AT$35="YES",1,IF(_xll.ELCOMPN(Server&amp;$C$24,C287)&lt;&gt;0,1,IF(OR(B287=$AZ$35,B287="ALL"),1,0)))</f>
        <v>#VALUE!</v>
      </c>
      <c r="B287" s="163" t="str">
        <f t="shared" si="12"/>
        <v>IA</v>
      </c>
      <c r="C287" s="158" t="s">
        <v>517</v>
      </c>
      <c r="E287" s="270" t="str">
        <f ca="1">_xll.DBRA(Server&amp;$C$24,$C287,$F$21)</f>
        <v>Voyages (AI)</v>
      </c>
      <c r="F287" s="270"/>
      <c r="G287" s="270"/>
      <c r="H287" s="40"/>
      <c r="I287" s="221" t="str">
        <f ca="1">_xll.DBRW(Server&amp;Cube1,$F$17,$F$18,$F$19,$F$16,$C$14,$F$15,$F$14,$F$20,I$2,I$1,$C287)</f>
        <v/>
      </c>
      <c r="J287" s="221" t="str">
        <f ca="1">_xll.DBRW(Server&amp;Cube1,$F$17,$F$18,$F$19,$F$16,$C$14,$F$15,$F$14,$F$20,J$2,J$1,$C287)</f>
        <v/>
      </c>
      <c r="K287" s="221" t="e">
        <f ca="1">_xll.DBRW(Server&amp;Cube1,$F$17,$F$18,$F$19,$F$16,$C$14,$F$15,$F$14,$F$20,I$2,I$1,$C287) -_xll.DBRW(Server&amp;Cube1,$F$17,$F$18,$F$19,$F$16,$C$14,$F$15,$F$14,$F$20,K$2,I$1,$C287)</f>
        <v>#VALUE!</v>
      </c>
      <c r="L287" s="221" t="e">
        <f t="shared" ca="1" si="11"/>
        <v>#VALUE!</v>
      </c>
      <c r="M287" s="221" t="e">
        <f t="shared" ca="1" si="13"/>
        <v>#VALUE!</v>
      </c>
      <c r="N287" s="226"/>
      <c r="O287" s="221" t="str">
        <f ca="1">_xll.DBRW(Server&amp;Cube1,$F$17,$F$18,$F$19,$F$16,$C$14,$F$15,$F$14,$F$20,O$2,O$1,$C287)</f>
        <v/>
      </c>
      <c r="P287" s="226"/>
      <c r="Q287" s="240" t="str">
        <f ca="1">IF(_xll.ELCOMPN(Server&amp;$C$24,C287)=0,"YES","NO")</f>
        <v>YES</v>
      </c>
      <c r="R287" s="241">
        <v>0</v>
      </c>
      <c r="S287" s="226"/>
      <c r="T287" s="227" t="str">
        <f ca="1">_xll.DBRW(Server&amp;Cube1,$F$17,$F$18,$F$19,$F$16,$C$14,$F$15,$F$14,$F$20,T$2,$T$1,$C287)</f>
        <v/>
      </c>
      <c r="U287" s="227" t="str">
        <f ca="1">_xll.DBRW(Server&amp;Cube1,$F$17,$F$18,$F$19,$F$16,$C$14,$F$15,$F$14,$F$20,U$2,$U$1,$C287)</f>
        <v/>
      </c>
      <c r="V287" s="227" t="str">
        <f ca="1">_xll.DBRW(Server&amp;Cube1,$F$17,$F$18,$F$19,$F$16,$C$14,$F$15,$F$14,$F$20,V$2,V$1,$C287)</f>
        <v/>
      </c>
      <c r="W287" s="227" t="str">
        <f ca="1">_xll.DBRW(Server&amp;Cube1,$F$17,$F$18,$F$19,$F$16,$C$14,$F$15,$F$14,$F$20,W$2,W$1,$C287)</f>
        <v/>
      </c>
      <c r="X287" s="227" t="str">
        <f ca="1">_xll.DBRW(Server&amp;Cube1,$F$17,$F$18,$F$19,$F$16,$C$14,$F$15,$F$14,$F$20,X$2,X$1,$C287)</f>
        <v/>
      </c>
      <c r="Y287" s="227" t="str">
        <f ca="1">_xll.DBRW(Server&amp;Cube1,$F$17,$F$18,$F$19,$F$16,$C$14,$F$15,$F$14,$F$20,Y$2,Y$1,$C287)</f>
        <v/>
      </c>
      <c r="Z287" s="241"/>
      <c r="AA287" s="241"/>
      <c r="AB287" s="241"/>
      <c r="AC287" s="241"/>
      <c r="AD287" s="241"/>
      <c r="AE287" s="241"/>
      <c r="AF287" s="221" t="str">
        <f ca="1">_xll.DBRW(Server&amp;Cube1,$F$17,$F$18,$F$19,$F$16,$C$14,$F$15,$F$14,$F$20,AF$2,$AF$1,$C287)</f>
        <v/>
      </c>
      <c r="AG287" s="53"/>
      <c r="AH287" s="53"/>
      <c r="AI287" s="53"/>
      <c r="AJ287" s="53"/>
      <c r="AK287" s="53"/>
      <c r="AL287" s="53"/>
      <c r="AM287" s="53"/>
      <c r="AN287" s="53"/>
      <c r="AO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:53" s="9" customFormat="1" ht="24" customHeight="1" x14ac:dyDescent="0.35">
      <c r="A288" s="181" t="e">
        <f ca="1">IF($AT$35="YES",1,IF(_xll.ELCOMPN(Server&amp;$C$24,C288)&lt;&gt;0,1,IF(OR(B288=$AZ$35,B288="ALL"),1,0)))</f>
        <v>#VALUE!</v>
      </c>
      <c r="B288" s="163" t="str">
        <f t="shared" si="12"/>
        <v>LE</v>
      </c>
      <c r="C288" s="158" t="s">
        <v>518</v>
      </c>
      <c r="E288" s="270" t="str">
        <f ca="1">_xll.DBRA(Server&amp;$C$24,$C288,$F$21)</f>
        <v>Voyages (JU)</v>
      </c>
      <c r="F288" s="270"/>
      <c r="G288" s="270"/>
      <c r="H288" s="40"/>
      <c r="I288" s="221" t="str">
        <f ca="1">_xll.DBRW(Server&amp;Cube1,$F$17,$F$18,$F$19,$F$16,$C$14,$F$15,$F$14,$F$20,I$2,I$1,$C288)</f>
        <v/>
      </c>
      <c r="J288" s="221" t="str">
        <f ca="1">_xll.DBRW(Server&amp;Cube1,$F$17,$F$18,$F$19,$F$16,$C$14,$F$15,$F$14,$F$20,J$2,J$1,$C288)</f>
        <v/>
      </c>
      <c r="K288" s="221" t="e">
        <f ca="1">_xll.DBRW(Server&amp;Cube1,$F$17,$F$18,$F$19,$F$16,$C$14,$F$15,$F$14,$F$20,I$2,I$1,$C288) -_xll.DBRW(Server&amp;Cube1,$F$17,$F$18,$F$19,$F$16,$C$14,$F$15,$F$14,$F$20,K$2,I$1,$C288)</f>
        <v>#VALUE!</v>
      </c>
      <c r="L288" s="221" t="e">
        <f t="shared" ref="L288:L351" ca="1" si="14">$K288+$J288</f>
        <v>#VALUE!</v>
      </c>
      <c r="M288" s="221" t="e">
        <f t="shared" ca="1" si="13"/>
        <v>#VALUE!</v>
      </c>
      <c r="N288" s="226"/>
      <c r="O288" s="221" t="str">
        <f ca="1">_xll.DBRW(Server&amp;Cube1,$F$17,$F$18,$F$19,$F$16,$C$14,$F$15,$F$14,$F$20,O$2,O$1,$C288)</f>
        <v/>
      </c>
      <c r="P288" s="226"/>
      <c r="Q288" s="240" t="str">
        <f ca="1">IF(_xll.ELCOMPN(Server&amp;$C$24,C288)=0,"YES","NO")</f>
        <v>YES</v>
      </c>
      <c r="R288" s="241">
        <v>0</v>
      </c>
      <c r="S288" s="226"/>
      <c r="T288" s="227" t="str">
        <f ca="1">_xll.DBRW(Server&amp;Cube1,$F$17,$F$18,$F$19,$F$16,$C$14,$F$15,$F$14,$F$20,T$2,$T$1,$C288)</f>
        <v/>
      </c>
      <c r="U288" s="227" t="str">
        <f ca="1">_xll.DBRW(Server&amp;Cube1,$F$17,$F$18,$F$19,$F$16,$C$14,$F$15,$F$14,$F$20,U$2,$U$1,$C288)</f>
        <v/>
      </c>
      <c r="V288" s="227" t="str">
        <f ca="1">_xll.DBRW(Server&amp;Cube1,$F$17,$F$18,$F$19,$F$16,$C$14,$F$15,$F$14,$F$20,V$2,V$1,$C288)</f>
        <v/>
      </c>
      <c r="W288" s="227" t="str">
        <f ca="1">_xll.DBRW(Server&amp;Cube1,$F$17,$F$18,$F$19,$F$16,$C$14,$F$15,$F$14,$F$20,W$2,W$1,$C288)</f>
        <v/>
      </c>
      <c r="X288" s="227" t="str">
        <f ca="1">_xll.DBRW(Server&amp;Cube1,$F$17,$F$18,$F$19,$F$16,$C$14,$F$15,$F$14,$F$20,X$2,X$1,$C288)</f>
        <v/>
      </c>
      <c r="Y288" s="227" t="str">
        <f ca="1">_xll.DBRW(Server&amp;Cube1,$F$17,$F$18,$F$19,$F$16,$C$14,$F$15,$F$14,$F$20,Y$2,Y$1,$C288)</f>
        <v/>
      </c>
      <c r="Z288" s="241"/>
      <c r="AA288" s="241"/>
      <c r="AB288" s="241"/>
      <c r="AC288" s="241"/>
      <c r="AD288" s="241"/>
      <c r="AE288" s="241"/>
      <c r="AF288" s="221" t="str">
        <f ca="1">_xll.DBRW(Server&amp;Cube1,$F$17,$F$18,$F$19,$F$16,$C$14,$F$15,$F$14,$F$20,AF$2,$AF$1,$C288)</f>
        <v/>
      </c>
      <c r="AG288" s="53"/>
      <c r="AH288" s="53"/>
      <c r="AI288" s="53"/>
      <c r="AJ288" s="53"/>
      <c r="AK288" s="53"/>
      <c r="AL288" s="53"/>
      <c r="AM288" s="53"/>
      <c r="AN288" s="53"/>
      <c r="AO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:53" s="9" customFormat="1" ht="24" customHeight="1" x14ac:dyDescent="0.35">
      <c r="A289" s="181" t="e">
        <f ca="1">IF($AT$35="YES",1,IF(_xll.ELCOMPN(Server&amp;$C$24,C289)&lt;&gt;0,1,IF(OR(B289=$AZ$35,B289="ALL"),1,0)))</f>
        <v>#VALUE!</v>
      </c>
      <c r="B289" s="163" t="str">
        <f t="shared" si="12"/>
        <v>RM</v>
      </c>
      <c r="C289" s="158" t="s">
        <v>519</v>
      </c>
      <c r="E289" s="270" t="str">
        <f ca="1">_xll.DBRA(Server&amp;$C$24,$C289,$F$21)</f>
        <v>Voyages (GR)</v>
      </c>
      <c r="F289" s="270"/>
      <c r="G289" s="270"/>
      <c r="H289" s="40"/>
      <c r="I289" s="221" t="str">
        <f ca="1">_xll.DBRW(Server&amp;Cube1,$F$17,$F$18,$F$19,$F$16,$C$14,$F$15,$F$14,$F$20,I$2,I$1,$C289)</f>
        <v/>
      </c>
      <c r="J289" s="221" t="str">
        <f ca="1">_xll.DBRW(Server&amp;Cube1,$F$17,$F$18,$F$19,$F$16,$C$14,$F$15,$F$14,$F$20,J$2,J$1,$C289)</f>
        <v/>
      </c>
      <c r="K289" s="221" t="e">
        <f ca="1">_xll.DBRW(Server&amp;Cube1,$F$17,$F$18,$F$19,$F$16,$C$14,$F$15,$F$14,$F$20,I$2,I$1,$C289) -_xll.DBRW(Server&amp;Cube1,$F$17,$F$18,$F$19,$F$16,$C$14,$F$15,$F$14,$F$20,K$2,I$1,$C289)</f>
        <v>#VALUE!</v>
      </c>
      <c r="L289" s="221" t="e">
        <f t="shared" ca="1" si="14"/>
        <v>#VALUE!</v>
      </c>
      <c r="M289" s="221" t="e">
        <f t="shared" ca="1" si="13"/>
        <v>#VALUE!</v>
      </c>
      <c r="N289" s="226"/>
      <c r="O289" s="221" t="str">
        <f ca="1">_xll.DBRW(Server&amp;Cube1,$F$17,$F$18,$F$19,$F$16,$C$14,$F$15,$F$14,$F$20,O$2,O$1,$C289)</f>
        <v/>
      </c>
      <c r="P289" s="226"/>
      <c r="Q289" s="240" t="str">
        <f ca="1">IF(_xll.ELCOMPN(Server&amp;$C$24,C289)=0,"YES","NO")</f>
        <v>YES</v>
      </c>
      <c r="R289" s="241">
        <v>0</v>
      </c>
      <c r="S289" s="226"/>
      <c r="T289" s="227" t="str">
        <f ca="1">_xll.DBRW(Server&amp;Cube1,$F$17,$F$18,$F$19,$F$16,$C$14,$F$15,$F$14,$F$20,T$2,$T$1,$C289)</f>
        <v/>
      </c>
      <c r="U289" s="227" t="str">
        <f ca="1">_xll.DBRW(Server&amp;Cube1,$F$17,$F$18,$F$19,$F$16,$C$14,$F$15,$F$14,$F$20,U$2,$U$1,$C289)</f>
        <v/>
      </c>
      <c r="V289" s="227" t="str">
        <f ca="1">_xll.DBRW(Server&amp;Cube1,$F$17,$F$18,$F$19,$F$16,$C$14,$F$15,$F$14,$F$20,V$2,V$1,$C289)</f>
        <v/>
      </c>
      <c r="W289" s="227" t="str">
        <f ca="1">_xll.DBRW(Server&amp;Cube1,$F$17,$F$18,$F$19,$F$16,$C$14,$F$15,$F$14,$F$20,W$2,W$1,$C289)</f>
        <v/>
      </c>
      <c r="X289" s="227" t="str">
        <f ca="1">_xll.DBRW(Server&amp;Cube1,$F$17,$F$18,$F$19,$F$16,$C$14,$F$15,$F$14,$F$20,X$2,X$1,$C289)</f>
        <v/>
      </c>
      <c r="Y289" s="227" t="str">
        <f ca="1">_xll.DBRW(Server&amp;Cube1,$F$17,$F$18,$F$19,$F$16,$C$14,$F$15,$F$14,$F$20,Y$2,Y$1,$C289)</f>
        <v/>
      </c>
      <c r="Z289" s="241"/>
      <c r="AA289" s="241"/>
      <c r="AB289" s="241"/>
      <c r="AC289" s="241"/>
      <c r="AD289" s="241"/>
      <c r="AE289" s="241"/>
      <c r="AF289" s="221" t="str">
        <f ca="1">_xll.DBRW(Server&amp;Cube1,$F$17,$F$18,$F$19,$F$16,$C$14,$F$15,$F$14,$F$20,AF$2,$AF$1,$C289)</f>
        <v/>
      </c>
      <c r="AG289" s="53"/>
      <c r="AH289" s="53"/>
      <c r="AI289" s="53"/>
      <c r="AJ289" s="53"/>
      <c r="AK289" s="53"/>
      <c r="AL289" s="53"/>
      <c r="AM289" s="53"/>
      <c r="AN289" s="53"/>
      <c r="AO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:53" s="9" customFormat="1" ht="24" customHeight="1" x14ac:dyDescent="0.35">
      <c r="A290" s="181" t="e">
        <f ca="1">IF($AT$35="YES",1,IF(_xll.ELCOMPN(Server&amp;$C$24,C290)&lt;&gt;0,1,IF(OR(B290=$AZ$35,B290="ALL"),1,0)))</f>
        <v>#VALUE!</v>
      </c>
      <c r="B290" s="163" t="str">
        <f t="shared" si="12"/>
        <v>PU</v>
      </c>
      <c r="C290" s="158" t="s">
        <v>520</v>
      </c>
      <c r="E290" s="270" t="str">
        <f ca="1">_xll.DBRA(Server&amp;$C$24,$C290,$F$21)</f>
        <v>Voyages (AC)</v>
      </c>
      <c r="F290" s="270"/>
      <c r="G290" s="270"/>
      <c r="H290" s="40"/>
      <c r="I290" s="221" t="str">
        <f ca="1">_xll.DBRW(Server&amp;Cube1,$F$17,$F$18,$F$19,$F$16,$C$14,$F$15,$F$14,$F$20,I$2,I$1,$C290)</f>
        <v/>
      </c>
      <c r="J290" s="221" t="str">
        <f ca="1">_xll.DBRW(Server&amp;Cube1,$F$17,$F$18,$F$19,$F$16,$C$14,$F$15,$F$14,$F$20,J$2,J$1,$C290)</f>
        <v/>
      </c>
      <c r="K290" s="221" t="e">
        <f ca="1">_xll.DBRW(Server&amp;Cube1,$F$17,$F$18,$F$19,$F$16,$C$14,$F$15,$F$14,$F$20,I$2,I$1,$C290) -_xll.DBRW(Server&amp;Cube1,$F$17,$F$18,$F$19,$F$16,$C$14,$F$15,$F$14,$F$20,K$2,I$1,$C290)</f>
        <v>#VALUE!</v>
      </c>
      <c r="L290" s="221" t="e">
        <f t="shared" ca="1" si="14"/>
        <v>#VALUE!</v>
      </c>
      <c r="M290" s="221" t="e">
        <f t="shared" ca="1" si="13"/>
        <v>#VALUE!</v>
      </c>
      <c r="N290" s="226"/>
      <c r="O290" s="221" t="str">
        <f ca="1">_xll.DBRW(Server&amp;Cube1,$F$17,$F$18,$F$19,$F$16,$C$14,$F$15,$F$14,$F$20,O$2,O$1,$C290)</f>
        <v/>
      </c>
      <c r="P290" s="226"/>
      <c r="Q290" s="240" t="str">
        <f ca="1">IF(_xll.ELCOMPN(Server&amp;$C$24,C290)=0,"YES","NO")</f>
        <v>YES</v>
      </c>
      <c r="R290" s="241">
        <v>0</v>
      </c>
      <c r="S290" s="226"/>
      <c r="T290" s="227" t="str">
        <f ca="1">_xll.DBRW(Server&amp;Cube1,$F$17,$F$18,$F$19,$F$16,$C$14,$F$15,$F$14,$F$20,T$2,$T$1,$C290)</f>
        <v/>
      </c>
      <c r="U290" s="227" t="str">
        <f ca="1">_xll.DBRW(Server&amp;Cube1,$F$17,$F$18,$F$19,$F$16,$C$14,$F$15,$F$14,$F$20,U$2,$U$1,$C290)</f>
        <v/>
      </c>
      <c r="V290" s="227" t="str">
        <f ca="1">_xll.DBRW(Server&amp;Cube1,$F$17,$F$18,$F$19,$F$16,$C$14,$F$15,$F$14,$F$20,V$2,V$1,$C290)</f>
        <v/>
      </c>
      <c r="W290" s="227" t="str">
        <f ca="1">_xll.DBRW(Server&amp;Cube1,$F$17,$F$18,$F$19,$F$16,$C$14,$F$15,$F$14,$F$20,W$2,W$1,$C290)</f>
        <v/>
      </c>
      <c r="X290" s="227" t="str">
        <f ca="1">_xll.DBRW(Server&amp;Cube1,$F$17,$F$18,$F$19,$F$16,$C$14,$F$15,$F$14,$F$20,X$2,X$1,$C290)</f>
        <v/>
      </c>
      <c r="Y290" s="227" t="str">
        <f ca="1">_xll.DBRW(Server&amp;Cube1,$F$17,$F$18,$F$19,$F$16,$C$14,$F$15,$F$14,$F$20,Y$2,Y$1,$C290)</f>
        <v/>
      </c>
      <c r="Z290" s="241"/>
      <c r="AA290" s="241"/>
      <c r="AB290" s="241"/>
      <c r="AC290" s="241"/>
      <c r="AD290" s="241"/>
      <c r="AE290" s="241"/>
      <c r="AF290" s="221" t="str">
        <f ca="1">_xll.DBRW(Server&amp;Cube1,$F$17,$F$18,$F$19,$F$16,$C$14,$F$15,$F$14,$F$20,AF$2,$AF$1,$C290)</f>
        <v/>
      </c>
      <c r="AG290" s="53"/>
      <c r="AH290" s="53"/>
      <c r="AI290" s="53"/>
      <c r="AJ290" s="53"/>
      <c r="AK290" s="53"/>
      <c r="AL290" s="53"/>
      <c r="AM290" s="53"/>
      <c r="AN290" s="53"/>
      <c r="AO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:53" s="9" customFormat="1" ht="24" customHeight="1" x14ac:dyDescent="0.35">
      <c r="A291" s="181" t="e">
        <f ca="1">IF($AT$35="YES",1,IF(_xll.ELCOMPN(Server&amp;$C$24,C291)&lt;&gt;0,1,IF(OR(B291=$AZ$35,B291="ALL"),1,0)))</f>
        <v>#VALUE!</v>
      </c>
      <c r="B291" s="163" t="str">
        <f t="shared" si="12"/>
        <v>CO</v>
      </c>
      <c r="C291" s="158" t="s">
        <v>521</v>
      </c>
      <c r="E291" s="270" t="str">
        <f ca="1">_xll.DBRA(Server&amp;$C$24,$C291,$F$21)</f>
        <v>Voyages (CO)</v>
      </c>
      <c r="F291" s="270"/>
      <c r="G291" s="270"/>
      <c r="H291" s="40"/>
      <c r="I291" s="221" t="str">
        <f ca="1">_xll.DBRW(Server&amp;Cube1,$F$17,$F$18,$F$19,$F$16,$C$14,$F$15,$F$14,$F$20,I$2,I$1,$C291)</f>
        <v/>
      </c>
      <c r="J291" s="221" t="str">
        <f ca="1">_xll.DBRW(Server&amp;Cube1,$F$17,$F$18,$F$19,$F$16,$C$14,$F$15,$F$14,$F$20,J$2,J$1,$C291)</f>
        <v/>
      </c>
      <c r="K291" s="221" t="e">
        <f ca="1">_xll.DBRW(Server&amp;Cube1,$F$17,$F$18,$F$19,$F$16,$C$14,$F$15,$F$14,$F$20,I$2,I$1,$C291) -_xll.DBRW(Server&amp;Cube1,$F$17,$F$18,$F$19,$F$16,$C$14,$F$15,$F$14,$F$20,K$2,I$1,$C291)</f>
        <v>#VALUE!</v>
      </c>
      <c r="L291" s="221" t="e">
        <f t="shared" ca="1" si="14"/>
        <v>#VALUE!</v>
      </c>
      <c r="M291" s="221" t="e">
        <f t="shared" ca="1" si="13"/>
        <v>#VALUE!</v>
      </c>
      <c r="N291" s="226"/>
      <c r="O291" s="221" t="str">
        <f ca="1">_xll.DBRW(Server&amp;Cube1,$F$17,$F$18,$F$19,$F$16,$C$14,$F$15,$F$14,$F$20,O$2,O$1,$C291)</f>
        <v/>
      </c>
      <c r="P291" s="226"/>
      <c r="Q291" s="240" t="str">
        <f ca="1">IF(_xll.ELCOMPN(Server&amp;$C$24,C291)=0,"YES","NO")</f>
        <v>YES</v>
      </c>
      <c r="R291" s="241">
        <v>0</v>
      </c>
      <c r="S291" s="226"/>
      <c r="T291" s="227" t="str">
        <f ca="1">_xll.DBRW(Server&amp;Cube1,$F$17,$F$18,$F$19,$F$16,$C$14,$F$15,$F$14,$F$20,T$2,$T$1,$C291)</f>
        <v/>
      </c>
      <c r="U291" s="227" t="str">
        <f ca="1">_xll.DBRW(Server&amp;Cube1,$F$17,$F$18,$F$19,$F$16,$C$14,$F$15,$F$14,$F$20,U$2,$U$1,$C291)</f>
        <v/>
      </c>
      <c r="V291" s="227" t="str">
        <f ca="1">_xll.DBRW(Server&amp;Cube1,$F$17,$F$18,$F$19,$F$16,$C$14,$F$15,$F$14,$F$20,V$2,V$1,$C291)</f>
        <v/>
      </c>
      <c r="W291" s="227" t="str">
        <f ca="1">_xll.DBRW(Server&amp;Cube1,$F$17,$F$18,$F$19,$F$16,$C$14,$F$15,$F$14,$F$20,W$2,W$1,$C291)</f>
        <v/>
      </c>
      <c r="X291" s="227" t="str">
        <f ca="1">_xll.DBRW(Server&amp;Cube1,$F$17,$F$18,$F$19,$F$16,$C$14,$F$15,$F$14,$F$20,X$2,X$1,$C291)</f>
        <v/>
      </c>
      <c r="Y291" s="227" t="str">
        <f ca="1">_xll.DBRW(Server&amp;Cube1,$F$17,$F$18,$F$19,$F$16,$C$14,$F$15,$F$14,$F$20,Y$2,Y$1,$C291)</f>
        <v/>
      </c>
      <c r="Z291" s="241"/>
      <c r="AA291" s="241"/>
      <c r="AB291" s="241"/>
      <c r="AC291" s="241"/>
      <c r="AD291" s="241"/>
      <c r="AE291" s="241"/>
      <c r="AF291" s="221" t="str">
        <f ca="1">_xll.DBRW(Server&amp;Cube1,$F$17,$F$18,$F$19,$F$16,$C$14,$F$15,$F$14,$F$20,AF$2,$AF$1,$C291)</f>
        <v/>
      </c>
      <c r="AG291" s="53"/>
      <c r="AH291" s="53"/>
      <c r="AI291" s="53"/>
      <c r="AJ291" s="53"/>
      <c r="AK291" s="53"/>
      <c r="AL291" s="53"/>
      <c r="AM291" s="53"/>
      <c r="AN291" s="53"/>
      <c r="AO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:53" s="9" customFormat="1" ht="24" customHeight="1" x14ac:dyDescent="0.35">
      <c r="A292" s="181" t="e">
        <f ca="1">IF($AT$35="YES",1,IF(_xll.ELCOMPN(Server&amp;$C$24,C292)&lt;&gt;0,1,IF(OR(B292=$AZ$35,B292="ALL"),1,0)))</f>
        <v>#VALUE!</v>
      </c>
      <c r="B292" s="163" t="str">
        <f t="shared" si="12"/>
        <v>GS</v>
      </c>
      <c r="C292" s="158" t="s">
        <v>522</v>
      </c>
      <c r="E292" s="270" t="str">
        <f ca="1">_xll.DBRA(Server&amp;$C$24,$C292,$F$21)</f>
        <v>Voyages (SG)</v>
      </c>
      <c r="F292" s="270"/>
      <c r="G292" s="270"/>
      <c r="H292" s="40"/>
      <c r="I292" s="221" t="str">
        <f ca="1">_xll.DBRW(Server&amp;Cube1,$F$17,$F$18,$F$19,$F$16,$C$14,$F$15,$F$14,$F$20,I$2,I$1,$C292)</f>
        <v/>
      </c>
      <c r="J292" s="221" t="str">
        <f ca="1">_xll.DBRW(Server&amp;Cube1,$F$17,$F$18,$F$19,$F$16,$C$14,$F$15,$F$14,$F$20,J$2,J$1,$C292)</f>
        <v/>
      </c>
      <c r="K292" s="221" t="e">
        <f ca="1">_xll.DBRW(Server&amp;Cube1,$F$17,$F$18,$F$19,$F$16,$C$14,$F$15,$F$14,$F$20,I$2,I$1,$C292) -_xll.DBRW(Server&amp;Cube1,$F$17,$F$18,$F$19,$F$16,$C$14,$F$15,$F$14,$F$20,K$2,I$1,$C292)</f>
        <v>#VALUE!</v>
      </c>
      <c r="L292" s="221" t="e">
        <f t="shared" ca="1" si="14"/>
        <v>#VALUE!</v>
      </c>
      <c r="M292" s="221" t="e">
        <f t="shared" ca="1" si="13"/>
        <v>#VALUE!</v>
      </c>
      <c r="N292" s="226"/>
      <c r="O292" s="221" t="str">
        <f ca="1">_xll.DBRW(Server&amp;Cube1,$F$17,$F$18,$F$19,$F$16,$C$14,$F$15,$F$14,$F$20,O$2,O$1,$C292)</f>
        <v/>
      </c>
      <c r="P292" s="226"/>
      <c r="Q292" s="240" t="str">
        <f ca="1">IF(_xll.ELCOMPN(Server&amp;$C$24,C292)=0,"YES","NO")</f>
        <v>YES</v>
      </c>
      <c r="R292" s="241">
        <v>0</v>
      </c>
      <c r="S292" s="226"/>
      <c r="T292" s="227" t="str">
        <f ca="1">_xll.DBRW(Server&amp;Cube1,$F$17,$F$18,$F$19,$F$16,$C$14,$F$15,$F$14,$F$20,T$2,$T$1,$C292)</f>
        <v/>
      </c>
      <c r="U292" s="227" t="str">
        <f ca="1">_xll.DBRW(Server&amp;Cube1,$F$17,$F$18,$F$19,$F$16,$C$14,$F$15,$F$14,$F$20,U$2,$U$1,$C292)</f>
        <v/>
      </c>
      <c r="V292" s="227" t="str">
        <f ca="1">_xll.DBRW(Server&amp;Cube1,$F$17,$F$18,$F$19,$F$16,$C$14,$F$15,$F$14,$F$20,V$2,V$1,$C292)</f>
        <v/>
      </c>
      <c r="W292" s="227" t="str">
        <f ca="1">_xll.DBRW(Server&amp;Cube1,$F$17,$F$18,$F$19,$F$16,$C$14,$F$15,$F$14,$F$20,W$2,W$1,$C292)</f>
        <v/>
      </c>
      <c r="X292" s="227" t="str">
        <f ca="1">_xll.DBRW(Server&amp;Cube1,$F$17,$F$18,$F$19,$F$16,$C$14,$F$15,$F$14,$F$20,X$2,X$1,$C292)</f>
        <v/>
      </c>
      <c r="Y292" s="227" t="str">
        <f ca="1">_xll.DBRW(Server&amp;Cube1,$F$17,$F$18,$F$19,$F$16,$C$14,$F$15,$F$14,$F$20,Y$2,Y$1,$C292)</f>
        <v/>
      </c>
      <c r="Z292" s="241"/>
      <c r="AA292" s="241"/>
      <c r="AB292" s="241"/>
      <c r="AC292" s="241"/>
      <c r="AD292" s="241"/>
      <c r="AE292" s="241"/>
      <c r="AF292" s="221" t="str">
        <f ca="1">_xll.DBRW(Server&amp;Cube1,$F$17,$F$18,$F$19,$F$16,$C$14,$F$15,$F$14,$F$20,AF$2,$AF$1,$C292)</f>
        <v/>
      </c>
      <c r="AG292" s="53"/>
      <c r="AH292" s="53"/>
      <c r="AI292" s="53"/>
      <c r="AJ292" s="53"/>
      <c r="AK292" s="53"/>
      <c r="AL292" s="53"/>
      <c r="AM292" s="53"/>
      <c r="AN292" s="53"/>
      <c r="AO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:53" s="9" customFormat="1" ht="24" customHeight="1" x14ac:dyDescent="0.35">
      <c r="A293" s="181" t="e">
        <f ca="1">IF($AT$35="YES",1,IF(_xll.ELCOMPN(Server&amp;$C$24,C293)&lt;&gt;0,1,IF(OR(B293=$AZ$35,B293="ALL"),1,0)))</f>
        <v>#VALUE!</v>
      </c>
      <c r="B293" s="163" t="str">
        <f t="shared" ref="B293:B356" si="15">IF(ISERROR(MID(C293,FIND("_",C293,1)+1,2)),MID(C293,FIND("(",C293,1)+1,2),MID(C293,FIND("_",C293,1)+1,2))</f>
        <v>RD</v>
      </c>
      <c r="C293" s="158" t="s">
        <v>523</v>
      </c>
      <c r="E293" s="270" t="str">
        <f ca="1">_xll.DBRA(Server&amp;$C$24,$C293,$F$21)</f>
        <v>Voyages (RD)</v>
      </c>
      <c r="F293" s="270"/>
      <c r="G293" s="270"/>
      <c r="H293" s="40"/>
      <c r="I293" s="221" t="str">
        <f ca="1">_xll.DBRW(Server&amp;Cube1,$F$17,$F$18,$F$19,$F$16,$C$14,$F$15,$F$14,$F$20,I$2,I$1,$C293)</f>
        <v/>
      </c>
      <c r="J293" s="221" t="str">
        <f ca="1">_xll.DBRW(Server&amp;Cube1,$F$17,$F$18,$F$19,$F$16,$C$14,$F$15,$F$14,$F$20,J$2,J$1,$C293)</f>
        <v/>
      </c>
      <c r="K293" s="221" t="e">
        <f ca="1">_xll.DBRW(Server&amp;Cube1,$F$17,$F$18,$F$19,$F$16,$C$14,$F$15,$F$14,$F$20,I$2,I$1,$C293) -_xll.DBRW(Server&amp;Cube1,$F$17,$F$18,$F$19,$F$16,$C$14,$F$15,$F$14,$F$20,K$2,I$1,$C293)</f>
        <v>#VALUE!</v>
      </c>
      <c r="L293" s="221" t="e">
        <f t="shared" ca="1" si="14"/>
        <v>#VALUE!</v>
      </c>
      <c r="M293" s="221" t="e">
        <f t="shared" ca="1" si="13"/>
        <v>#VALUE!</v>
      </c>
      <c r="N293" s="226"/>
      <c r="O293" s="221" t="str">
        <f ca="1">_xll.DBRW(Server&amp;Cube1,$F$17,$F$18,$F$19,$F$16,$C$14,$F$15,$F$14,$F$20,O$2,O$1,$C293)</f>
        <v/>
      </c>
      <c r="P293" s="226"/>
      <c r="Q293" s="240" t="str">
        <f ca="1">IF(_xll.ELCOMPN(Server&amp;$C$24,C293)=0,"YES","NO")</f>
        <v>YES</v>
      </c>
      <c r="R293" s="241">
        <v>0</v>
      </c>
      <c r="S293" s="226"/>
      <c r="T293" s="227" t="str">
        <f ca="1">_xll.DBRW(Server&amp;Cube1,$F$17,$F$18,$F$19,$F$16,$C$14,$F$15,$F$14,$F$20,T$2,$T$1,$C293)</f>
        <v/>
      </c>
      <c r="U293" s="227" t="str">
        <f ca="1">_xll.DBRW(Server&amp;Cube1,$F$17,$F$18,$F$19,$F$16,$C$14,$F$15,$F$14,$F$20,U$2,$U$1,$C293)</f>
        <v/>
      </c>
      <c r="V293" s="227" t="str">
        <f ca="1">_xll.DBRW(Server&amp;Cube1,$F$17,$F$18,$F$19,$F$16,$C$14,$F$15,$F$14,$F$20,V$2,V$1,$C293)</f>
        <v/>
      </c>
      <c r="W293" s="227" t="str">
        <f ca="1">_xll.DBRW(Server&amp;Cube1,$F$17,$F$18,$F$19,$F$16,$C$14,$F$15,$F$14,$F$20,W$2,W$1,$C293)</f>
        <v/>
      </c>
      <c r="X293" s="227" t="str">
        <f ca="1">_xll.DBRW(Server&amp;Cube1,$F$17,$F$18,$F$19,$F$16,$C$14,$F$15,$F$14,$F$20,X$2,X$1,$C293)</f>
        <v/>
      </c>
      <c r="Y293" s="227" t="str">
        <f ca="1">_xll.DBRW(Server&amp;Cube1,$F$17,$F$18,$F$19,$F$16,$C$14,$F$15,$F$14,$F$20,Y$2,Y$1,$C293)</f>
        <v/>
      </c>
      <c r="Z293" s="241"/>
      <c r="AA293" s="241"/>
      <c r="AB293" s="241"/>
      <c r="AC293" s="241"/>
      <c r="AD293" s="241"/>
      <c r="AE293" s="241"/>
      <c r="AF293" s="221" t="str">
        <f ca="1">_xll.DBRW(Server&amp;Cube1,$F$17,$F$18,$F$19,$F$16,$C$14,$F$15,$F$14,$F$20,AF$2,$AF$1,$C293)</f>
        <v/>
      </c>
      <c r="AG293" s="53"/>
      <c r="AH293" s="53"/>
      <c r="AI293" s="53"/>
      <c r="AJ293" s="53"/>
      <c r="AK293" s="53"/>
      <c r="AL293" s="53"/>
      <c r="AM293" s="53"/>
      <c r="AN293" s="53"/>
      <c r="AO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:53" s="9" customFormat="1" ht="24.95" customHeight="1" thickBot="1" x14ac:dyDescent="0.4">
      <c r="A294" s="181">
        <f ca="1">IF($AT$35="YES",1,IF(_xll.ELCOMPN(Server&amp;$C$24,C294)&lt;&gt;0,1,IF(OR(B294=$AZ$35,B294="ALL"),1,0)))</f>
        <v>1</v>
      </c>
      <c r="B294" s="163" t="str">
        <f t="shared" si="15"/>
        <v>en</v>
      </c>
      <c r="C294" s="116" t="s">
        <v>110</v>
      </c>
      <c r="E294" s="271" t="str">
        <f ca="1">_xll.DBRA(Server&amp;$C$24,$C294,$F$21)</f>
        <v>Coûts d'environnement, Taxes et dotations</v>
      </c>
      <c r="F294" s="271"/>
      <c r="G294" s="271"/>
      <c r="H294" s="40"/>
      <c r="I294" s="249" t="str">
        <f ca="1">_xll.DBRW(Server&amp;Cube1,$F$17,$F$18,$F$19,$F$16,$C$14,$F$15,$F$14,$F$20,I$2,I$1,$C294)</f>
        <v/>
      </c>
      <c r="J294" s="249" t="str">
        <f ca="1">_xll.DBRW(Server&amp;Cube1,$F$17,$F$18,$F$19,$F$16,$C$14,$F$15,$F$14,$F$20,J$2,J$1,$C294)</f>
        <v/>
      </c>
      <c r="K294" s="252" t="e">
        <f ca="1">_xll.DBRW(Server&amp;Cube1,$F$17,$F$18,$F$19,$F$16,$C$14,$F$15,$F$14,$F$20,I$2,I$1,$C294) -_xll.DBRW(Server&amp;Cube1,$F$17,$F$18,$F$19,$F$16,$C$14,$F$15,$F$14,$F$20,K$2,I$1,$C294)</f>
        <v>#VALUE!</v>
      </c>
      <c r="L294" s="252" t="e">
        <f t="shared" ca="1" si="14"/>
        <v>#VALUE!</v>
      </c>
      <c r="M294" s="252" t="e">
        <f t="shared" ca="1" si="13"/>
        <v>#VALUE!</v>
      </c>
      <c r="N294" s="250"/>
      <c r="O294" s="249" t="str">
        <f ca="1">_xll.DBRW(Server&amp;Cube1,$F$17,$F$18,$F$19,$F$16,$C$14,$F$15,$F$14,$F$20,O$2,O$1,$C294)</f>
        <v/>
      </c>
      <c r="P294" s="250"/>
      <c r="Q294" s="251" t="str">
        <f ca="1">IF(_xll.ELCOMPN(Server&amp;$C$24,C294)=0,"YES","NO")</f>
        <v>NO</v>
      </c>
      <c r="R294" s="249"/>
      <c r="S294" s="250"/>
      <c r="T294" s="249" t="str">
        <f ca="1">_xll.DBRW(Server&amp;Cube1,$F$17,$F$18,$F$19,$F$16,$C$14,$F$15,$F$14,$F$20,T$2,$T$1,$C294)</f>
        <v/>
      </c>
      <c r="U294" s="249" t="str">
        <f ca="1">_xll.DBRW(Server&amp;Cube1,$F$17,$F$18,$F$19,$F$16,$C$14,$F$15,$F$14,$F$20,U$2,$U$1,$C294)</f>
        <v/>
      </c>
      <c r="V294" s="249" t="str">
        <f ca="1">_xll.DBRW(Server&amp;Cube1,$F$17,$F$18,$F$19,$F$16,$C$14,$F$15,$F$14,$F$20,V$2,V$1,$C294)</f>
        <v/>
      </c>
      <c r="W294" s="249" t="str">
        <f ca="1">_xll.DBRW(Server&amp;Cube1,$F$17,$F$18,$F$19,$F$16,$C$14,$F$15,$F$14,$F$20,W$2,W$1,$C294)</f>
        <v/>
      </c>
      <c r="X294" s="249" t="str">
        <f ca="1">_xll.DBRW(Server&amp;Cube1,$F$17,$F$18,$F$19,$F$16,$C$14,$F$15,$F$14,$F$20,X$2,X$1,$C294)</f>
        <v/>
      </c>
      <c r="Y294" s="249" t="str">
        <f ca="1">_xll.DBRW(Server&amp;Cube1,$F$17,$F$18,$F$19,$F$16,$C$14,$F$15,$F$14,$F$20,Y$2,Y$1,$C294)</f>
        <v/>
      </c>
      <c r="Z294" s="249" t="str">
        <f ca="1">_xll.DBRW(Server&amp;Cube1,$F$17,$F$18,$F$19,$F$16,$C$14,$F$15,$F$14,$F$20,Z$2,Z$1,$C294)</f>
        <v/>
      </c>
      <c r="AA294" s="249" t="str">
        <f ca="1">_xll.DBRW(Server&amp;Cube1,$F$17,$F$18,$F$19,$F$16,$C$14,$F$15,$F$14,$F$20,AA$2,AA$1,$C294)</f>
        <v/>
      </c>
      <c r="AB294" s="249" t="str">
        <f ca="1">_xll.DBRW(Server&amp;Cube1,$F$17,$F$18,$F$19,$F$16,$C$14,$F$15,$F$14,$F$20,AB$2,AB$1,$C294)</f>
        <v/>
      </c>
      <c r="AC294" s="249" t="str">
        <f ca="1">_xll.DBRW(Server&amp;Cube1,$F$17,$F$18,$F$19,$F$16,$C$14,$F$15,$F$14,$F$20,AC$2,AC$1,$C294)</f>
        <v/>
      </c>
      <c r="AD294" s="249" t="str">
        <f ca="1">_xll.DBRW(Server&amp;Cube1,$F$17,$F$18,$F$19,$F$16,$C$14,$F$15,$F$14,$F$20,AD$2,AD$1,$C294)</f>
        <v/>
      </c>
      <c r="AE294" s="249" t="str">
        <f ca="1">_xll.DBRW(Server&amp;Cube1,$F$17,$F$18,$F$19,$F$16,$C$14,$F$15,$F$14,$F$20,AE$2,AE$1,$C294)</f>
        <v/>
      </c>
      <c r="AF294" s="249" t="str">
        <f ca="1">_xll.DBRW(Server&amp;Cube1,$F$17,$F$18,$F$19,$F$16,$C$14,$F$15,$F$14,$F$20,AF$2,$AF$1,$C294)</f>
        <v/>
      </c>
      <c r="AG294" s="53"/>
      <c r="AH294" s="53"/>
      <c r="AI294" s="53"/>
      <c r="AJ294" s="53"/>
      <c r="AK294" s="53"/>
      <c r="AL294" s="53"/>
      <c r="AM294" s="53"/>
      <c r="AN294" s="53"/>
      <c r="AO294" s="53"/>
      <c r="AP294" s="72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:53" s="9" customFormat="1" ht="24" customHeight="1" x14ac:dyDescent="0.35">
      <c r="A295" s="181">
        <f ca="1">IF($AT$35="YES",1,IF(_xll.ELCOMPN(Server&amp;$C$24,C295)&lt;&gt;0,1,IF(OR(B295=$AZ$35,B295="ALL"),1,0)))</f>
        <v>1</v>
      </c>
      <c r="B295" s="163" t="str">
        <f t="shared" si="15"/>
        <v>en</v>
      </c>
      <c r="C295" s="119" t="s">
        <v>111</v>
      </c>
      <c r="E295" s="269" t="str">
        <f ca="1">_xll.DBRA(Server&amp;$C$24,$C295,$F$21)</f>
        <v>Coûts d'environnement</v>
      </c>
      <c r="F295" s="269"/>
      <c r="G295" s="269"/>
      <c r="H295" s="40"/>
      <c r="I295" s="220" t="str">
        <f ca="1">_xll.DBRW(Server&amp;Cube1,$F$17,$F$18,$F$19,$F$16,$C$14,$F$15,$F$14,$F$20,I$2,I$1,$C295)</f>
        <v/>
      </c>
      <c r="J295" s="220" t="str">
        <f ca="1">_xll.DBRW(Server&amp;Cube1,$F$17,$F$18,$F$19,$F$16,$C$14,$F$15,$F$14,$F$20,J$2,J$1,$C295)</f>
        <v/>
      </c>
      <c r="K295" s="220" t="e">
        <f ca="1">_xll.DBRW(Server&amp;Cube1,$F$17,$F$18,$F$19,$F$16,$C$14,$F$15,$F$14,$F$20,I$2,I$1,$C295) -_xll.DBRW(Server&amp;Cube1,$F$17,$F$18,$F$19,$F$16,$C$14,$F$15,$F$14,$F$20,K$2,I$1,$C295)</f>
        <v>#VALUE!</v>
      </c>
      <c r="L295" s="220" t="e">
        <f t="shared" ca="1" si="14"/>
        <v>#VALUE!</v>
      </c>
      <c r="M295" s="220" t="e">
        <f t="shared" ca="1" si="13"/>
        <v>#VALUE!</v>
      </c>
      <c r="N295" s="229"/>
      <c r="O295" s="228" t="str">
        <f ca="1">_xll.DBRW(Server&amp;Cube1,$F$17,$F$18,$F$19,$F$16,$C$14,$F$15,$F$14,$F$20,O$2,O$1,$C295)</f>
        <v/>
      </c>
      <c r="P295" s="229"/>
      <c r="Q295" s="240" t="str">
        <f ca="1">IF(_xll.ELCOMPN(Server&amp;$C$24,C295)=0,"YES","NO")</f>
        <v>NO</v>
      </c>
      <c r="R295" s="228"/>
      <c r="S295" s="229"/>
      <c r="T295" s="231" t="str">
        <f ca="1">_xll.DBRW(Server&amp;Cube1,$F$17,$F$18,$F$19,$F$16,$C$14,$F$15,$F$14,$F$20,T$2,$T$1,$C295)</f>
        <v/>
      </c>
      <c r="U295" s="231" t="str">
        <f ca="1">_xll.DBRW(Server&amp;Cube1,$F$17,$F$18,$F$19,$F$16,$C$14,$F$15,$F$14,$F$20,U$2,$U$1,$C295)</f>
        <v/>
      </c>
      <c r="V295" s="231" t="str">
        <f ca="1">_xll.DBRW(Server&amp;Cube1,$F$17,$F$18,$F$19,$F$16,$C$14,$F$15,$F$14,$F$20,V$2,V$1,$C295)</f>
        <v/>
      </c>
      <c r="W295" s="231" t="str">
        <f ca="1">_xll.DBRW(Server&amp;Cube1,$F$17,$F$18,$F$19,$F$16,$C$14,$F$15,$F$14,$F$20,W$2,W$1,$C295)</f>
        <v/>
      </c>
      <c r="X295" s="228" t="str">
        <f ca="1">_xll.DBRW(Server&amp;Cube1,$F$17,$F$18,$F$19,$F$16,$C$14,$F$15,$F$14,$F$20,X$2,X$1,$C295)</f>
        <v/>
      </c>
      <c r="Y295" s="228" t="str">
        <f ca="1">_xll.DBRW(Server&amp;Cube1,$F$17,$F$18,$F$19,$F$16,$C$14,$F$15,$F$14,$F$20,Y$2,Y$1,$C295)</f>
        <v/>
      </c>
      <c r="Z295" s="228" t="str">
        <f ca="1">_xll.DBRW(Server&amp;Cube1,$F$17,$F$18,$F$19,$F$16,$C$14,$F$15,$F$14,$F$20,Z$2,Z$1,$C295)</f>
        <v/>
      </c>
      <c r="AA295" s="228" t="str">
        <f ca="1">_xll.DBRW(Server&amp;Cube1,$F$17,$F$18,$F$19,$F$16,$C$14,$F$15,$F$14,$F$20,AA$2,AA$1,$C295)</f>
        <v/>
      </c>
      <c r="AB295" s="228" t="str">
        <f ca="1">_xll.DBRW(Server&amp;Cube1,$F$17,$F$18,$F$19,$F$16,$C$14,$F$15,$F$14,$F$20,AB$2,AB$1,$C295)</f>
        <v/>
      </c>
      <c r="AC295" s="228" t="str">
        <f ca="1">_xll.DBRW(Server&amp;Cube1,$F$17,$F$18,$F$19,$F$16,$C$14,$F$15,$F$14,$F$20,AC$2,AC$1,$C295)</f>
        <v/>
      </c>
      <c r="AD295" s="228" t="str">
        <f ca="1">_xll.DBRW(Server&amp;Cube1,$F$17,$F$18,$F$19,$F$16,$C$14,$F$15,$F$14,$F$20,AD$2,AD$1,$C295)</f>
        <v/>
      </c>
      <c r="AE295" s="228" t="str">
        <f ca="1">_xll.DBRW(Server&amp;Cube1,$F$17,$F$18,$F$19,$F$16,$C$14,$F$15,$F$14,$F$20,AE$2,AE$1,$C295)</f>
        <v/>
      </c>
      <c r="AF295" s="228" t="str">
        <f ca="1">_xll.DBRW(Server&amp;Cube1,$F$17,$F$18,$F$19,$F$16,$C$14,$F$15,$F$14,$F$20,AF$2,$AF$1,$C295)</f>
        <v/>
      </c>
      <c r="AG295" s="53"/>
      <c r="AH295" s="53"/>
      <c r="AI295" s="53"/>
      <c r="AJ295" s="53"/>
      <c r="AK295" s="53"/>
      <c r="AL295" s="53"/>
      <c r="AM295" s="53"/>
      <c r="AN295" s="53"/>
      <c r="AO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:53" s="9" customFormat="1" ht="24" customHeight="1" x14ac:dyDescent="0.35">
      <c r="A296" s="181">
        <f ca="1">IF($AT$35="YES",1,IF(_xll.ELCOMPN(Server&amp;$C$24,C296)&lt;&gt;0,1,IF(OR(B296=$AZ$35,B296="ALL"),1,0)))</f>
        <v>1</v>
      </c>
      <c r="B296" s="163" t="str">
        <f t="shared" si="15"/>
        <v>bu</v>
      </c>
      <c r="C296" s="117" t="s">
        <v>112</v>
      </c>
      <c r="E296" s="270" t="str">
        <f ca="1">_xll.DBRA(Server&amp;$C$24,$C296,$F$21)</f>
        <v>Coûts bureautique</v>
      </c>
      <c r="F296" s="270"/>
      <c r="G296" s="270"/>
      <c r="H296" s="40"/>
      <c r="I296" s="221" t="str">
        <f ca="1">_xll.DBRW(Server&amp;Cube1,$F$17,$F$18,$F$19,$F$16,$C$14,$F$15,$F$14,$F$20,I$2,I$1,$C296)</f>
        <v/>
      </c>
      <c r="J296" s="221" t="str">
        <f ca="1">_xll.DBRW(Server&amp;Cube1,$F$17,$F$18,$F$19,$F$16,$C$14,$F$15,$F$14,$F$20,J$2,J$1,$C296)</f>
        <v/>
      </c>
      <c r="K296" s="221" t="e">
        <f ca="1">_xll.DBRW(Server&amp;Cube1,$F$17,$F$18,$F$19,$F$16,$C$14,$F$15,$F$14,$F$20,I$2,I$1,$C296) -_xll.DBRW(Server&amp;Cube1,$F$17,$F$18,$F$19,$F$16,$C$14,$F$15,$F$14,$F$20,K$2,I$1,$C296)</f>
        <v>#VALUE!</v>
      </c>
      <c r="L296" s="221" t="e">
        <f t="shared" ca="1" si="14"/>
        <v>#VALUE!</v>
      </c>
      <c r="M296" s="221" t="e">
        <f t="shared" ca="1" si="13"/>
        <v>#VALUE!</v>
      </c>
      <c r="N296" s="229"/>
      <c r="O296" s="229" t="str">
        <f ca="1">_xll.DBRW(Server&amp;Cube1,$F$17,$F$18,$F$19,$F$16,$C$14,$F$15,$F$14,$F$20,O$2,O$1,$C296)</f>
        <v/>
      </c>
      <c r="P296" s="229"/>
      <c r="Q296" s="240" t="str">
        <f ca="1">IF(_xll.ELCOMPN(Server&amp;$C$24,C296)=0,"YES","NO")</f>
        <v>NO</v>
      </c>
      <c r="R296" s="229"/>
      <c r="S296" s="229"/>
      <c r="T296" s="230" t="str">
        <f ca="1">_xll.DBRW(Server&amp;Cube1,$F$17,$F$18,$F$19,$F$16,$C$14,$F$15,$F$14,$F$20,T$2,$T$1,$C296)</f>
        <v/>
      </c>
      <c r="U296" s="230" t="str">
        <f ca="1">_xll.DBRW(Server&amp;Cube1,$F$17,$F$18,$F$19,$F$16,$C$14,$F$15,$F$14,$F$20,U$2,$U$1,$C296)</f>
        <v/>
      </c>
      <c r="V296" s="230" t="str">
        <f ca="1">_xll.DBRW(Server&amp;Cube1,$F$17,$F$18,$F$19,$F$16,$C$14,$F$15,$F$14,$F$20,V$2,V$1,$C296)</f>
        <v/>
      </c>
      <c r="W296" s="230" t="str">
        <f ca="1">_xll.DBRW(Server&amp;Cube1,$F$17,$F$18,$F$19,$F$16,$C$14,$F$15,$F$14,$F$20,W$2,W$1,$C296)</f>
        <v/>
      </c>
      <c r="X296" s="229" t="str">
        <f ca="1">_xll.DBRW(Server&amp;Cube1,$F$17,$F$18,$F$19,$F$16,$C$14,$F$15,$F$14,$F$20,X$2,X$1,$C296)</f>
        <v/>
      </c>
      <c r="Y296" s="229" t="str">
        <f ca="1">_xll.DBRW(Server&amp;Cube1,$F$17,$F$18,$F$19,$F$16,$C$14,$F$15,$F$14,$F$20,Y$2,Y$1,$C296)</f>
        <v/>
      </c>
      <c r="Z296" s="229" t="str">
        <f ca="1">_xll.DBRW(Server&amp;Cube1,$F$17,$F$18,$F$19,$F$16,$C$14,$F$15,$F$14,$F$20,Z$2,Z$1,$C296)</f>
        <v/>
      </c>
      <c r="AA296" s="229" t="str">
        <f ca="1">_xll.DBRW(Server&amp;Cube1,$F$17,$F$18,$F$19,$F$16,$C$14,$F$15,$F$14,$F$20,AA$2,AA$1,$C296)</f>
        <v/>
      </c>
      <c r="AB296" s="229" t="str">
        <f ca="1">_xll.DBRW(Server&amp;Cube1,$F$17,$F$18,$F$19,$F$16,$C$14,$F$15,$F$14,$F$20,AB$2,AB$1,$C296)</f>
        <v/>
      </c>
      <c r="AC296" s="229" t="str">
        <f ca="1">_xll.DBRW(Server&amp;Cube1,$F$17,$F$18,$F$19,$F$16,$C$14,$F$15,$F$14,$F$20,AC$2,AC$1,$C296)</f>
        <v/>
      </c>
      <c r="AD296" s="229" t="str">
        <f ca="1">_xll.DBRW(Server&amp;Cube1,$F$17,$F$18,$F$19,$F$16,$C$14,$F$15,$F$14,$F$20,AD$2,AD$1,$C296)</f>
        <v/>
      </c>
      <c r="AE296" s="229" t="str">
        <f ca="1">_xll.DBRW(Server&amp;Cube1,$F$17,$F$18,$F$19,$F$16,$C$14,$F$15,$F$14,$F$20,AE$2,AE$1,$C296)</f>
        <v/>
      </c>
      <c r="AF296" s="229" t="str">
        <f ca="1">_xll.DBRW(Server&amp;Cube1,$F$17,$F$18,$F$19,$F$16,$C$14,$F$15,$F$14,$F$20,AF$2,$AF$1,$C296)</f>
        <v/>
      </c>
      <c r="AG296" s="53"/>
      <c r="AH296" s="53"/>
      <c r="AI296" s="53"/>
      <c r="AJ296" s="53"/>
      <c r="AK296" s="53"/>
      <c r="AL296" s="53"/>
      <c r="AM296" s="53"/>
      <c r="AN296" s="53"/>
      <c r="AO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:53" s="9" customFormat="1" ht="24" customHeight="1" x14ac:dyDescent="0.35">
      <c r="A297" s="238">
        <f ca="1">IF($AT$35="YES",1,IF(AND($C$16="5000",$B297="GS"),1,IF(AND($C$16="5010",$B297="GS"),1,IF(AND($C$16="5020",$B297="GS"),1,0))))</f>
        <v>0</v>
      </c>
      <c r="B297" s="163" t="str">
        <f t="shared" si="15"/>
        <v>DS</v>
      </c>
      <c r="C297" s="158" t="s">
        <v>357</v>
      </c>
      <c r="E297" s="268" t="str">
        <f ca="1">_xll.DBRA(Server&amp;$C$24,$C297,$F$21)</f>
        <v>Coûts bureautique, téléphonie (SO)</v>
      </c>
      <c r="F297" s="268"/>
      <c r="G297" s="268"/>
      <c r="H297" s="40"/>
      <c r="I297" s="221" t="str">
        <f ca="1">_xll.DBRW(Server&amp;Cube1,$F$17,$F$18,$F$19,$F$16,$C$14,$F$15,$F$14,$F$20,I$2,I$1,$C297)</f>
        <v/>
      </c>
      <c r="J297" s="221" t="str">
        <f ca="1">_xll.DBRW(Server&amp;Cube1,$F$17,$F$18,$F$19,$F$16,$C$14,$F$15,$F$14,$F$20,J$2,J$1,$C297)</f>
        <v/>
      </c>
      <c r="K297" s="221" t="e">
        <f ca="1">_xll.DBRW(Server&amp;Cube1,$F$17,$F$18,$F$19,$F$16,$C$14,$F$15,$F$14,$F$20,I$2,I$1,$C297) -_xll.DBRW(Server&amp;Cube1,$F$17,$F$18,$F$19,$F$16,$C$14,$F$15,$F$14,$F$20,K$2,I$1,$C297)</f>
        <v>#VALUE!</v>
      </c>
      <c r="L297" s="221" t="e">
        <f t="shared" ca="1" si="14"/>
        <v>#VALUE!</v>
      </c>
      <c r="M297" s="221" t="e">
        <f t="shared" ca="1" si="13"/>
        <v>#VALUE!</v>
      </c>
      <c r="N297" s="226"/>
      <c r="O297" s="221" t="str">
        <f ca="1">_xll.DBRW(Server&amp;Cube1,$F$17,$F$18,$F$19,$F$16,$C$14,$F$15,$F$14,$F$20,O$2,O$1,$C297)</f>
        <v/>
      </c>
      <c r="P297" s="226"/>
      <c r="Q297" s="240" t="str">
        <f ca="1">IF(_xll.ELCOMPN(Server&amp;$C$24,C297)=0,"YES","NO")</f>
        <v>YES</v>
      </c>
      <c r="R297" s="241">
        <v>0</v>
      </c>
      <c r="S297" s="226"/>
      <c r="T297" s="227" t="str">
        <f ca="1">_xll.DBRW(Server&amp;Cube1,$F$17,$F$18,$F$19,$F$16,$C$14,$F$15,$F$14,$F$20,T$2,$T$1,$C297)</f>
        <v/>
      </c>
      <c r="U297" s="227" t="str">
        <f ca="1">_xll.DBRW(Server&amp;Cube1,$F$17,$F$18,$F$19,$F$16,$C$14,$F$15,$F$14,$F$20,U$2,$U$1,$C297)</f>
        <v/>
      </c>
      <c r="V297" s="227" t="str">
        <f ca="1">_xll.DBRW(Server&amp;Cube1,$F$17,$F$18,$F$19,$F$16,$C$14,$F$15,$F$14,$F$20,V$2,V$1,$C297)</f>
        <v/>
      </c>
      <c r="W297" s="227" t="str">
        <f ca="1">_xll.DBRW(Server&amp;Cube1,$F$17,$F$18,$F$19,$F$16,$C$14,$F$15,$F$14,$F$20,W$2,W$1,$C297)</f>
        <v/>
      </c>
      <c r="X297" s="227" t="str">
        <f ca="1">_xll.DBRW(Server&amp;Cube1,$F$17,$F$18,$F$19,$F$16,$C$14,$F$15,$F$14,$F$20,X$2,X$1,$C297)</f>
        <v/>
      </c>
      <c r="Y297" s="227" t="str">
        <f ca="1">_xll.DBRW(Server&amp;Cube1,$F$17,$F$18,$F$19,$F$16,$C$14,$F$15,$F$14,$F$20,Y$2,Y$1,$C297)</f>
        <v/>
      </c>
      <c r="Z297" s="241"/>
      <c r="AA297" s="241"/>
      <c r="AB297" s="241"/>
      <c r="AC297" s="241"/>
      <c r="AD297" s="241"/>
      <c r="AE297" s="241"/>
      <c r="AF297" s="221" t="str">
        <f ca="1">_xll.DBRW(Server&amp;Cube1,$F$17,$F$18,$F$19,$F$16,$C$14,$F$15,$F$14,$F$20,AF$2,$AF$1,$C297)</f>
        <v/>
      </c>
      <c r="AG297" s="53"/>
      <c r="AH297" s="53"/>
      <c r="AI297" s="53"/>
      <c r="AJ297" s="53"/>
      <c r="AK297" s="53"/>
      <c r="AL297" s="53"/>
      <c r="AM297" s="53"/>
      <c r="AN297" s="53"/>
      <c r="AO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:53" s="9" customFormat="1" ht="24" customHeight="1" x14ac:dyDescent="0.35">
      <c r="A298" s="238">
        <f t="shared" ref="A298:A309" ca="1" si="16">IF($AT$35="YES",1,IF(AND($C$16="5000",$B298="GS"),1,IF(AND($C$16="5010",$B298="GS"),1,IF(AND($C$16="5020",$B298="GS"),1,0))))</f>
        <v>0</v>
      </c>
      <c r="B298" s="163" t="str">
        <f t="shared" si="15"/>
        <v>BD</v>
      </c>
      <c r="C298" s="158" t="s">
        <v>358</v>
      </c>
      <c r="E298" s="268" t="str">
        <f ca="1">_xll.DBRA(Server&amp;$C$24,$C298,$F$21)</f>
        <v>Coûts bureautique, téléphonie (DC)</v>
      </c>
      <c r="F298" s="268"/>
      <c r="G298" s="268"/>
      <c r="H298" s="40"/>
      <c r="I298" s="221" t="str">
        <f ca="1">_xll.DBRW(Server&amp;Cube1,$F$17,$F$18,$F$19,$F$16,$C$14,$F$15,$F$14,$F$20,I$2,I$1,$C298)</f>
        <v/>
      </c>
      <c r="J298" s="221" t="str">
        <f ca="1">_xll.DBRW(Server&amp;Cube1,$F$17,$F$18,$F$19,$F$16,$C$14,$F$15,$F$14,$F$20,J$2,J$1,$C298)</f>
        <v/>
      </c>
      <c r="K298" s="221" t="e">
        <f ca="1">_xll.DBRW(Server&amp;Cube1,$F$17,$F$18,$F$19,$F$16,$C$14,$F$15,$F$14,$F$20,I$2,I$1,$C298) -_xll.DBRW(Server&amp;Cube1,$F$17,$F$18,$F$19,$F$16,$C$14,$F$15,$F$14,$F$20,K$2,I$1,$C298)</f>
        <v>#VALUE!</v>
      </c>
      <c r="L298" s="221" t="e">
        <f t="shared" ca="1" si="14"/>
        <v>#VALUE!</v>
      </c>
      <c r="M298" s="221" t="e">
        <f t="shared" ca="1" si="13"/>
        <v>#VALUE!</v>
      </c>
      <c r="N298" s="226"/>
      <c r="O298" s="221" t="str">
        <f ca="1">_xll.DBRW(Server&amp;Cube1,$F$17,$F$18,$F$19,$F$16,$C$14,$F$15,$F$14,$F$20,O$2,O$1,$C298)</f>
        <v/>
      </c>
      <c r="P298" s="226"/>
      <c r="Q298" s="240" t="str">
        <f ca="1">IF(_xll.ELCOMPN(Server&amp;$C$24,C298)=0,"YES","NO")</f>
        <v>YES</v>
      </c>
      <c r="R298" s="241">
        <v>0</v>
      </c>
      <c r="S298" s="226"/>
      <c r="T298" s="227" t="str">
        <f ca="1">_xll.DBRW(Server&amp;Cube1,$F$17,$F$18,$F$19,$F$16,$C$14,$F$15,$F$14,$F$20,T$2,$T$1,$C298)</f>
        <v/>
      </c>
      <c r="U298" s="227" t="str">
        <f ca="1">_xll.DBRW(Server&amp;Cube1,$F$17,$F$18,$F$19,$F$16,$C$14,$F$15,$F$14,$F$20,U$2,$U$1,$C298)</f>
        <v/>
      </c>
      <c r="V298" s="227" t="str">
        <f ca="1">_xll.DBRW(Server&amp;Cube1,$F$17,$F$18,$F$19,$F$16,$C$14,$F$15,$F$14,$F$20,V$2,V$1,$C298)</f>
        <v/>
      </c>
      <c r="W298" s="227" t="str">
        <f ca="1">_xll.DBRW(Server&amp;Cube1,$F$17,$F$18,$F$19,$F$16,$C$14,$F$15,$F$14,$F$20,W$2,W$1,$C298)</f>
        <v/>
      </c>
      <c r="X298" s="227" t="str">
        <f ca="1">_xll.DBRW(Server&amp;Cube1,$F$17,$F$18,$F$19,$F$16,$C$14,$F$15,$F$14,$F$20,X$2,X$1,$C298)</f>
        <v/>
      </c>
      <c r="Y298" s="227" t="str">
        <f ca="1">_xll.DBRW(Server&amp;Cube1,$F$17,$F$18,$F$19,$F$16,$C$14,$F$15,$F$14,$F$20,Y$2,Y$1,$C298)</f>
        <v/>
      </c>
      <c r="Z298" s="241"/>
      <c r="AA298" s="241"/>
      <c r="AB298" s="241"/>
      <c r="AC298" s="241"/>
      <c r="AD298" s="241"/>
      <c r="AE298" s="241"/>
      <c r="AF298" s="221" t="str">
        <f ca="1">_xll.DBRW(Server&amp;Cube1,$F$17,$F$18,$F$19,$F$16,$C$14,$F$15,$F$14,$F$20,AF$2,$AF$1,$C298)</f>
        <v/>
      </c>
      <c r="AG298" s="53"/>
      <c r="AH298" s="53"/>
      <c r="AI298" s="53"/>
      <c r="AJ298" s="53"/>
      <c r="AK298" s="53"/>
      <c r="AL298" s="53"/>
      <c r="AM298" s="53"/>
      <c r="AN298" s="53"/>
      <c r="AO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:53" s="9" customFormat="1" ht="24" customHeight="1" x14ac:dyDescent="0.35">
      <c r="A299" s="238">
        <f t="shared" ca="1" si="16"/>
        <v>0</v>
      </c>
      <c r="B299" s="163" t="str">
        <f t="shared" si="15"/>
        <v>FI</v>
      </c>
      <c r="C299" s="158" t="s">
        <v>359</v>
      </c>
      <c r="E299" s="268" t="str">
        <f ca="1">_xll.DBRA(Server&amp;$C$24,$C299,$F$21)</f>
        <v>Coûts bureautique, téléphonie (DF)</v>
      </c>
      <c r="F299" s="268"/>
      <c r="G299" s="268"/>
      <c r="H299" s="40"/>
      <c r="I299" s="221" t="str">
        <f ca="1">_xll.DBRW(Server&amp;Cube1,$F$17,$F$18,$F$19,$F$16,$C$14,$F$15,$F$14,$F$20,I$2,I$1,$C299)</f>
        <v/>
      </c>
      <c r="J299" s="221" t="str">
        <f ca="1">_xll.DBRW(Server&amp;Cube1,$F$17,$F$18,$F$19,$F$16,$C$14,$F$15,$F$14,$F$20,J$2,J$1,$C299)</f>
        <v/>
      </c>
      <c r="K299" s="221" t="e">
        <f ca="1">_xll.DBRW(Server&amp;Cube1,$F$17,$F$18,$F$19,$F$16,$C$14,$F$15,$F$14,$F$20,I$2,I$1,$C299) -_xll.DBRW(Server&amp;Cube1,$F$17,$F$18,$F$19,$F$16,$C$14,$F$15,$F$14,$F$20,K$2,I$1,$C299)</f>
        <v>#VALUE!</v>
      </c>
      <c r="L299" s="221" t="e">
        <f t="shared" ca="1" si="14"/>
        <v>#VALUE!</v>
      </c>
      <c r="M299" s="221" t="e">
        <f t="shared" ca="1" si="13"/>
        <v>#VALUE!</v>
      </c>
      <c r="N299" s="226"/>
      <c r="O299" s="221" t="str">
        <f ca="1">_xll.DBRW(Server&amp;Cube1,$F$17,$F$18,$F$19,$F$16,$C$14,$F$15,$F$14,$F$20,O$2,O$1,$C299)</f>
        <v/>
      </c>
      <c r="P299" s="226"/>
      <c r="Q299" s="240" t="str">
        <f ca="1">IF(_xll.ELCOMPN(Server&amp;$C$24,C299)=0,"YES","NO")</f>
        <v>YES</v>
      </c>
      <c r="R299" s="241">
        <v>0</v>
      </c>
      <c r="S299" s="226"/>
      <c r="T299" s="227" t="str">
        <f ca="1">_xll.DBRW(Server&amp;Cube1,$F$17,$F$18,$F$19,$F$16,$C$14,$F$15,$F$14,$F$20,T$2,$T$1,$C299)</f>
        <v/>
      </c>
      <c r="U299" s="227" t="str">
        <f ca="1">_xll.DBRW(Server&amp;Cube1,$F$17,$F$18,$F$19,$F$16,$C$14,$F$15,$F$14,$F$20,U$2,$U$1,$C299)</f>
        <v/>
      </c>
      <c r="V299" s="227" t="str">
        <f ca="1">_xll.DBRW(Server&amp;Cube1,$F$17,$F$18,$F$19,$F$16,$C$14,$F$15,$F$14,$F$20,V$2,V$1,$C299)</f>
        <v/>
      </c>
      <c r="W299" s="227" t="str">
        <f ca="1">_xll.DBRW(Server&amp;Cube1,$F$17,$F$18,$F$19,$F$16,$C$14,$F$15,$F$14,$F$20,W$2,W$1,$C299)</f>
        <v/>
      </c>
      <c r="X299" s="227" t="str">
        <f ca="1">_xll.DBRW(Server&amp;Cube1,$F$17,$F$18,$F$19,$F$16,$C$14,$F$15,$F$14,$F$20,X$2,X$1,$C299)</f>
        <v/>
      </c>
      <c r="Y299" s="227" t="str">
        <f ca="1">_xll.DBRW(Server&amp;Cube1,$F$17,$F$18,$F$19,$F$16,$C$14,$F$15,$F$14,$F$20,Y$2,Y$1,$C299)</f>
        <v/>
      </c>
      <c r="Z299" s="241"/>
      <c r="AA299" s="241"/>
      <c r="AB299" s="241"/>
      <c r="AC299" s="241"/>
      <c r="AD299" s="241"/>
      <c r="AE299" s="241"/>
      <c r="AF299" s="221" t="str">
        <f ca="1">_xll.DBRW(Server&amp;Cube1,$F$17,$F$18,$F$19,$F$16,$C$14,$F$15,$F$14,$F$20,AF$2,$AF$1,$C299)</f>
        <v/>
      </c>
      <c r="AG299" s="53"/>
      <c r="AH299" s="53"/>
      <c r="AI299" s="53"/>
      <c r="AJ299" s="53"/>
      <c r="AK299" s="53"/>
      <c r="AL299" s="53"/>
      <c r="AM299" s="53"/>
      <c r="AN299" s="53"/>
      <c r="AO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:53" s="9" customFormat="1" ht="24" customHeight="1" x14ac:dyDescent="0.35">
      <c r="A300" s="238">
        <f t="shared" ca="1" si="16"/>
        <v>0</v>
      </c>
      <c r="B300" s="163" t="str">
        <f t="shared" si="15"/>
        <v>IT</v>
      </c>
      <c r="C300" s="158" t="s">
        <v>360</v>
      </c>
      <c r="E300" s="268" t="str">
        <f ca="1">_xll.DBRA(Server&amp;$C$24,$C300,$F$21)</f>
        <v>Coûts bureautique, téléphonie (IT)</v>
      </c>
      <c r="F300" s="268"/>
      <c r="G300" s="268"/>
      <c r="H300" s="40"/>
      <c r="I300" s="221" t="str">
        <f ca="1">_xll.DBRW(Server&amp;Cube1,$F$17,$F$18,$F$19,$F$16,$C$14,$F$15,$F$14,$F$20,I$2,I$1,$C300)</f>
        <v/>
      </c>
      <c r="J300" s="221" t="str">
        <f ca="1">_xll.DBRW(Server&amp;Cube1,$F$17,$F$18,$F$19,$F$16,$C$14,$F$15,$F$14,$F$20,J$2,J$1,$C300)</f>
        <v/>
      </c>
      <c r="K300" s="221" t="e">
        <f ca="1">_xll.DBRW(Server&amp;Cube1,$F$17,$F$18,$F$19,$F$16,$C$14,$F$15,$F$14,$F$20,I$2,I$1,$C300) -_xll.DBRW(Server&amp;Cube1,$F$17,$F$18,$F$19,$F$16,$C$14,$F$15,$F$14,$F$20,K$2,I$1,$C300)</f>
        <v>#VALUE!</v>
      </c>
      <c r="L300" s="221" t="e">
        <f t="shared" ca="1" si="14"/>
        <v>#VALUE!</v>
      </c>
      <c r="M300" s="221" t="e">
        <f t="shared" ca="1" si="13"/>
        <v>#VALUE!</v>
      </c>
      <c r="N300" s="226"/>
      <c r="O300" s="221" t="str">
        <f ca="1">_xll.DBRW(Server&amp;Cube1,$F$17,$F$18,$F$19,$F$16,$C$14,$F$15,$F$14,$F$20,O$2,O$1,$C300)</f>
        <v/>
      </c>
      <c r="P300" s="226"/>
      <c r="Q300" s="240" t="str">
        <f ca="1">IF(_xll.ELCOMPN(Server&amp;$C$24,C300)=0,"YES","NO")</f>
        <v>YES</v>
      </c>
      <c r="R300" s="241">
        <v>0</v>
      </c>
      <c r="S300" s="226"/>
      <c r="T300" s="227" t="str">
        <f ca="1">_xll.DBRW(Server&amp;Cube1,$F$17,$F$18,$F$19,$F$16,$C$14,$F$15,$F$14,$F$20,T$2,$T$1,$C300)</f>
        <v/>
      </c>
      <c r="U300" s="227" t="str">
        <f ca="1">_xll.DBRW(Server&amp;Cube1,$F$17,$F$18,$F$19,$F$16,$C$14,$F$15,$F$14,$F$20,U$2,$U$1,$C300)</f>
        <v/>
      </c>
      <c r="V300" s="227" t="str">
        <f ca="1">_xll.DBRW(Server&amp;Cube1,$F$17,$F$18,$F$19,$F$16,$C$14,$F$15,$F$14,$F$20,V$2,V$1,$C300)</f>
        <v/>
      </c>
      <c r="W300" s="227" t="str">
        <f ca="1">_xll.DBRW(Server&amp;Cube1,$F$17,$F$18,$F$19,$F$16,$C$14,$F$15,$F$14,$F$20,W$2,W$1,$C300)</f>
        <v/>
      </c>
      <c r="X300" s="227" t="str">
        <f ca="1">_xll.DBRW(Server&amp;Cube1,$F$17,$F$18,$F$19,$F$16,$C$14,$F$15,$F$14,$F$20,X$2,X$1,$C300)</f>
        <v/>
      </c>
      <c r="Y300" s="227" t="str">
        <f ca="1">_xll.DBRW(Server&amp;Cube1,$F$17,$F$18,$F$19,$F$16,$C$14,$F$15,$F$14,$F$20,Y$2,Y$1,$C300)</f>
        <v/>
      </c>
      <c r="Z300" s="241"/>
      <c r="AA300" s="241"/>
      <c r="AB300" s="241"/>
      <c r="AC300" s="241"/>
      <c r="AD300" s="241"/>
      <c r="AE300" s="241"/>
      <c r="AF300" s="221" t="str">
        <f ca="1">_xll.DBRW(Server&amp;Cube1,$F$17,$F$18,$F$19,$F$16,$C$14,$F$15,$F$14,$F$20,AF$2,$AF$1,$C300)</f>
        <v/>
      </c>
      <c r="AG300" s="53"/>
      <c r="AH300" s="53"/>
      <c r="AI300" s="53"/>
      <c r="AJ300" s="53"/>
      <c r="AK300" s="53"/>
      <c r="AL300" s="53"/>
      <c r="AM300" s="53"/>
      <c r="AN300" s="53"/>
      <c r="AO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:53" s="9" customFormat="1" ht="24" customHeight="1" x14ac:dyDescent="0.35">
      <c r="A301" s="238">
        <f t="shared" ca="1" si="16"/>
        <v>0</v>
      </c>
      <c r="B301" s="163" t="str">
        <f t="shared" si="15"/>
        <v>HR</v>
      </c>
      <c r="C301" s="158" t="s">
        <v>361</v>
      </c>
      <c r="E301" s="268" t="str">
        <f ca="1">_xll.DBRA(Server&amp;$C$24,$C301,$F$21)</f>
        <v>Coûts bureautique, téléphonie (RH)</v>
      </c>
      <c r="F301" s="268"/>
      <c r="G301" s="268"/>
      <c r="H301" s="40"/>
      <c r="I301" s="221" t="str">
        <f ca="1">_xll.DBRW(Server&amp;Cube1,$F$17,$F$18,$F$19,$F$16,$C$14,$F$15,$F$14,$F$20,I$2,I$1,$C301)</f>
        <v/>
      </c>
      <c r="J301" s="221" t="str">
        <f ca="1">_xll.DBRW(Server&amp;Cube1,$F$17,$F$18,$F$19,$F$16,$C$14,$F$15,$F$14,$F$20,J$2,J$1,$C301)</f>
        <v/>
      </c>
      <c r="K301" s="221" t="e">
        <f ca="1">_xll.DBRW(Server&amp;Cube1,$F$17,$F$18,$F$19,$F$16,$C$14,$F$15,$F$14,$F$20,I$2,I$1,$C301) -_xll.DBRW(Server&amp;Cube1,$F$17,$F$18,$F$19,$F$16,$C$14,$F$15,$F$14,$F$20,K$2,I$1,$C301)</f>
        <v>#VALUE!</v>
      </c>
      <c r="L301" s="221" t="e">
        <f t="shared" ca="1" si="14"/>
        <v>#VALUE!</v>
      </c>
      <c r="M301" s="221" t="e">
        <f t="shared" ca="1" si="13"/>
        <v>#VALUE!</v>
      </c>
      <c r="N301" s="226"/>
      <c r="O301" s="221" t="str">
        <f ca="1">_xll.DBRW(Server&amp;Cube1,$F$17,$F$18,$F$19,$F$16,$C$14,$F$15,$F$14,$F$20,O$2,O$1,$C301)</f>
        <v/>
      </c>
      <c r="P301" s="226"/>
      <c r="Q301" s="240" t="str">
        <f ca="1">IF(_xll.ELCOMPN(Server&amp;$C$24,C301)=0,"YES","NO")</f>
        <v>YES</v>
      </c>
      <c r="R301" s="241">
        <v>0</v>
      </c>
      <c r="S301" s="226"/>
      <c r="T301" s="227" t="str">
        <f ca="1">_xll.DBRW(Server&amp;Cube1,$F$17,$F$18,$F$19,$F$16,$C$14,$F$15,$F$14,$F$20,T$2,$T$1,$C301)</f>
        <v/>
      </c>
      <c r="U301" s="227" t="str">
        <f ca="1">_xll.DBRW(Server&amp;Cube1,$F$17,$F$18,$F$19,$F$16,$C$14,$F$15,$F$14,$F$20,U$2,$U$1,$C301)</f>
        <v/>
      </c>
      <c r="V301" s="227" t="str">
        <f ca="1">_xll.DBRW(Server&amp;Cube1,$F$17,$F$18,$F$19,$F$16,$C$14,$F$15,$F$14,$F$20,V$2,V$1,$C301)</f>
        <v/>
      </c>
      <c r="W301" s="227" t="str">
        <f ca="1">_xll.DBRW(Server&amp;Cube1,$F$17,$F$18,$F$19,$F$16,$C$14,$F$15,$F$14,$F$20,W$2,W$1,$C301)</f>
        <v/>
      </c>
      <c r="X301" s="227" t="str">
        <f ca="1">_xll.DBRW(Server&amp;Cube1,$F$17,$F$18,$F$19,$F$16,$C$14,$F$15,$F$14,$F$20,X$2,X$1,$C301)</f>
        <v/>
      </c>
      <c r="Y301" s="227" t="str">
        <f ca="1">_xll.DBRW(Server&amp;Cube1,$F$17,$F$18,$F$19,$F$16,$C$14,$F$15,$F$14,$F$20,Y$2,Y$1,$C301)</f>
        <v/>
      </c>
      <c r="Z301" s="241"/>
      <c r="AA301" s="241"/>
      <c r="AB301" s="241"/>
      <c r="AC301" s="241"/>
      <c r="AD301" s="241"/>
      <c r="AE301" s="241"/>
      <c r="AF301" s="221" t="str">
        <f ca="1">_xll.DBRW(Server&amp;Cube1,$F$17,$F$18,$F$19,$F$16,$C$14,$F$15,$F$14,$F$20,AF$2,$AF$1,$C301)</f>
        <v/>
      </c>
      <c r="AG301" s="53"/>
      <c r="AH301" s="53"/>
      <c r="AI301" s="53"/>
      <c r="AJ301" s="53"/>
      <c r="AK301" s="53"/>
      <c r="AL301" s="53"/>
      <c r="AM301" s="53"/>
      <c r="AN301" s="53"/>
      <c r="AO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:53" s="9" customFormat="1" ht="24" customHeight="1" x14ac:dyDescent="0.35">
      <c r="A302" s="238">
        <f t="shared" ca="1" si="16"/>
        <v>0</v>
      </c>
      <c r="B302" s="163" t="str">
        <f t="shared" si="15"/>
        <v>GM</v>
      </c>
      <c r="C302" s="158" t="s">
        <v>362</v>
      </c>
      <c r="E302" s="268" t="str">
        <f ca="1">_xll.DBRA(Server&amp;$C$24,$C302,$F$21)</f>
        <v>Coûts bureautique, téléphonie (DG)</v>
      </c>
      <c r="F302" s="268"/>
      <c r="G302" s="268"/>
      <c r="H302" s="40"/>
      <c r="I302" s="221" t="str">
        <f ca="1">_xll.DBRW(Server&amp;Cube1,$F$17,$F$18,$F$19,$F$16,$C$14,$F$15,$F$14,$F$20,I$2,I$1,$C302)</f>
        <v/>
      </c>
      <c r="J302" s="221" t="str">
        <f ca="1">_xll.DBRW(Server&amp;Cube1,$F$17,$F$18,$F$19,$F$16,$C$14,$F$15,$F$14,$F$20,J$2,J$1,$C302)</f>
        <v/>
      </c>
      <c r="K302" s="221" t="e">
        <f ca="1">_xll.DBRW(Server&amp;Cube1,$F$17,$F$18,$F$19,$F$16,$C$14,$F$15,$F$14,$F$20,I$2,I$1,$C302) -_xll.DBRW(Server&amp;Cube1,$F$17,$F$18,$F$19,$F$16,$C$14,$F$15,$F$14,$F$20,K$2,I$1,$C302)</f>
        <v>#VALUE!</v>
      </c>
      <c r="L302" s="221" t="e">
        <f t="shared" ca="1" si="14"/>
        <v>#VALUE!</v>
      </c>
      <c r="M302" s="221" t="e">
        <f t="shared" ca="1" si="13"/>
        <v>#VALUE!</v>
      </c>
      <c r="N302" s="226"/>
      <c r="O302" s="221" t="str">
        <f ca="1">_xll.DBRW(Server&amp;Cube1,$F$17,$F$18,$F$19,$F$16,$C$14,$F$15,$F$14,$F$20,O$2,O$1,$C302)</f>
        <v/>
      </c>
      <c r="P302" s="226"/>
      <c r="Q302" s="240" t="str">
        <f ca="1">IF(_xll.ELCOMPN(Server&amp;$C$24,C302)=0,"YES","NO")</f>
        <v>YES</v>
      </c>
      <c r="R302" s="241">
        <v>0</v>
      </c>
      <c r="S302" s="226"/>
      <c r="T302" s="227" t="str">
        <f ca="1">_xll.DBRW(Server&amp;Cube1,$F$17,$F$18,$F$19,$F$16,$C$14,$F$15,$F$14,$F$20,T$2,$T$1,$C302)</f>
        <v/>
      </c>
      <c r="U302" s="227" t="str">
        <f ca="1">_xll.DBRW(Server&amp;Cube1,$F$17,$F$18,$F$19,$F$16,$C$14,$F$15,$F$14,$F$20,U$2,$U$1,$C302)</f>
        <v/>
      </c>
      <c r="V302" s="227" t="str">
        <f ca="1">_xll.DBRW(Server&amp;Cube1,$F$17,$F$18,$F$19,$F$16,$C$14,$F$15,$F$14,$F$20,V$2,V$1,$C302)</f>
        <v/>
      </c>
      <c r="W302" s="227" t="str">
        <f ca="1">_xll.DBRW(Server&amp;Cube1,$F$17,$F$18,$F$19,$F$16,$C$14,$F$15,$F$14,$F$20,W$2,W$1,$C302)</f>
        <v/>
      </c>
      <c r="X302" s="227" t="str">
        <f ca="1">_xll.DBRW(Server&amp;Cube1,$F$17,$F$18,$F$19,$F$16,$C$14,$F$15,$F$14,$F$20,X$2,X$1,$C302)</f>
        <v/>
      </c>
      <c r="Y302" s="227" t="str">
        <f ca="1">_xll.DBRW(Server&amp;Cube1,$F$17,$F$18,$F$19,$F$16,$C$14,$F$15,$F$14,$F$20,Y$2,Y$1,$C302)</f>
        <v/>
      </c>
      <c r="Z302" s="241"/>
      <c r="AA302" s="241"/>
      <c r="AB302" s="241"/>
      <c r="AC302" s="241"/>
      <c r="AD302" s="241"/>
      <c r="AE302" s="241"/>
      <c r="AF302" s="221" t="str">
        <f ca="1">_xll.DBRW(Server&amp;Cube1,$F$17,$F$18,$F$19,$F$16,$C$14,$F$15,$F$14,$F$20,AF$2,$AF$1,$C302)</f>
        <v/>
      </c>
      <c r="AG302" s="53"/>
      <c r="AH302" s="53"/>
      <c r="AI302" s="53"/>
      <c r="AJ302" s="53"/>
      <c r="AK302" s="53"/>
      <c r="AL302" s="53"/>
      <c r="AM302" s="53"/>
      <c r="AN302" s="53"/>
      <c r="AO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:53" s="9" customFormat="1" ht="24" customHeight="1" x14ac:dyDescent="0.35">
      <c r="A303" s="238">
        <f t="shared" ca="1" si="16"/>
        <v>0</v>
      </c>
      <c r="B303" s="163" t="str">
        <f t="shared" si="15"/>
        <v>IA</v>
      </c>
      <c r="C303" s="158" t="s">
        <v>363</v>
      </c>
      <c r="E303" s="268" t="str">
        <f ca="1">_xll.DBRA(Server&amp;$C$24,$C303,$F$21)</f>
        <v>Coûts bureautique, téléphonie (AI)</v>
      </c>
      <c r="F303" s="268"/>
      <c r="G303" s="268"/>
      <c r="H303" s="40"/>
      <c r="I303" s="221" t="str">
        <f ca="1">_xll.DBRW(Server&amp;Cube1,$F$17,$F$18,$F$19,$F$16,$C$14,$F$15,$F$14,$F$20,I$2,I$1,$C303)</f>
        <v/>
      </c>
      <c r="J303" s="221" t="str">
        <f ca="1">_xll.DBRW(Server&amp;Cube1,$F$17,$F$18,$F$19,$F$16,$C$14,$F$15,$F$14,$F$20,J$2,J$1,$C303)</f>
        <v/>
      </c>
      <c r="K303" s="221" t="e">
        <f ca="1">_xll.DBRW(Server&amp;Cube1,$F$17,$F$18,$F$19,$F$16,$C$14,$F$15,$F$14,$F$20,I$2,I$1,$C303) -_xll.DBRW(Server&amp;Cube1,$F$17,$F$18,$F$19,$F$16,$C$14,$F$15,$F$14,$F$20,K$2,I$1,$C303)</f>
        <v>#VALUE!</v>
      </c>
      <c r="L303" s="221" t="e">
        <f t="shared" ca="1" si="14"/>
        <v>#VALUE!</v>
      </c>
      <c r="M303" s="221" t="e">
        <f t="shared" ca="1" si="13"/>
        <v>#VALUE!</v>
      </c>
      <c r="N303" s="226"/>
      <c r="O303" s="221" t="str">
        <f ca="1">_xll.DBRW(Server&amp;Cube1,$F$17,$F$18,$F$19,$F$16,$C$14,$F$15,$F$14,$F$20,O$2,O$1,$C303)</f>
        <v/>
      </c>
      <c r="P303" s="226"/>
      <c r="Q303" s="240" t="str">
        <f ca="1">IF(_xll.ELCOMPN(Server&amp;$C$24,C303)=0,"YES","NO")</f>
        <v>YES</v>
      </c>
      <c r="R303" s="241">
        <v>0</v>
      </c>
      <c r="S303" s="226"/>
      <c r="T303" s="227" t="str">
        <f ca="1">_xll.DBRW(Server&amp;Cube1,$F$17,$F$18,$F$19,$F$16,$C$14,$F$15,$F$14,$F$20,T$2,$T$1,$C303)</f>
        <v/>
      </c>
      <c r="U303" s="227" t="str">
        <f ca="1">_xll.DBRW(Server&amp;Cube1,$F$17,$F$18,$F$19,$F$16,$C$14,$F$15,$F$14,$F$20,U$2,$U$1,$C303)</f>
        <v/>
      </c>
      <c r="V303" s="227" t="str">
        <f ca="1">_xll.DBRW(Server&amp;Cube1,$F$17,$F$18,$F$19,$F$16,$C$14,$F$15,$F$14,$F$20,V$2,V$1,$C303)</f>
        <v/>
      </c>
      <c r="W303" s="227" t="str">
        <f ca="1">_xll.DBRW(Server&amp;Cube1,$F$17,$F$18,$F$19,$F$16,$C$14,$F$15,$F$14,$F$20,W$2,W$1,$C303)</f>
        <v/>
      </c>
      <c r="X303" s="227" t="str">
        <f ca="1">_xll.DBRW(Server&amp;Cube1,$F$17,$F$18,$F$19,$F$16,$C$14,$F$15,$F$14,$F$20,X$2,X$1,$C303)</f>
        <v/>
      </c>
      <c r="Y303" s="227" t="str">
        <f ca="1">_xll.DBRW(Server&amp;Cube1,$F$17,$F$18,$F$19,$F$16,$C$14,$F$15,$F$14,$F$20,Y$2,Y$1,$C303)</f>
        <v/>
      </c>
      <c r="Z303" s="241"/>
      <c r="AA303" s="241"/>
      <c r="AB303" s="241"/>
      <c r="AC303" s="241"/>
      <c r="AD303" s="241"/>
      <c r="AE303" s="241"/>
      <c r="AF303" s="221" t="str">
        <f ca="1">_xll.DBRW(Server&amp;Cube1,$F$17,$F$18,$F$19,$F$16,$C$14,$F$15,$F$14,$F$20,AF$2,$AF$1,$C303)</f>
        <v/>
      </c>
      <c r="AG303" s="53"/>
      <c r="AH303" s="53"/>
      <c r="AI303" s="53"/>
      <c r="AJ303" s="53"/>
      <c r="AK303" s="53"/>
      <c r="AL303" s="53"/>
      <c r="AM303" s="53"/>
      <c r="AN303" s="53"/>
      <c r="AO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:53" s="9" customFormat="1" ht="24" customHeight="1" x14ac:dyDescent="0.35">
      <c r="A304" s="238">
        <f t="shared" ca="1" si="16"/>
        <v>0</v>
      </c>
      <c r="B304" s="163" t="str">
        <f t="shared" si="15"/>
        <v>LE</v>
      </c>
      <c r="C304" s="158" t="s">
        <v>364</v>
      </c>
      <c r="E304" s="268" t="str">
        <f ca="1">_xll.DBRA(Server&amp;$C$24,$C304,$F$21)</f>
        <v>Coûts bureautique, téléphonie (JU)</v>
      </c>
      <c r="F304" s="268"/>
      <c r="G304" s="268"/>
      <c r="H304" s="40"/>
      <c r="I304" s="221" t="str">
        <f ca="1">_xll.DBRW(Server&amp;Cube1,$F$17,$F$18,$F$19,$F$16,$C$14,$F$15,$F$14,$F$20,I$2,I$1,$C304)</f>
        <v/>
      </c>
      <c r="J304" s="221" t="str">
        <f ca="1">_xll.DBRW(Server&amp;Cube1,$F$17,$F$18,$F$19,$F$16,$C$14,$F$15,$F$14,$F$20,J$2,J$1,$C304)</f>
        <v/>
      </c>
      <c r="K304" s="221" t="e">
        <f ca="1">_xll.DBRW(Server&amp;Cube1,$F$17,$F$18,$F$19,$F$16,$C$14,$F$15,$F$14,$F$20,I$2,I$1,$C304) -_xll.DBRW(Server&amp;Cube1,$F$17,$F$18,$F$19,$F$16,$C$14,$F$15,$F$14,$F$20,K$2,I$1,$C304)</f>
        <v>#VALUE!</v>
      </c>
      <c r="L304" s="221" t="e">
        <f t="shared" ca="1" si="14"/>
        <v>#VALUE!</v>
      </c>
      <c r="M304" s="221" t="e">
        <f t="shared" ca="1" si="13"/>
        <v>#VALUE!</v>
      </c>
      <c r="N304" s="226"/>
      <c r="O304" s="221" t="str">
        <f ca="1">_xll.DBRW(Server&amp;Cube1,$F$17,$F$18,$F$19,$F$16,$C$14,$F$15,$F$14,$F$20,O$2,O$1,$C304)</f>
        <v/>
      </c>
      <c r="P304" s="226"/>
      <c r="Q304" s="240" t="str">
        <f ca="1">IF(_xll.ELCOMPN(Server&amp;$C$24,C304)=0,"YES","NO")</f>
        <v>YES</v>
      </c>
      <c r="R304" s="241">
        <v>0</v>
      </c>
      <c r="S304" s="226"/>
      <c r="T304" s="227" t="str">
        <f ca="1">_xll.DBRW(Server&amp;Cube1,$F$17,$F$18,$F$19,$F$16,$C$14,$F$15,$F$14,$F$20,T$2,$T$1,$C304)</f>
        <v/>
      </c>
      <c r="U304" s="227" t="str">
        <f ca="1">_xll.DBRW(Server&amp;Cube1,$F$17,$F$18,$F$19,$F$16,$C$14,$F$15,$F$14,$F$20,U$2,$U$1,$C304)</f>
        <v/>
      </c>
      <c r="V304" s="227" t="str">
        <f ca="1">_xll.DBRW(Server&amp;Cube1,$F$17,$F$18,$F$19,$F$16,$C$14,$F$15,$F$14,$F$20,V$2,V$1,$C304)</f>
        <v/>
      </c>
      <c r="W304" s="227" t="str">
        <f ca="1">_xll.DBRW(Server&amp;Cube1,$F$17,$F$18,$F$19,$F$16,$C$14,$F$15,$F$14,$F$20,W$2,W$1,$C304)</f>
        <v/>
      </c>
      <c r="X304" s="227" t="str">
        <f ca="1">_xll.DBRW(Server&amp;Cube1,$F$17,$F$18,$F$19,$F$16,$C$14,$F$15,$F$14,$F$20,X$2,X$1,$C304)</f>
        <v/>
      </c>
      <c r="Y304" s="227" t="str">
        <f ca="1">_xll.DBRW(Server&amp;Cube1,$F$17,$F$18,$F$19,$F$16,$C$14,$F$15,$F$14,$F$20,Y$2,Y$1,$C304)</f>
        <v/>
      </c>
      <c r="Z304" s="241"/>
      <c r="AA304" s="241"/>
      <c r="AB304" s="241"/>
      <c r="AC304" s="241"/>
      <c r="AD304" s="241"/>
      <c r="AE304" s="241"/>
      <c r="AF304" s="221" t="str">
        <f ca="1">_xll.DBRW(Server&amp;Cube1,$F$17,$F$18,$F$19,$F$16,$C$14,$F$15,$F$14,$F$20,AF$2,$AF$1,$C304)</f>
        <v/>
      </c>
      <c r="AG304" s="53"/>
      <c r="AH304" s="53"/>
      <c r="AI304" s="53"/>
      <c r="AJ304" s="53"/>
      <c r="AK304" s="53"/>
      <c r="AL304" s="53"/>
      <c r="AM304" s="53"/>
      <c r="AN304" s="53"/>
      <c r="AO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:53" s="9" customFormat="1" ht="24" customHeight="1" x14ac:dyDescent="0.35">
      <c r="A305" s="238">
        <f t="shared" ca="1" si="16"/>
        <v>0</v>
      </c>
      <c r="B305" s="163" t="str">
        <f t="shared" si="15"/>
        <v>RM</v>
      </c>
      <c r="C305" s="158" t="s">
        <v>365</v>
      </c>
      <c r="E305" s="268" t="str">
        <f ca="1">_xll.DBRA(Server&amp;$C$24,$C305,$F$21)</f>
        <v>Coûts bureautique, téléphonie (GR)</v>
      </c>
      <c r="F305" s="268"/>
      <c r="G305" s="268"/>
      <c r="H305" s="40"/>
      <c r="I305" s="221" t="str">
        <f ca="1">_xll.DBRW(Server&amp;Cube1,$F$17,$F$18,$F$19,$F$16,$C$14,$F$15,$F$14,$F$20,I$2,I$1,$C305)</f>
        <v/>
      </c>
      <c r="J305" s="221" t="str">
        <f ca="1">_xll.DBRW(Server&amp;Cube1,$F$17,$F$18,$F$19,$F$16,$C$14,$F$15,$F$14,$F$20,J$2,J$1,$C305)</f>
        <v/>
      </c>
      <c r="K305" s="221" t="e">
        <f ca="1">_xll.DBRW(Server&amp;Cube1,$F$17,$F$18,$F$19,$F$16,$C$14,$F$15,$F$14,$F$20,I$2,I$1,$C305) -_xll.DBRW(Server&amp;Cube1,$F$17,$F$18,$F$19,$F$16,$C$14,$F$15,$F$14,$F$20,K$2,I$1,$C305)</f>
        <v>#VALUE!</v>
      </c>
      <c r="L305" s="221" t="e">
        <f t="shared" ca="1" si="14"/>
        <v>#VALUE!</v>
      </c>
      <c r="M305" s="221" t="e">
        <f t="shared" ca="1" si="13"/>
        <v>#VALUE!</v>
      </c>
      <c r="N305" s="226"/>
      <c r="O305" s="221" t="str">
        <f ca="1">_xll.DBRW(Server&amp;Cube1,$F$17,$F$18,$F$19,$F$16,$C$14,$F$15,$F$14,$F$20,O$2,O$1,$C305)</f>
        <v/>
      </c>
      <c r="P305" s="226"/>
      <c r="Q305" s="240" t="str">
        <f ca="1">IF(_xll.ELCOMPN(Server&amp;$C$24,C305)=0,"YES","NO")</f>
        <v>YES</v>
      </c>
      <c r="R305" s="241">
        <v>0</v>
      </c>
      <c r="S305" s="226"/>
      <c r="T305" s="227" t="str">
        <f ca="1">_xll.DBRW(Server&amp;Cube1,$F$17,$F$18,$F$19,$F$16,$C$14,$F$15,$F$14,$F$20,T$2,$T$1,$C305)</f>
        <v/>
      </c>
      <c r="U305" s="227" t="str">
        <f ca="1">_xll.DBRW(Server&amp;Cube1,$F$17,$F$18,$F$19,$F$16,$C$14,$F$15,$F$14,$F$20,U$2,$U$1,$C305)</f>
        <v/>
      </c>
      <c r="V305" s="227" t="str">
        <f ca="1">_xll.DBRW(Server&amp;Cube1,$F$17,$F$18,$F$19,$F$16,$C$14,$F$15,$F$14,$F$20,V$2,V$1,$C305)</f>
        <v/>
      </c>
      <c r="W305" s="227" t="str">
        <f ca="1">_xll.DBRW(Server&amp;Cube1,$F$17,$F$18,$F$19,$F$16,$C$14,$F$15,$F$14,$F$20,W$2,W$1,$C305)</f>
        <v/>
      </c>
      <c r="X305" s="227" t="str">
        <f ca="1">_xll.DBRW(Server&amp;Cube1,$F$17,$F$18,$F$19,$F$16,$C$14,$F$15,$F$14,$F$20,X$2,X$1,$C305)</f>
        <v/>
      </c>
      <c r="Y305" s="227" t="str">
        <f ca="1">_xll.DBRW(Server&amp;Cube1,$F$17,$F$18,$F$19,$F$16,$C$14,$F$15,$F$14,$F$20,Y$2,Y$1,$C305)</f>
        <v/>
      </c>
      <c r="Z305" s="241"/>
      <c r="AA305" s="241"/>
      <c r="AB305" s="241"/>
      <c r="AC305" s="241"/>
      <c r="AD305" s="241"/>
      <c r="AE305" s="241"/>
      <c r="AF305" s="221" t="str">
        <f ca="1">_xll.DBRW(Server&amp;Cube1,$F$17,$F$18,$F$19,$F$16,$C$14,$F$15,$F$14,$F$20,AF$2,$AF$1,$C305)</f>
        <v/>
      </c>
      <c r="AG305" s="53"/>
      <c r="AH305" s="53"/>
      <c r="AI305" s="53"/>
      <c r="AJ305" s="53"/>
      <c r="AK305" s="53"/>
      <c r="AL305" s="53"/>
      <c r="AM305" s="53"/>
      <c r="AN305" s="53"/>
      <c r="AO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:53" s="9" customFormat="1" ht="24" customHeight="1" x14ac:dyDescent="0.35">
      <c r="A306" s="238">
        <f t="shared" ca="1" si="16"/>
        <v>0</v>
      </c>
      <c r="B306" s="163" t="str">
        <f t="shared" si="15"/>
        <v>PU</v>
      </c>
      <c r="C306" s="158" t="s">
        <v>366</v>
      </c>
      <c r="E306" s="268" t="str">
        <f ca="1">_xll.DBRA(Server&amp;$C$24,$C306,$F$21)</f>
        <v>Coûts bureautique, téléphonie (AC)</v>
      </c>
      <c r="F306" s="268"/>
      <c r="G306" s="268"/>
      <c r="H306" s="40"/>
      <c r="I306" s="221" t="str">
        <f ca="1">_xll.DBRW(Server&amp;Cube1,$F$17,$F$18,$F$19,$F$16,$C$14,$F$15,$F$14,$F$20,I$2,I$1,$C306)</f>
        <v/>
      </c>
      <c r="J306" s="221" t="str">
        <f ca="1">_xll.DBRW(Server&amp;Cube1,$F$17,$F$18,$F$19,$F$16,$C$14,$F$15,$F$14,$F$20,J$2,J$1,$C306)</f>
        <v/>
      </c>
      <c r="K306" s="221" t="e">
        <f ca="1">_xll.DBRW(Server&amp;Cube1,$F$17,$F$18,$F$19,$F$16,$C$14,$F$15,$F$14,$F$20,I$2,I$1,$C306) -_xll.DBRW(Server&amp;Cube1,$F$17,$F$18,$F$19,$F$16,$C$14,$F$15,$F$14,$F$20,K$2,I$1,$C306)</f>
        <v>#VALUE!</v>
      </c>
      <c r="L306" s="221" t="e">
        <f t="shared" ca="1" si="14"/>
        <v>#VALUE!</v>
      </c>
      <c r="M306" s="221" t="e">
        <f t="shared" ca="1" si="13"/>
        <v>#VALUE!</v>
      </c>
      <c r="N306" s="226"/>
      <c r="O306" s="221" t="str">
        <f ca="1">_xll.DBRW(Server&amp;Cube1,$F$17,$F$18,$F$19,$F$16,$C$14,$F$15,$F$14,$F$20,O$2,O$1,$C306)</f>
        <v/>
      </c>
      <c r="P306" s="226"/>
      <c r="Q306" s="240" t="str">
        <f ca="1">IF(_xll.ELCOMPN(Server&amp;$C$24,C306)=0,"YES","NO")</f>
        <v>YES</v>
      </c>
      <c r="R306" s="241">
        <v>0</v>
      </c>
      <c r="S306" s="226"/>
      <c r="T306" s="227" t="str">
        <f ca="1">_xll.DBRW(Server&amp;Cube1,$F$17,$F$18,$F$19,$F$16,$C$14,$F$15,$F$14,$F$20,T$2,$T$1,$C306)</f>
        <v/>
      </c>
      <c r="U306" s="227" t="str">
        <f ca="1">_xll.DBRW(Server&amp;Cube1,$F$17,$F$18,$F$19,$F$16,$C$14,$F$15,$F$14,$F$20,U$2,$U$1,$C306)</f>
        <v/>
      </c>
      <c r="V306" s="227" t="str">
        <f ca="1">_xll.DBRW(Server&amp;Cube1,$F$17,$F$18,$F$19,$F$16,$C$14,$F$15,$F$14,$F$20,V$2,V$1,$C306)</f>
        <v/>
      </c>
      <c r="W306" s="227" t="str">
        <f ca="1">_xll.DBRW(Server&amp;Cube1,$F$17,$F$18,$F$19,$F$16,$C$14,$F$15,$F$14,$F$20,W$2,W$1,$C306)</f>
        <v/>
      </c>
      <c r="X306" s="227" t="str">
        <f ca="1">_xll.DBRW(Server&amp;Cube1,$F$17,$F$18,$F$19,$F$16,$C$14,$F$15,$F$14,$F$20,X$2,X$1,$C306)</f>
        <v/>
      </c>
      <c r="Y306" s="227" t="str">
        <f ca="1">_xll.DBRW(Server&amp;Cube1,$F$17,$F$18,$F$19,$F$16,$C$14,$F$15,$F$14,$F$20,Y$2,Y$1,$C306)</f>
        <v/>
      </c>
      <c r="Z306" s="241"/>
      <c r="AA306" s="241"/>
      <c r="AB306" s="241"/>
      <c r="AC306" s="241"/>
      <c r="AD306" s="241"/>
      <c r="AE306" s="241"/>
      <c r="AF306" s="221" t="str">
        <f ca="1">_xll.DBRW(Server&amp;Cube1,$F$17,$F$18,$F$19,$F$16,$C$14,$F$15,$F$14,$F$20,AF$2,$AF$1,$C306)</f>
        <v/>
      </c>
      <c r="AG306" s="53"/>
      <c r="AH306" s="53"/>
      <c r="AI306" s="53"/>
      <c r="AJ306" s="53"/>
      <c r="AK306" s="53"/>
      <c r="AL306" s="53"/>
      <c r="AM306" s="53"/>
      <c r="AN306" s="53"/>
      <c r="AO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:53" s="9" customFormat="1" ht="24" customHeight="1" x14ac:dyDescent="0.35">
      <c r="A307" s="238">
        <f t="shared" ca="1" si="16"/>
        <v>0</v>
      </c>
      <c r="B307" s="163" t="str">
        <f t="shared" si="15"/>
        <v>CO</v>
      </c>
      <c r="C307" s="158" t="s">
        <v>367</v>
      </c>
      <c r="E307" s="268" t="str">
        <f ca="1">_xll.DBRA(Server&amp;$C$24,$C307,$F$21)</f>
        <v>Coûts bureautique, téléphonie (CO)</v>
      </c>
      <c r="F307" s="268"/>
      <c r="G307" s="268"/>
      <c r="H307" s="40"/>
      <c r="I307" s="221" t="str">
        <f ca="1">_xll.DBRW(Server&amp;Cube1,$F$17,$F$18,$F$19,$F$16,$C$14,$F$15,$F$14,$F$20,I$2,I$1,$C307)</f>
        <v/>
      </c>
      <c r="J307" s="221" t="str">
        <f ca="1">_xll.DBRW(Server&amp;Cube1,$F$17,$F$18,$F$19,$F$16,$C$14,$F$15,$F$14,$F$20,J$2,J$1,$C307)</f>
        <v/>
      </c>
      <c r="K307" s="221" t="e">
        <f ca="1">_xll.DBRW(Server&amp;Cube1,$F$17,$F$18,$F$19,$F$16,$C$14,$F$15,$F$14,$F$20,I$2,I$1,$C307) -_xll.DBRW(Server&amp;Cube1,$F$17,$F$18,$F$19,$F$16,$C$14,$F$15,$F$14,$F$20,K$2,I$1,$C307)</f>
        <v>#VALUE!</v>
      </c>
      <c r="L307" s="221" t="e">
        <f t="shared" ca="1" si="14"/>
        <v>#VALUE!</v>
      </c>
      <c r="M307" s="221" t="e">
        <f t="shared" ca="1" si="13"/>
        <v>#VALUE!</v>
      </c>
      <c r="N307" s="226"/>
      <c r="O307" s="221" t="str">
        <f ca="1">_xll.DBRW(Server&amp;Cube1,$F$17,$F$18,$F$19,$F$16,$C$14,$F$15,$F$14,$F$20,O$2,O$1,$C307)</f>
        <v/>
      </c>
      <c r="P307" s="226"/>
      <c r="Q307" s="240" t="str">
        <f ca="1">IF(_xll.ELCOMPN(Server&amp;$C$24,C307)=0,"YES","NO")</f>
        <v>YES</v>
      </c>
      <c r="R307" s="241">
        <v>0</v>
      </c>
      <c r="S307" s="226"/>
      <c r="T307" s="227" t="str">
        <f ca="1">_xll.DBRW(Server&amp;Cube1,$F$17,$F$18,$F$19,$F$16,$C$14,$F$15,$F$14,$F$20,T$2,$T$1,$C307)</f>
        <v/>
      </c>
      <c r="U307" s="227" t="str">
        <f ca="1">_xll.DBRW(Server&amp;Cube1,$F$17,$F$18,$F$19,$F$16,$C$14,$F$15,$F$14,$F$20,U$2,$U$1,$C307)</f>
        <v/>
      </c>
      <c r="V307" s="227" t="str">
        <f ca="1">_xll.DBRW(Server&amp;Cube1,$F$17,$F$18,$F$19,$F$16,$C$14,$F$15,$F$14,$F$20,V$2,V$1,$C307)</f>
        <v/>
      </c>
      <c r="W307" s="227" t="str">
        <f ca="1">_xll.DBRW(Server&amp;Cube1,$F$17,$F$18,$F$19,$F$16,$C$14,$F$15,$F$14,$F$20,W$2,W$1,$C307)</f>
        <v/>
      </c>
      <c r="X307" s="227" t="str">
        <f ca="1">_xll.DBRW(Server&amp;Cube1,$F$17,$F$18,$F$19,$F$16,$C$14,$F$15,$F$14,$F$20,X$2,X$1,$C307)</f>
        <v/>
      </c>
      <c r="Y307" s="227" t="str">
        <f ca="1">_xll.DBRW(Server&amp;Cube1,$F$17,$F$18,$F$19,$F$16,$C$14,$F$15,$F$14,$F$20,Y$2,Y$1,$C307)</f>
        <v/>
      </c>
      <c r="Z307" s="241"/>
      <c r="AA307" s="241"/>
      <c r="AB307" s="241"/>
      <c r="AC307" s="241"/>
      <c r="AD307" s="241"/>
      <c r="AE307" s="241"/>
      <c r="AF307" s="221" t="str">
        <f ca="1">_xll.DBRW(Server&amp;Cube1,$F$17,$F$18,$F$19,$F$16,$C$14,$F$15,$F$14,$F$20,AF$2,$AF$1,$C307)</f>
        <v/>
      </c>
      <c r="AG307" s="53"/>
      <c r="AH307" s="53"/>
      <c r="AI307" s="53"/>
      <c r="AJ307" s="53"/>
      <c r="AK307" s="53"/>
      <c r="AL307" s="53"/>
      <c r="AM307" s="53"/>
      <c r="AN307" s="53"/>
      <c r="AO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:53" s="9" customFormat="1" ht="24" customHeight="1" x14ac:dyDescent="0.35">
      <c r="A308" s="238">
        <f t="shared" ca="1" si="16"/>
        <v>0</v>
      </c>
      <c r="B308" s="163" t="str">
        <f t="shared" si="15"/>
        <v>GS</v>
      </c>
      <c r="C308" s="158" t="s">
        <v>368</v>
      </c>
      <c r="E308" s="268" t="str">
        <f ca="1">_xll.DBRA(Server&amp;$C$24,$C308,$F$21)</f>
        <v>Coûts bureautique, téléphonie (SG)</v>
      </c>
      <c r="F308" s="268"/>
      <c r="G308" s="268"/>
      <c r="H308" s="40"/>
      <c r="I308" s="221" t="str">
        <f ca="1">_xll.DBRW(Server&amp;Cube1,$F$17,$F$18,$F$19,$F$16,$C$14,$F$15,$F$14,$F$20,I$2,I$1,$C308)</f>
        <v/>
      </c>
      <c r="J308" s="221" t="str">
        <f ca="1">_xll.DBRW(Server&amp;Cube1,$F$17,$F$18,$F$19,$F$16,$C$14,$F$15,$F$14,$F$20,J$2,J$1,$C308)</f>
        <v/>
      </c>
      <c r="K308" s="221" t="e">
        <f ca="1">_xll.DBRW(Server&amp;Cube1,$F$17,$F$18,$F$19,$F$16,$C$14,$F$15,$F$14,$F$20,I$2,I$1,$C308) -_xll.DBRW(Server&amp;Cube1,$F$17,$F$18,$F$19,$F$16,$C$14,$F$15,$F$14,$F$20,K$2,I$1,$C308)</f>
        <v>#VALUE!</v>
      </c>
      <c r="L308" s="221" t="e">
        <f t="shared" ca="1" si="14"/>
        <v>#VALUE!</v>
      </c>
      <c r="M308" s="221" t="e">
        <f t="shared" ca="1" si="13"/>
        <v>#VALUE!</v>
      </c>
      <c r="N308" s="226"/>
      <c r="O308" s="221" t="str">
        <f ca="1">_xll.DBRW(Server&amp;Cube1,$F$17,$F$18,$F$19,$F$16,$C$14,$F$15,$F$14,$F$20,O$2,O$1,$C308)</f>
        <v/>
      </c>
      <c r="P308" s="226"/>
      <c r="Q308" s="240" t="str">
        <f ca="1">IF(_xll.ELCOMPN(Server&amp;$C$24,C308)=0,"YES","NO")</f>
        <v>YES</v>
      </c>
      <c r="R308" s="241">
        <v>0</v>
      </c>
      <c r="S308" s="226"/>
      <c r="T308" s="227" t="str">
        <f ca="1">_xll.DBRW(Server&amp;Cube1,$F$17,$F$18,$F$19,$F$16,$C$14,$F$15,$F$14,$F$20,T$2,$T$1,$C308)</f>
        <v/>
      </c>
      <c r="U308" s="227" t="str">
        <f ca="1">_xll.DBRW(Server&amp;Cube1,$F$17,$F$18,$F$19,$F$16,$C$14,$F$15,$F$14,$F$20,U$2,$U$1,$C308)</f>
        <v/>
      </c>
      <c r="V308" s="227" t="str">
        <f ca="1">_xll.DBRW(Server&amp;Cube1,$F$17,$F$18,$F$19,$F$16,$C$14,$F$15,$F$14,$F$20,V$2,V$1,$C308)</f>
        <v/>
      </c>
      <c r="W308" s="227" t="str">
        <f ca="1">_xll.DBRW(Server&amp;Cube1,$F$17,$F$18,$F$19,$F$16,$C$14,$F$15,$F$14,$F$20,W$2,W$1,$C308)</f>
        <v/>
      </c>
      <c r="X308" s="227" t="str">
        <f ca="1">_xll.DBRW(Server&amp;Cube1,$F$17,$F$18,$F$19,$F$16,$C$14,$F$15,$F$14,$F$20,X$2,X$1,$C308)</f>
        <v/>
      </c>
      <c r="Y308" s="227" t="str">
        <f ca="1">_xll.DBRW(Server&amp;Cube1,$F$17,$F$18,$F$19,$F$16,$C$14,$F$15,$F$14,$F$20,Y$2,Y$1,$C308)</f>
        <v/>
      </c>
      <c r="Z308" s="241"/>
      <c r="AA308" s="241"/>
      <c r="AB308" s="241"/>
      <c r="AC308" s="241"/>
      <c r="AD308" s="241"/>
      <c r="AE308" s="241"/>
      <c r="AF308" s="221" t="str">
        <f ca="1">_xll.DBRW(Server&amp;Cube1,$F$17,$F$18,$F$19,$F$16,$C$14,$F$15,$F$14,$F$20,AF$2,$AF$1,$C308)</f>
        <v/>
      </c>
      <c r="AG308" s="53"/>
      <c r="AH308" s="53"/>
      <c r="AI308" s="53"/>
      <c r="AJ308" s="53"/>
      <c r="AK308" s="53"/>
      <c r="AL308" s="53"/>
      <c r="AM308" s="53"/>
      <c r="AN308" s="53"/>
      <c r="AO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:53" s="9" customFormat="1" ht="24" customHeight="1" x14ac:dyDescent="0.35">
      <c r="A309" s="238">
        <f t="shared" ca="1" si="16"/>
        <v>0</v>
      </c>
      <c r="B309" s="163" t="str">
        <f t="shared" si="15"/>
        <v>RD</v>
      </c>
      <c r="C309" s="158" t="s">
        <v>369</v>
      </c>
      <c r="E309" s="268" t="str">
        <f ca="1">_xll.DBRA(Server&amp;$C$24,$C309,$F$21)</f>
        <v>Coûts bureautique, téléphonie (RD)</v>
      </c>
      <c r="F309" s="268"/>
      <c r="G309" s="268"/>
      <c r="H309" s="40"/>
      <c r="I309" s="221" t="str">
        <f ca="1">_xll.DBRW(Server&amp;Cube1,$F$17,$F$18,$F$19,$F$16,$C$14,$F$15,$F$14,$F$20,I$2,I$1,$C309)</f>
        <v/>
      </c>
      <c r="J309" s="221" t="str">
        <f ca="1">_xll.DBRW(Server&amp;Cube1,$F$17,$F$18,$F$19,$F$16,$C$14,$F$15,$F$14,$F$20,J$2,J$1,$C309)</f>
        <v/>
      </c>
      <c r="K309" s="221" t="e">
        <f ca="1">_xll.DBRW(Server&amp;Cube1,$F$17,$F$18,$F$19,$F$16,$C$14,$F$15,$F$14,$F$20,I$2,I$1,$C309) -_xll.DBRW(Server&amp;Cube1,$F$17,$F$18,$F$19,$F$16,$C$14,$F$15,$F$14,$F$20,K$2,I$1,$C309)</f>
        <v>#VALUE!</v>
      </c>
      <c r="L309" s="221" t="e">
        <f t="shared" ca="1" si="14"/>
        <v>#VALUE!</v>
      </c>
      <c r="M309" s="221" t="e">
        <f t="shared" ca="1" si="13"/>
        <v>#VALUE!</v>
      </c>
      <c r="N309" s="226"/>
      <c r="O309" s="221" t="str">
        <f ca="1">_xll.DBRW(Server&amp;Cube1,$F$17,$F$18,$F$19,$F$16,$C$14,$F$15,$F$14,$F$20,O$2,O$1,$C309)</f>
        <v/>
      </c>
      <c r="P309" s="226"/>
      <c r="Q309" s="240" t="str">
        <f ca="1">IF(_xll.ELCOMPN(Server&amp;$C$24,C309)=0,"YES","NO")</f>
        <v>YES</v>
      </c>
      <c r="R309" s="241">
        <v>0</v>
      </c>
      <c r="S309" s="226"/>
      <c r="T309" s="227" t="str">
        <f ca="1">_xll.DBRW(Server&amp;Cube1,$F$17,$F$18,$F$19,$F$16,$C$14,$F$15,$F$14,$F$20,T$2,$T$1,$C309)</f>
        <v/>
      </c>
      <c r="U309" s="227" t="str">
        <f ca="1">_xll.DBRW(Server&amp;Cube1,$F$17,$F$18,$F$19,$F$16,$C$14,$F$15,$F$14,$F$20,U$2,$U$1,$C309)</f>
        <v/>
      </c>
      <c r="V309" s="227" t="str">
        <f ca="1">_xll.DBRW(Server&amp;Cube1,$F$17,$F$18,$F$19,$F$16,$C$14,$F$15,$F$14,$F$20,V$2,V$1,$C309)</f>
        <v/>
      </c>
      <c r="W309" s="227" t="str">
        <f ca="1">_xll.DBRW(Server&amp;Cube1,$F$17,$F$18,$F$19,$F$16,$C$14,$F$15,$F$14,$F$20,W$2,W$1,$C309)</f>
        <v/>
      </c>
      <c r="X309" s="227" t="str">
        <f ca="1">_xll.DBRW(Server&amp;Cube1,$F$17,$F$18,$F$19,$F$16,$C$14,$F$15,$F$14,$F$20,X$2,X$1,$C309)</f>
        <v/>
      </c>
      <c r="Y309" s="227" t="str">
        <f ca="1">_xll.DBRW(Server&amp;Cube1,$F$17,$F$18,$F$19,$F$16,$C$14,$F$15,$F$14,$F$20,Y$2,Y$1,$C309)</f>
        <v/>
      </c>
      <c r="Z309" s="241"/>
      <c r="AA309" s="241"/>
      <c r="AB309" s="241"/>
      <c r="AC309" s="241"/>
      <c r="AD309" s="241"/>
      <c r="AE309" s="241"/>
      <c r="AF309" s="221" t="str">
        <f ca="1">_xll.DBRW(Server&amp;Cube1,$F$17,$F$18,$F$19,$F$16,$C$14,$F$15,$F$14,$F$20,AF$2,$AF$1,$C309)</f>
        <v/>
      </c>
      <c r="AG309" s="53"/>
      <c r="AH309" s="53"/>
      <c r="AI309" s="53"/>
      <c r="AJ309" s="53"/>
      <c r="AK309" s="53"/>
      <c r="AL309" s="53"/>
      <c r="AM309" s="53"/>
      <c r="AN309" s="53"/>
      <c r="AO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:53" s="9" customFormat="1" ht="24" customHeight="1" x14ac:dyDescent="0.35">
      <c r="A310" s="181">
        <f ca="1">IF($AT$35="YES",1,IF(_xll.ELCOMPN(Server&amp;$C$24,C310)&lt;&gt;0,1,IF(OR(B310=$AZ$35,B310="ALL"),1,0)))</f>
        <v>1</v>
      </c>
      <c r="B310" s="163" t="str">
        <f t="shared" si="15"/>
        <v>ba</v>
      </c>
      <c r="C310" s="117" t="s">
        <v>113</v>
      </c>
      <c r="E310" s="270" t="str">
        <f ca="1">_xll.DBRA(Server&amp;$C$24,$C310,$F$21)</f>
        <v>Location Bâtiment</v>
      </c>
      <c r="F310" s="270"/>
      <c r="G310" s="270"/>
      <c r="H310" s="40"/>
      <c r="I310" s="221" t="str">
        <f ca="1">_xll.DBRW(Server&amp;Cube1,$F$17,$F$18,$F$19,$F$16,$C$14,$F$15,$F$14,$F$20,I$2,I$1,$C310)</f>
        <v/>
      </c>
      <c r="J310" s="221" t="str">
        <f ca="1">_xll.DBRW(Server&amp;Cube1,$F$17,$F$18,$F$19,$F$16,$C$14,$F$15,$F$14,$F$20,J$2,J$1,$C310)</f>
        <v/>
      </c>
      <c r="K310" s="221" t="e">
        <f ca="1">_xll.DBRW(Server&amp;Cube1,$F$17,$F$18,$F$19,$F$16,$C$14,$F$15,$F$14,$F$20,I$2,I$1,$C310) -_xll.DBRW(Server&amp;Cube1,$F$17,$F$18,$F$19,$F$16,$C$14,$F$15,$F$14,$F$20,K$2,I$1,$C310)</f>
        <v>#VALUE!</v>
      </c>
      <c r="L310" s="221" t="e">
        <f t="shared" ca="1" si="14"/>
        <v>#VALUE!</v>
      </c>
      <c r="M310" s="221" t="e">
        <f t="shared" ca="1" si="13"/>
        <v>#VALUE!</v>
      </c>
      <c r="N310" s="229"/>
      <c r="O310" s="229" t="str">
        <f ca="1">_xll.DBRW(Server&amp;Cube1,$F$17,$F$18,$F$19,$F$16,$C$14,$F$15,$F$14,$F$20,O$2,O$1,$C310)</f>
        <v/>
      </c>
      <c r="P310" s="229"/>
      <c r="Q310" s="240" t="str">
        <f ca="1">IF(_xll.ELCOMPN(Server&amp;$C$24,C310)=0,"YES","NO")</f>
        <v>NO</v>
      </c>
      <c r="R310" s="229"/>
      <c r="S310" s="229"/>
      <c r="T310" s="230" t="str">
        <f ca="1">_xll.DBRW(Server&amp;Cube1,$F$17,$F$18,$F$19,$F$16,$C$14,$F$15,$F$14,$F$20,T$2,$T$1,$C310)</f>
        <v/>
      </c>
      <c r="U310" s="230" t="str">
        <f ca="1">_xll.DBRW(Server&amp;Cube1,$F$17,$F$18,$F$19,$F$16,$C$14,$F$15,$F$14,$F$20,U$2,$U$1,$C310)</f>
        <v/>
      </c>
      <c r="V310" s="230" t="str">
        <f ca="1">_xll.DBRW(Server&amp;Cube1,$F$17,$F$18,$F$19,$F$16,$C$14,$F$15,$F$14,$F$20,V$2,V$1,$C310)</f>
        <v/>
      </c>
      <c r="W310" s="230" t="str">
        <f ca="1">_xll.DBRW(Server&amp;Cube1,$F$17,$F$18,$F$19,$F$16,$C$14,$F$15,$F$14,$F$20,W$2,W$1,$C310)</f>
        <v/>
      </c>
      <c r="X310" s="229" t="str">
        <f ca="1">_xll.DBRW(Server&amp;Cube1,$F$17,$F$18,$F$19,$F$16,$C$14,$F$15,$F$14,$F$20,X$2,X$1,$C310)</f>
        <v/>
      </c>
      <c r="Y310" s="229" t="str">
        <f ca="1">_xll.DBRW(Server&amp;Cube1,$F$17,$F$18,$F$19,$F$16,$C$14,$F$15,$F$14,$F$20,Y$2,Y$1,$C310)</f>
        <v/>
      </c>
      <c r="Z310" s="229" t="str">
        <f ca="1">_xll.DBRW(Server&amp;Cube1,$F$17,$F$18,$F$19,$F$16,$C$14,$F$15,$F$14,$F$20,Z$2,Z$1,$C310)</f>
        <v/>
      </c>
      <c r="AA310" s="229" t="str">
        <f ca="1">_xll.DBRW(Server&amp;Cube1,$F$17,$F$18,$F$19,$F$16,$C$14,$F$15,$F$14,$F$20,AA$2,AA$1,$C310)</f>
        <v/>
      </c>
      <c r="AB310" s="229" t="str">
        <f ca="1">_xll.DBRW(Server&amp;Cube1,$F$17,$F$18,$F$19,$F$16,$C$14,$F$15,$F$14,$F$20,AB$2,AB$1,$C310)</f>
        <v/>
      </c>
      <c r="AC310" s="229" t="str">
        <f ca="1">_xll.DBRW(Server&amp;Cube1,$F$17,$F$18,$F$19,$F$16,$C$14,$F$15,$F$14,$F$20,AC$2,AC$1,$C310)</f>
        <v/>
      </c>
      <c r="AD310" s="229" t="str">
        <f ca="1">_xll.DBRW(Server&amp;Cube1,$F$17,$F$18,$F$19,$F$16,$C$14,$F$15,$F$14,$F$20,AD$2,AD$1,$C310)</f>
        <v/>
      </c>
      <c r="AE310" s="229" t="str">
        <f ca="1">_xll.DBRW(Server&amp;Cube1,$F$17,$F$18,$F$19,$F$16,$C$14,$F$15,$F$14,$F$20,AE$2,AE$1,$C310)</f>
        <v/>
      </c>
      <c r="AF310" s="229" t="str">
        <f ca="1">_xll.DBRW(Server&amp;Cube1,$F$17,$F$18,$F$19,$F$16,$C$14,$F$15,$F$14,$F$20,AF$2,$AF$1,$C310)</f>
        <v/>
      </c>
      <c r="AG310" s="53"/>
      <c r="AH310" s="53"/>
      <c r="AI310" s="53"/>
      <c r="AJ310" s="53"/>
      <c r="AK310" s="53"/>
      <c r="AL310" s="53"/>
      <c r="AM310" s="53"/>
      <c r="AN310" s="53"/>
      <c r="AO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:53" s="9" customFormat="1" ht="24" customHeight="1" x14ac:dyDescent="0.35">
      <c r="A311" s="238">
        <f t="shared" ref="A311:A323" ca="1" si="17">IF($AT$35="YES",1,IF(AND($C$16="5000",$B311="GS"),1,IF(AND($C$16="5010",$B311="GS"),1,IF(AND($C$16="5020",$B311="GS"),1,0))))</f>
        <v>0</v>
      </c>
      <c r="B311" s="163" t="str">
        <f t="shared" si="15"/>
        <v>DS</v>
      </c>
      <c r="C311" s="158" t="s">
        <v>370</v>
      </c>
      <c r="E311" s="268" t="str">
        <f ca="1">_xll.DBRA(Server&amp;$C$24,$C311,$F$21)</f>
        <v>Location Bâtiment (SO)</v>
      </c>
      <c r="F311" s="268"/>
      <c r="G311" s="268"/>
      <c r="H311" s="40"/>
      <c r="I311" s="221" t="str">
        <f ca="1">_xll.DBRW(Server&amp;Cube1,$F$17,$F$18,$F$19,$F$16,$C$14,$F$15,$F$14,$F$20,I$2,I$1,$C311)</f>
        <v/>
      </c>
      <c r="J311" s="221" t="str">
        <f ca="1">_xll.DBRW(Server&amp;Cube1,$F$17,$F$18,$F$19,$F$16,$C$14,$F$15,$F$14,$F$20,J$2,J$1,$C311)</f>
        <v/>
      </c>
      <c r="K311" s="221" t="e">
        <f ca="1">_xll.DBRW(Server&amp;Cube1,$F$17,$F$18,$F$19,$F$16,$C$14,$F$15,$F$14,$F$20,I$2,I$1,$C311) -_xll.DBRW(Server&amp;Cube1,$F$17,$F$18,$F$19,$F$16,$C$14,$F$15,$F$14,$F$20,K$2,I$1,$C311)</f>
        <v>#VALUE!</v>
      </c>
      <c r="L311" s="221" t="e">
        <f t="shared" ca="1" si="14"/>
        <v>#VALUE!</v>
      </c>
      <c r="M311" s="221" t="e">
        <f t="shared" ca="1" si="13"/>
        <v>#VALUE!</v>
      </c>
      <c r="N311" s="226"/>
      <c r="O311" s="221" t="str">
        <f ca="1">_xll.DBRW(Server&amp;Cube1,$F$17,$F$18,$F$19,$F$16,$C$14,$F$15,$F$14,$F$20,O$2,O$1,$C311)</f>
        <v/>
      </c>
      <c r="P311" s="226"/>
      <c r="Q311" s="240" t="str">
        <f ca="1">IF(_xll.ELCOMPN(Server&amp;$C$24,C311)=0,"YES","NO")</f>
        <v>YES</v>
      </c>
      <c r="R311" s="241">
        <v>0</v>
      </c>
      <c r="S311" s="226"/>
      <c r="T311" s="227" t="str">
        <f ca="1">_xll.DBRW(Server&amp;Cube1,$F$17,$F$18,$F$19,$F$16,$C$14,$F$15,$F$14,$F$20,T$2,$T$1,$C311)</f>
        <v/>
      </c>
      <c r="U311" s="227" t="str">
        <f ca="1">_xll.DBRW(Server&amp;Cube1,$F$17,$F$18,$F$19,$F$16,$C$14,$F$15,$F$14,$F$20,U$2,$U$1,$C311)</f>
        <v/>
      </c>
      <c r="V311" s="227" t="str">
        <f ca="1">_xll.DBRW(Server&amp;Cube1,$F$17,$F$18,$F$19,$F$16,$C$14,$F$15,$F$14,$F$20,V$2,V$1,$C311)</f>
        <v/>
      </c>
      <c r="W311" s="227" t="str">
        <f ca="1">_xll.DBRW(Server&amp;Cube1,$F$17,$F$18,$F$19,$F$16,$C$14,$F$15,$F$14,$F$20,W$2,W$1,$C311)</f>
        <v/>
      </c>
      <c r="X311" s="227" t="str">
        <f ca="1">_xll.DBRW(Server&amp;Cube1,$F$17,$F$18,$F$19,$F$16,$C$14,$F$15,$F$14,$F$20,X$2,X$1,$C311)</f>
        <v/>
      </c>
      <c r="Y311" s="227" t="str">
        <f ca="1">_xll.DBRW(Server&amp;Cube1,$F$17,$F$18,$F$19,$F$16,$C$14,$F$15,$F$14,$F$20,Y$2,Y$1,$C311)</f>
        <v/>
      </c>
      <c r="Z311" s="241"/>
      <c r="AA311" s="241"/>
      <c r="AB311" s="241"/>
      <c r="AC311" s="241"/>
      <c r="AD311" s="241"/>
      <c r="AE311" s="241"/>
      <c r="AF311" s="221" t="str">
        <f ca="1">_xll.DBRW(Server&amp;Cube1,$F$17,$F$18,$F$19,$F$16,$C$14,$F$15,$F$14,$F$20,AF$2,$AF$1,$C311)</f>
        <v/>
      </c>
      <c r="AG311" s="53"/>
      <c r="AH311" s="53"/>
      <c r="AI311" s="53"/>
      <c r="AJ311" s="53"/>
      <c r="AK311" s="53"/>
      <c r="AL311" s="53"/>
      <c r="AM311" s="53"/>
      <c r="AN311" s="53"/>
      <c r="AO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:53" s="9" customFormat="1" ht="24" customHeight="1" x14ac:dyDescent="0.35">
      <c r="A312" s="238">
        <f t="shared" ca="1" si="17"/>
        <v>0</v>
      </c>
      <c r="B312" s="163" t="str">
        <f t="shared" si="15"/>
        <v>BD</v>
      </c>
      <c r="C312" s="158" t="s">
        <v>371</v>
      </c>
      <c r="E312" s="268" t="str">
        <f ca="1">_xll.DBRA(Server&amp;$C$24,$C312,$F$21)</f>
        <v>Location Bâtiment (DC)</v>
      </c>
      <c r="F312" s="268"/>
      <c r="G312" s="268"/>
      <c r="H312" s="40"/>
      <c r="I312" s="221" t="str">
        <f ca="1">_xll.DBRW(Server&amp;Cube1,$F$17,$F$18,$F$19,$F$16,$C$14,$F$15,$F$14,$F$20,I$2,I$1,$C312)</f>
        <v/>
      </c>
      <c r="J312" s="221" t="str">
        <f ca="1">_xll.DBRW(Server&amp;Cube1,$F$17,$F$18,$F$19,$F$16,$C$14,$F$15,$F$14,$F$20,J$2,J$1,$C312)</f>
        <v/>
      </c>
      <c r="K312" s="221" t="e">
        <f ca="1">_xll.DBRW(Server&amp;Cube1,$F$17,$F$18,$F$19,$F$16,$C$14,$F$15,$F$14,$F$20,I$2,I$1,$C312) -_xll.DBRW(Server&amp;Cube1,$F$17,$F$18,$F$19,$F$16,$C$14,$F$15,$F$14,$F$20,K$2,I$1,$C312)</f>
        <v>#VALUE!</v>
      </c>
      <c r="L312" s="221" t="e">
        <f t="shared" ca="1" si="14"/>
        <v>#VALUE!</v>
      </c>
      <c r="M312" s="221" t="e">
        <f t="shared" ca="1" si="13"/>
        <v>#VALUE!</v>
      </c>
      <c r="N312" s="226"/>
      <c r="O312" s="221" t="str">
        <f ca="1">_xll.DBRW(Server&amp;Cube1,$F$17,$F$18,$F$19,$F$16,$C$14,$F$15,$F$14,$F$20,O$2,O$1,$C312)</f>
        <v/>
      </c>
      <c r="P312" s="226"/>
      <c r="Q312" s="240" t="str">
        <f ca="1">IF(_xll.ELCOMPN(Server&amp;$C$24,C312)=0,"YES","NO")</f>
        <v>YES</v>
      </c>
      <c r="R312" s="241">
        <v>0</v>
      </c>
      <c r="S312" s="226"/>
      <c r="T312" s="227" t="str">
        <f ca="1">_xll.DBRW(Server&amp;Cube1,$F$17,$F$18,$F$19,$F$16,$C$14,$F$15,$F$14,$F$20,T$2,$T$1,$C312)</f>
        <v/>
      </c>
      <c r="U312" s="227" t="str">
        <f ca="1">_xll.DBRW(Server&amp;Cube1,$F$17,$F$18,$F$19,$F$16,$C$14,$F$15,$F$14,$F$20,U$2,$U$1,$C312)</f>
        <v/>
      </c>
      <c r="V312" s="227" t="str">
        <f ca="1">_xll.DBRW(Server&amp;Cube1,$F$17,$F$18,$F$19,$F$16,$C$14,$F$15,$F$14,$F$20,V$2,V$1,$C312)</f>
        <v/>
      </c>
      <c r="W312" s="227" t="str">
        <f ca="1">_xll.DBRW(Server&amp;Cube1,$F$17,$F$18,$F$19,$F$16,$C$14,$F$15,$F$14,$F$20,W$2,W$1,$C312)</f>
        <v/>
      </c>
      <c r="X312" s="227" t="str">
        <f ca="1">_xll.DBRW(Server&amp;Cube1,$F$17,$F$18,$F$19,$F$16,$C$14,$F$15,$F$14,$F$20,X$2,X$1,$C312)</f>
        <v/>
      </c>
      <c r="Y312" s="227" t="str">
        <f ca="1">_xll.DBRW(Server&amp;Cube1,$F$17,$F$18,$F$19,$F$16,$C$14,$F$15,$F$14,$F$20,Y$2,Y$1,$C312)</f>
        <v/>
      </c>
      <c r="Z312" s="241"/>
      <c r="AA312" s="241"/>
      <c r="AB312" s="241"/>
      <c r="AC312" s="241"/>
      <c r="AD312" s="241"/>
      <c r="AE312" s="241"/>
      <c r="AF312" s="221" t="str">
        <f ca="1">_xll.DBRW(Server&amp;Cube1,$F$17,$F$18,$F$19,$F$16,$C$14,$F$15,$F$14,$F$20,AF$2,$AF$1,$C312)</f>
        <v/>
      </c>
      <c r="AG312" s="53"/>
      <c r="AH312" s="53"/>
      <c r="AI312" s="53"/>
      <c r="AJ312" s="53"/>
      <c r="AK312" s="53"/>
      <c r="AL312" s="53"/>
      <c r="AM312" s="53"/>
      <c r="AN312" s="53"/>
      <c r="AO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:53" s="9" customFormat="1" ht="24" customHeight="1" x14ac:dyDescent="0.35">
      <c r="A313" s="238">
        <f t="shared" ca="1" si="17"/>
        <v>0</v>
      </c>
      <c r="B313" s="163" t="str">
        <f t="shared" si="15"/>
        <v>FI</v>
      </c>
      <c r="C313" s="158" t="s">
        <v>372</v>
      </c>
      <c r="E313" s="268" t="str">
        <f ca="1">_xll.DBRA(Server&amp;$C$24,$C313,$F$21)</f>
        <v>Location Bâtiment (DF)</v>
      </c>
      <c r="F313" s="268"/>
      <c r="G313" s="268"/>
      <c r="H313" s="40"/>
      <c r="I313" s="221" t="str">
        <f ca="1">_xll.DBRW(Server&amp;Cube1,$F$17,$F$18,$F$19,$F$16,$C$14,$F$15,$F$14,$F$20,I$2,I$1,$C313)</f>
        <v/>
      </c>
      <c r="J313" s="221" t="str">
        <f ca="1">_xll.DBRW(Server&amp;Cube1,$F$17,$F$18,$F$19,$F$16,$C$14,$F$15,$F$14,$F$20,J$2,J$1,$C313)</f>
        <v/>
      </c>
      <c r="K313" s="221" t="e">
        <f ca="1">_xll.DBRW(Server&amp;Cube1,$F$17,$F$18,$F$19,$F$16,$C$14,$F$15,$F$14,$F$20,I$2,I$1,$C313) -_xll.DBRW(Server&amp;Cube1,$F$17,$F$18,$F$19,$F$16,$C$14,$F$15,$F$14,$F$20,K$2,I$1,$C313)</f>
        <v>#VALUE!</v>
      </c>
      <c r="L313" s="221" t="e">
        <f t="shared" ca="1" si="14"/>
        <v>#VALUE!</v>
      </c>
      <c r="M313" s="221" t="e">
        <f t="shared" ca="1" si="13"/>
        <v>#VALUE!</v>
      </c>
      <c r="N313" s="226"/>
      <c r="O313" s="221" t="str">
        <f ca="1">_xll.DBRW(Server&amp;Cube1,$F$17,$F$18,$F$19,$F$16,$C$14,$F$15,$F$14,$F$20,O$2,O$1,$C313)</f>
        <v/>
      </c>
      <c r="P313" s="226"/>
      <c r="Q313" s="240" t="str">
        <f ca="1">IF(_xll.ELCOMPN(Server&amp;$C$24,C313)=0,"YES","NO")</f>
        <v>YES</v>
      </c>
      <c r="R313" s="241">
        <v>0</v>
      </c>
      <c r="S313" s="226"/>
      <c r="T313" s="227" t="str">
        <f ca="1">_xll.DBRW(Server&amp;Cube1,$F$17,$F$18,$F$19,$F$16,$C$14,$F$15,$F$14,$F$20,T$2,$T$1,$C313)</f>
        <v/>
      </c>
      <c r="U313" s="227" t="str">
        <f ca="1">_xll.DBRW(Server&amp;Cube1,$F$17,$F$18,$F$19,$F$16,$C$14,$F$15,$F$14,$F$20,U$2,$U$1,$C313)</f>
        <v/>
      </c>
      <c r="V313" s="227" t="str">
        <f ca="1">_xll.DBRW(Server&amp;Cube1,$F$17,$F$18,$F$19,$F$16,$C$14,$F$15,$F$14,$F$20,V$2,V$1,$C313)</f>
        <v/>
      </c>
      <c r="W313" s="227" t="str">
        <f ca="1">_xll.DBRW(Server&amp;Cube1,$F$17,$F$18,$F$19,$F$16,$C$14,$F$15,$F$14,$F$20,W$2,W$1,$C313)</f>
        <v/>
      </c>
      <c r="X313" s="227" t="str">
        <f ca="1">_xll.DBRW(Server&amp;Cube1,$F$17,$F$18,$F$19,$F$16,$C$14,$F$15,$F$14,$F$20,X$2,X$1,$C313)</f>
        <v/>
      </c>
      <c r="Y313" s="227" t="str">
        <f ca="1">_xll.DBRW(Server&amp;Cube1,$F$17,$F$18,$F$19,$F$16,$C$14,$F$15,$F$14,$F$20,Y$2,Y$1,$C313)</f>
        <v/>
      </c>
      <c r="Z313" s="241"/>
      <c r="AA313" s="241"/>
      <c r="AB313" s="241"/>
      <c r="AC313" s="241"/>
      <c r="AD313" s="241"/>
      <c r="AE313" s="241"/>
      <c r="AF313" s="221" t="str">
        <f ca="1">_xll.DBRW(Server&amp;Cube1,$F$17,$F$18,$F$19,$F$16,$C$14,$F$15,$F$14,$F$20,AF$2,$AF$1,$C313)</f>
        <v/>
      </c>
      <c r="AG313" s="53"/>
      <c r="AH313" s="53"/>
      <c r="AI313" s="53"/>
      <c r="AJ313" s="53"/>
      <c r="AK313" s="53"/>
      <c r="AL313" s="53"/>
      <c r="AM313" s="53"/>
      <c r="AN313" s="53"/>
      <c r="AO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:53" s="9" customFormat="1" ht="24" customHeight="1" x14ac:dyDescent="0.35">
      <c r="A314" s="238">
        <f t="shared" ca="1" si="17"/>
        <v>0</v>
      </c>
      <c r="B314" s="163" t="str">
        <f t="shared" si="15"/>
        <v>IT</v>
      </c>
      <c r="C314" s="158" t="s">
        <v>373</v>
      </c>
      <c r="E314" s="268" t="str">
        <f ca="1">_xll.DBRA(Server&amp;$C$24,$C314,$F$21)</f>
        <v>Location Bâtiment (IT)</v>
      </c>
      <c r="F314" s="268"/>
      <c r="G314" s="268"/>
      <c r="H314" s="40"/>
      <c r="I314" s="221" t="str">
        <f ca="1">_xll.DBRW(Server&amp;Cube1,$F$17,$F$18,$F$19,$F$16,$C$14,$F$15,$F$14,$F$20,I$2,I$1,$C314)</f>
        <v/>
      </c>
      <c r="J314" s="221" t="str">
        <f ca="1">_xll.DBRW(Server&amp;Cube1,$F$17,$F$18,$F$19,$F$16,$C$14,$F$15,$F$14,$F$20,J$2,J$1,$C314)</f>
        <v/>
      </c>
      <c r="K314" s="221" t="e">
        <f ca="1">_xll.DBRW(Server&amp;Cube1,$F$17,$F$18,$F$19,$F$16,$C$14,$F$15,$F$14,$F$20,I$2,I$1,$C314) -_xll.DBRW(Server&amp;Cube1,$F$17,$F$18,$F$19,$F$16,$C$14,$F$15,$F$14,$F$20,K$2,I$1,$C314)</f>
        <v>#VALUE!</v>
      </c>
      <c r="L314" s="221" t="e">
        <f t="shared" ca="1" si="14"/>
        <v>#VALUE!</v>
      </c>
      <c r="M314" s="221" t="e">
        <f t="shared" ca="1" si="13"/>
        <v>#VALUE!</v>
      </c>
      <c r="N314" s="226"/>
      <c r="O314" s="221" t="str">
        <f ca="1">_xll.DBRW(Server&amp;Cube1,$F$17,$F$18,$F$19,$F$16,$C$14,$F$15,$F$14,$F$20,O$2,O$1,$C314)</f>
        <v/>
      </c>
      <c r="P314" s="226"/>
      <c r="Q314" s="240" t="str">
        <f ca="1">IF(_xll.ELCOMPN(Server&amp;$C$24,C314)=0,"YES","NO")</f>
        <v>YES</v>
      </c>
      <c r="R314" s="241">
        <v>0</v>
      </c>
      <c r="S314" s="226"/>
      <c r="T314" s="227" t="str">
        <f ca="1">_xll.DBRW(Server&amp;Cube1,$F$17,$F$18,$F$19,$F$16,$C$14,$F$15,$F$14,$F$20,T$2,$T$1,$C314)</f>
        <v/>
      </c>
      <c r="U314" s="227" t="str">
        <f ca="1">_xll.DBRW(Server&amp;Cube1,$F$17,$F$18,$F$19,$F$16,$C$14,$F$15,$F$14,$F$20,U$2,$U$1,$C314)</f>
        <v/>
      </c>
      <c r="V314" s="227" t="str">
        <f ca="1">_xll.DBRW(Server&amp;Cube1,$F$17,$F$18,$F$19,$F$16,$C$14,$F$15,$F$14,$F$20,V$2,V$1,$C314)</f>
        <v/>
      </c>
      <c r="W314" s="227" t="str">
        <f ca="1">_xll.DBRW(Server&amp;Cube1,$F$17,$F$18,$F$19,$F$16,$C$14,$F$15,$F$14,$F$20,W$2,W$1,$C314)</f>
        <v/>
      </c>
      <c r="X314" s="227" t="str">
        <f ca="1">_xll.DBRW(Server&amp;Cube1,$F$17,$F$18,$F$19,$F$16,$C$14,$F$15,$F$14,$F$20,X$2,X$1,$C314)</f>
        <v/>
      </c>
      <c r="Y314" s="227" t="str">
        <f ca="1">_xll.DBRW(Server&amp;Cube1,$F$17,$F$18,$F$19,$F$16,$C$14,$F$15,$F$14,$F$20,Y$2,Y$1,$C314)</f>
        <v/>
      </c>
      <c r="Z314" s="241"/>
      <c r="AA314" s="241"/>
      <c r="AB314" s="241"/>
      <c r="AC314" s="241"/>
      <c r="AD314" s="241"/>
      <c r="AE314" s="241"/>
      <c r="AF314" s="221" t="str">
        <f ca="1">_xll.DBRW(Server&amp;Cube1,$F$17,$F$18,$F$19,$F$16,$C$14,$F$15,$F$14,$F$20,AF$2,$AF$1,$C314)</f>
        <v/>
      </c>
      <c r="AG314" s="53"/>
      <c r="AH314" s="53"/>
      <c r="AI314" s="53"/>
      <c r="AJ314" s="53"/>
      <c r="AK314" s="53"/>
      <c r="AL314" s="53"/>
      <c r="AM314" s="53"/>
      <c r="AN314" s="53"/>
      <c r="AO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:53" s="9" customFormat="1" ht="24" customHeight="1" x14ac:dyDescent="0.35">
      <c r="A315" s="238">
        <f t="shared" ca="1" si="17"/>
        <v>0</v>
      </c>
      <c r="B315" s="163" t="str">
        <f t="shared" si="15"/>
        <v>HR</v>
      </c>
      <c r="C315" s="158" t="s">
        <v>374</v>
      </c>
      <c r="E315" s="268" t="str">
        <f ca="1">_xll.DBRA(Server&amp;$C$24,$C315,$F$21)</f>
        <v>Location Bâtiment (RH)</v>
      </c>
      <c r="F315" s="268"/>
      <c r="G315" s="268"/>
      <c r="H315" s="40"/>
      <c r="I315" s="221" t="str">
        <f ca="1">_xll.DBRW(Server&amp;Cube1,$F$17,$F$18,$F$19,$F$16,$C$14,$F$15,$F$14,$F$20,I$2,I$1,$C315)</f>
        <v/>
      </c>
      <c r="J315" s="221" t="str">
        <f ca="1">_xll.DBRW(Server&amp;Cube1,$F$17,$F$18,$F$19,$F$16,$C$14,$F$15,$F$14,$F$20,J$2,J$1,$C315)</f>
        <v/>
      </c>
      <c r="K315" s="221" t="e">
        <f ca="1">_xll.DBRW(Server&amp;Cube1,$F$17,$F$18,$F$19,$F$16,$C$14,$F$15,$F$14,$F$20,I$2,I$1,$C315) -_xll.DBRW(Server&amp;Cube1,$F$17,$F$18,$F$19,$F$16,$C$14,$F$15,$F$14,$F$20,K$2,I$1,$C315)</f>
        <v>#VALUE!</v>
      </c>
      <c r="L315" s="221" t="e">
        <f t="shared" ca="1" si="14"/>
        <v>#VALUE!</v>
      </c>
      <c r="M315" s="221" t="e">
        <f t="shared" ca="1" si="13"/>
        <v>#VALUE!</v>
      </c>
      <c r="N315" s="226"/>
      <c r="O315" s="221" t="str">
        <f ca="1">_xll.DBRW(Server&amp;Cube1,$F$17,$F$18,$F$19,$F$16,$C$14,$F$15,$F$14,$F$20,O$2,O$1,$C315)</f>
        <v/>
      </c>
      <c r="P315" s="226"/>
      <c r="Q315" s="240" t="str">
        <f ca="1">IF(_xll.ELCOMPN(Server&amp;$C$24,C315)=0,"YES","NO")</f>
        <v>YES</v>
      </c>
      <c r="R315" s="241">
        <v>0</v>
      </c>
      <c r="S315" s="226"/>
      <c r="T315" s="227" t="str">
        <f ca="1">_xll.DBRW(Server&amp;Cube1,$F$17,$F$18,$F$19,$F$16,$C$14,$F$15,$F$14,$F$20,T$2,$T$1,$C315)</f>
        <v/>
      </c>
      <c r="U315" s="227" t="str">
        <f ca="1">_xll.DBRW(Server&amp;Cube1,$F$17,$F$18,$F$19,$F$16,$C$14,$F$15,$F$14,$F$20,U$2,$U$1,$C315)</f>
        <v/>
      </c>
      <c r="V315" s="227" t="str">
        <f ca="1">_xll.DBRW(Server&amp;Cube1,$F$17,$F$18,$F$19,$F$16,$C$14,$F$15,$F$14,$F$20,V$2,V$1,$C315)</f>
        <v/>
      </c>
      <c r="W315" s="227" t="str">
        <f ca="1">_xll.DBRW(Server&amp;Cube1,$F$17,$F$18,$F$19,$F$16,$C$14,$F$15,$F$14,$F$20,W$2,W$1,$C315)</f>
        <v/>
      </c>
      <c r="X315" s="227" t="str">
        <f ca="1">_xll.DBRW(Server&amp;Cube1,$F$17,$F$18,$F$19,$F$16,$C$14,$F$15,$F$14,$F$20,X$2,X$1,$C315)</f>
        <v/>
      </c>
      <c r="Y315" s="227" t="str">
        <f ca="1">_xll.DBRW(Server&amp;Cube1,$F$17,$F$18,$F$19,$F$16,$C$14,$F$15,$F$14,$F$20,Y$2,Y$1,$C315)</f>
        <v/>
      </c>
      <c r="Z315" s="241"/>
      <c r="AA315" s="241"/>
      <c r="AB315" s="241"/>
      <c r="AC315" s="241"/>
      <c r="AD315" s="241"/>
      <c r="AE315" s="241"/>
      <c r="AF315" s="221" t="str">
        <f ca="1">_xll.DBRW(Server&amp;Cube1,$F$17,$F$18,$F$19,$F$16,$C$14,$F$15,$F$14,$F$20,AF$2,$AF$1,$C315)</f>
        <v/>
      </c>
      <c r="AG315" s="53"/>
      <c r="AH315" s="53"/>
      <c r="AI315" s="53"/>
      <c r="AJ315" s="53"/>
      <c r="AK315" s="53"/>
      <c r="AL315" s="53"/>
      <c r="AM315" s="53"/>
      <c r="AN315" s="53"/>
      <c r="AO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:53" s="9" customFormat="1" ht="24" customHeight="1" x14ac:dyDescent="0.35">
      <c r="A316" s="238">
        <f t="shared" ca="1" si="17"/>
        <v>0</v>
      </c>
      <c r="B316" s="163" t="str">
        <f t="shared" si="15"/>
        <v>GM</v>
      </c>
      <c r="C316" s="158" t="s">
        <v>375</v>
      </c>
      <c r="E316" s="268" t="str">
        <f ca="1">_xll.DBRA(Server&amp;$C$24,$C316,$F$21)</f>
        <v>Location Bâtiment (DG)</v>
      </c>
      <c r="F316" s="268"/>
      <c r="G316" s="268"/>
      <c r="H316" s="40"/>
      <c r="I316" s="221" t="str">
        <f ca="1">_xll.DBRW(Server&amp;Cube1,$F$17,$F$18,$F$19,$F$16,$C$14,$F$15,$F$14,$F$20,I$2,I$1,$C316)</f>
        <v/>
      </c>
      <c r="J316" s="221" t="str">
        <f ca="1">_xll.DBRW(Server&amp;Cube1,$F$17,$F$18,$F$19,$F$16,$C$14,$F$15,$F$14,$F$20,J$2,J$1,$C316)</f>
        <v/>
      </c>
      <c r="K316" s="221" t="e">
        <f ca="1">_xll.DBRW(Server&amp;Cube1,$F$17,$F$18,$F$19,$F$16,$C$14,$F$15,$F$14,$F$20,I$2,I$1,$C316) -_xll.DBRW(Server&amp;Cube1,$F$17,$F$18,$F$19,$F$16,$C$14,$F$15,$F$14,$F$20,K$2,I$1,$C316)</f>
        <v>#VALUE!</v>
      </c>
      <c r="L316" s="221" t="e">
        <f t="shared" ca="1" si="14"/>
        <v>#VALUE!</v>
      </c>
      <c r="M316" s="221" t="e">
        <f t="shared" ca="1" si="13"/>
        <v>#VALUE!</v>
      </c>
      <c r="N316" s="226"/>
      <c r="O316" s="221" t="str">
        <f ca="1">_xll.DBRW(Server&amp;Cube1,$F$17,$F$18,$F$19,$F$16,$C$14,$F$15,$F$14,$F$20,O$2,O$1,$C316)</f>
        <v/>
      </c>
      <c r="P316" s="226"/>
      <c r="Q316" s="240" t="str">
        <f ca="1">IF(_xll.ELCOMPN(Server&amp;$C$24,C316)=0,"YES","NO")</f>
        <v>YES</v>
      </c>
      <c r="R316" s="241">
        <v>0</v>
      </c>
      <c r="S316" s="226"/>
      <c r="T316" s="227" t="str">
        <f ca="1">_xll.DBRW(Server&amp;Cube1,$F$17,$F$18,$F$19,$F$16,$C$14,$F$15,$F$14,$F$20,T$2,$T$1,$C316)</f>
        <v/>
      </c>
      <c r="U316" s="227" t="str">
        <f ca="1">_xll.DBRW(Server&amp;Cube1,$F$17,$F$18,$F$19,$F$16,$C$14,$F$15,$F$14,$F$20,U$2,$U$1,$C316)</f>
        <v/>
      </c>
      <c r="V316" s="227" t="str">
        <f ca="1">_xll.DBRW(Server&amp;Cube1,$F$17,$F$18,$F$19,$F$16,$C$14,$F$15,$F$14,$F$20,V$2,V$1,$C316)</f>
        <v/>
      </c>
      <c r="W316" s="227" t="str">
        <f ca="1">_xll.DBRW(Server&amp;Cube1,$F$17,$F$18,$F$19,$F$16,$C$14,$F$15,$F$14,$F$20,W$2,W$1,$C316)</f>
        <v/>
      </c>
      <c r="X316" s="227" t="str">
        <f ca="1">_xll.DBRW(Server&amp;Cube1,$F$17,$F$18,$F$19,$F$16,$C$14,$F$15,$F$14,$F$20,X$2,X$1,$C316)</f>
        <v/>
      </c>
      <c r="Y316" s="227" t="str">
        <f ca="1">_xll.DBRW(Server&amp;Cube1,$F$17,$F$18,$F$19,$F$16,$C$14,$F$15,$F$14,$F$20,Y$2,Y$1,$C316)</f>
        <v/>
      </c>
      <c r="Z316" s="241"/>
      <c r="AA316" s="241"/>
      <c r="AB316" s="241"/>
      <c r="AC316" s="241"/>
      <c r="AD316" s="241"/>
      <c r="AE316" s="241"/>
      <c r="AF316" s="221" t="str">
        <f ca="1">_xll.DBRW(Server&amp;Cube1,$F$17,$F$18,$F$19,$F$16,$C$14,$F$15,$F$14,$F$20,AF$2,$AF$1,$C316)</f>
        <v/>
      </c>
      <c r="AG316" s="53"/>
      <c r="AH316" s="53"/>
      <c r="AI316" s="53"/>
      <c r="AJ316" s="53"/>
      <c r="AK316" s="53"/>
      <c r="AL316" s="53"/>
      <c r="AM316" s="53"/>
      <c r="AN316" s="53"/>
      <c r="AO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:53" s="9" customFormat="1" ht="24" customHeight="1" x14ac:dyDescent="0.35">
      <c r="A317" s="238">
        <f t="shared" ca="1" si="17"/>
        <v>0</v>
      </c>
      <c r="B317" s="163" t="str">
        <f t="shared" si="15"/>
        <v>IA</v>
      </c>
      <c r="C317" s="158" t="s">
        <v>376</v>
      </c>
      <c r="E317" s="268" t="str">
        <f ca="1">_xll.DBRA(Server&amp;$C$24,$C317,$F$21)</f>
        <v>Location Bâtiment (AI)</v>
      </c>
      <c r="F317" s="268"/>
      <c r="G317" s="268"/>
      <c r="H317" s="40"/>
      <c r="I317" s="221" t="str">
        <f ca="1">_xll.DBRW(Server&amp;Cube1,$F$17,$F$18,$F$19,$F$16,$C$14,$F$15,$F$14,$F$20,I$2,I$1,$C317)</f>
        <v/>
      </c>
      <c r="J317" s="221" t="str">
        <f ca="1">_xll.DBRW(Server&amp;Cube1,$F$17,$F$18,$F$19,$F$16,$C$14,$F$15,$F$14,$F$20,J$2,J$1,$C317)</f>
        <v/>
      </c>
      <c r="K317" s="221" t="e">
        <f ca="1">_xll.DBRW(Server&amp;Cube1,$F$17,$F$18,$F$19,$F$16,$C$14,$F$15,$F$14,$F$20,I$2,I$1,$C317) -_xll.DBRW(Server&amp;Cube1,$F$17,$F$18,$F$19,$F$16,$C$14,$F$15,$F$14,$F$20,K$2,I$1,$C317)</f>
        <v>#VALUE!</v>
      </c>
      <c r="L317" s="221" t="e">
        <f t="shared" ca="1" si="14"/>
        <v>#VALUE!</v>
      </c>
      <c r="M317" s="221" t="e">
        <f t="shared" ca="1" si="13"/>
        <v>#VALUE!</v>
      </c>
      <c r="N317" s="226"/>
      <c r="O317" s="221" t="str">
        <f ca="1">_xll.DBRW(Server&amp;Cube1,$F$17,$F$18,$F$19,$F$16,$C$14,$F$15,$F$14,$F$20,O$2,O$1,$C317)</f>
        <v/>
      </c>
      <c r="P317" s="226"/>
      <c r="Q317" s="240" t="str">
        <f ca="1">IF(_xll.ELCOMPN(Server&amp;$C$24,C317)=0,"YES","NO")</f>
        <v>YES</v>
      </c>
      <c r="R317" s="241">
        <v>0</v>
      </c>
      <c r="S317" s="226"/>
      <c r="T317" s="227" t="str">
        <f ca="1">_xll.DBRW(Server&amp;Cube1,$F$17,$F$18,$F$19,$F$16,$C$14,$F$15,$F$14,$F$20,T$2,$T$1,$C317)</f>
        <v/>
      </c>
      <c r="U317" s="227" t="str">
        <f ca="1">_xll.DBRW(Server&amp;Cube1,$F$17,$F$18,$F$19,$F$16,$C$14,$F$15,$F$14,$F$20,U$2,$U$1,$C317)</f>
        <v/>
      </c>
      <c r="V317" s="227" t="str">
        <f ca="1">_xll.DBRW(Server&amp;Cube1,$F$17,$F$18,$F$19,$F$16,$C$14,$F$15,$F$14,$F$20,V$2,V$1,$C317)</f>
        <v/>
      </c>
      <c r="W317" s="227" t="str">
        <f ca="1">_xll.DBRW(Server&amp;Cube1,$F$17,$F$18,$F$19,$F$16,$C$14,$F$15,$F$14,$F$20,W$2,W$1,$C317)</f>
        <v/>
      </c>
      <c r="X317" s="227" t="str">
        <f ca="1">_xll.DBRW(Server&amp;Cube1,$F$17,$F$18,$F$19,$F$16,$C$14,$F$15,$F$14,$F$20,X$2,X$1,$C317)</f>
        <v/>
      </c>
      <c r="Y317" s="227" t="str">
        <f ca="1">_xll.DBRW(Server&amp;Cube1,$F$17,$F$18,$F$19,$F$16,$C$14,$F$15,$F$14,$F$20,Y$2,Y$1,$C317)</f>
        <v/>
      </c>
      <c r="Z317" s="241"/>
      <c r="AA317" s="241"/>
      <c r="AB317" s="241"/>
      <c r="AC317" s="241"/>
      <c r="AD317" s="241"/>
      <c r="AE317" s="241"/>
      <c r="AF317" s="221" t="str">
        <f ca="1">_xll.DBRW(Server&amp;Cube1,$F$17,$F$18,$F$19,$F$16,$C$14,$F$15,$F$14,$F$20,AF$2,$AF$1,$C317)</f>
        <v/>
      </c>
      <c r="AG317" s="53"/>
      <c r="AH317" s="53"/>
      <c r="AI317" s="53"/>
      <c r="AJ317" s="53"/>
      <c r="AK317" s="53"/>
      <c r="AL317" s="53"/>
      <c r="AM317" s="53"/>
      <c r="AN317" s="53"/>
      <c r="AO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:53" s="9" customFormat="1" ht="24" customHeight="1" x14ac:dyDescent="0.35">
      <c r="A318" s="238">
        <f t="shared" ca="1" si="17"/>
        <v>0</v>
      </c>
      <c r="B318" s="163" t="str">
        <f t="shared" si="15"/>
        <v>LE</v>
      </c>
      <c r="C318" s="158" t="s">
        <v>377</v>
      </c>
      <c r="E318" s="268" t="str">
        <f ca="1">_xll.DBRA(Server&amp;$C$24,$C318,$F$21)</f>
        <v>Location Bâtiment (JU)</v>
      </c>
      <c r="F318" s="268"/>
      <c r="G318" s="268"/>
      <c r="H318" s="40"/>
      <c r="I318" s="221" t="str">
        <f ca="1">_xll.DBRW(Server&amp;Cube1,$F$17,$F$18,$F$19,$F$16,$C$14,$F$15,$F$14,$F$20,I$2,I$1,$C318)</f>
        <v/>
      </c>
      <c r="J318" s="221" t="str">
        <f ca="1">_xll.DBRW(Server&amp;Cube1,$F$17,$F$18,$F$19,$F$16,$C$14,$F$15,$F$14,$F$20,J$2,J$1,$C318)</f>
        <v/>
      </c>
      <c r="K318" s="221" t="e">
        <f ca="1">_xll.DBRW(Server&amp;Cube1,$F$17,$F$18,$F$19,$F$16,$C$14,$F$15,$F$14,$F$20,I$2,I$1,$C318) -_xll.DBRW(Server&amp;Cube1,$F$17,$F$18,$F$19,$F$16,$C$14,$F$15,$F$14,$F$20,K$2,I$1,$C318)</f>
        <v>#VALUE!</v>
      </c>
      <c r="L318" s="221" t="e">
        <f t="shared" ca="1" si="14"/>
        <v>#VALUE!</v>
      </c>
      <c r="M318" s="221" t="e">
        <f t="shared" ca="1" si="13"/>
        <v>#VALUE!</v>
      </c>
      <c r="N318" s="226"/>
      <c r="O318" s="221" t="str">
        <f ca="1">_xll.DBRW(Server&amp;Cube1,$F$17,$F$18,$F$19,$F$16,$C$14,$F$15,$F$14,$F$20,O$2,O$1,$C318)</f>
        <v/>
      </c>
      <c r="P318" s="226"/>
      <c r="Q318" s="240" t="str">
        <f ca="1">IF(_xll.ELCOMPN(Server&amp;$C$24,C318)=0,"YES","NO")</f>
        <v>YES</v>
      </c>
      <c r="R318" s="241">
        <v>0</v>
      </c>
      <c r="S318" s="226"/>
      <c r="T318" s="227" t="str">
        <f ca="1">_xll.DBRW(Server&amp;Cube1,$F$17,$F$18,$F$19,$F$16,$C$14,$F$15,$F$14,$F$20,T$2,$T$1,$C318)</f>
        <v/>
      </c>
      <c r="U318" s="227" t="str">
        <f ca="1">_xll.DBRW(Server&amp;Cube1,$F$17,$F$18,$F$19,$F$16,$C$14,$F$15,$F$14,$F$20,U$2,$U$1,$C318)</f>
        <v/>
      </c>
      <c r="V318" s="227" t="str">
        <f ca="1">_xll.DBRW(Server&amp;Cube1,$F$17,$F$18,$F$19,$F$16,$C$14,$F$15,$F$14,$F$20,V$2,V$1,$C318)</f>
        <v/>
      </c>
      <c r="W318" s="227" t="str">
        <f ca="1">_xll.DBRW(Server&amp;Cube1,$F$17,$F$18,$F$19,$F$16,$C$14,$F$15,$F$14,$F$20,W$2,W$1,$C318)</f>
        <v/>
      </c>
      <c r="X318" s="227" t="str">
        <f ca="1">_xll.DBRW(Server&amp;Cube1,$F$17,$F$18,$F$19,$F$16,$C$14,$F$15,$F$14,$F$20,X$2,X$1,$C318)</f>
        <v/>
      </c>
      <c r="Y318" s="227" t="str">
        <f ca="1">_xll.DBRW(Server&amp;Cube1,$F$17,$F$18,$F$19,$F$16,$C$14,$F$15,$F$14,$F$20,Y$2,Y$1,$C318)</f>
        <v/>
      </c>
      <c r="Z318" s="241"/>
      <c r="AA318" s="241"/>
      <c r="AB318" s="241"/>
      <c r="AC318" s="241"/>
      <c r="AD318" s="241"/>
      <c r="AE318" s="241"/>
      <c r="AF318" s="221" t="str">
        <f ca="1">_xll.DBRW(Server&amp;Cube1,$F$17,$F$18,$F$19,$F$16,$C$14,$F$15,$F$14,$F$20,AF$2,$AF$1,$C318)</f>
        <v/>
      </c>
      <c r="AG318" s="53"/>
      <c r="AH318" s="53"/>
      <c r="AI318" s="53"/>
      <c r="AJ318" s="53"/>
      <c r="AK318" s="53"/>
      <c r="AL318" s="53"/>
      <c r="AM318" s="53"/>
      <c r="AN318" s="53"/>
      <c r="AO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:53" s="9" customFormat="1" ht="24" customHeight="1" x14ac:dyDescent="0.35">
      <c r="A319" s="238">
        <f t="shared" ca="1" si="17"/>
        <v>0</v>
      </c>
      <c r="B319" s="163" t="str">
        <f t="shared" si="15"/>
        <v>RM</v>
      </c>
      <c r="C319" s="158" t="s">
        <v>378</v>
      </c>
      <c r="E319" s="268" t="str">
        <f ca="1">_xll.DBRA(Server&amp;$C$24,$C319,$F$21)</f>
        <v>Location Bâtiment (GR)</v>
      </c>
      <c r="F319" s="268"/>
      <c r="G319" s="268"/>
      <c r="H319" s="40"/>
      <c r="I319" s="221" t="str">
        <f ca="1">_xll.DBRW(Server&amp;Cube1,$F$17,$F$18,$F$19,$F$16,$C$14,$F$15,$F$14,$F$20,I$2,I$1,$C319)</f>
        <v/>
      </c>
      <c r="J319" s="221" t="str">
        <f ca="1">_xll.DBRW(Server&amp;Cube1,$F$17,$F$18,$F$19,$F$16,$C$14,$F$15,$F$14,$F$20,J$2,J$1,$C319)</f>
        <v/>
      </c>
      <c r="K319" s="221" t="e">
        <f ca="1">_xll.DBRW(Server&amp;Cube1,$F$17,$F$18,$F$19,$F$16,$C$14,$F$15,$F$14,$F$20,I$2,I$1,$C319) -_xll.DBRW(Server&amp;Cube1,$F$17,$F$18,$F$19,$F$16,$C$14,$F$15,$F$14,$F$20,K$2,I$1,$C319)</f>
        <v>#VALUE!</v>
      </c>
      <c r="L319" s="221" t="e">
        <f t="shared" ca="1" si="14"/>
        <v>#VALUE!</v>
      </c>
      <c r="M319" s="221" t="e">
        <f t="shared" ca="1" si="13"/>
        <v>#VALUE!</v>
      </c>
      <c r="N319" s="226"/>
      <c r="O319" s="221" t="str">
        <f ca="1">_xll.DBRW(Server&amp;Cube1,$F$17,$F$18,$F$19,$F$16,$C$14,$F$15,$F$14,$F$20,O$2,O$1,$C319)</f>
        <v/>
      </c>
      <c r="P319" s="226"/>
      <c r="Q319" s="240" t="str">
        <f ca="1">IF(_xll.ELCOMPN(Server&amp;$C$24,C319)=0,"YES","NO")</f>
        <v>YES</v>
      </c>
      <c r="R319" s="241">
        <v>0</v>
      </c>
      <c r="S319" s="226"/>
      <c r="T319" s="227" t="str">
        <f ca="1">_xll.DBRW(Server&amp;Cube1,$F$17,$F$18,$F$19,$F$16,$C$14,$F$15,$F$14,$F$20,T$2,$T$1,$C319)</f>
        <v/>
      </c>
      <c r="U319" s="227" t="str">
        <f ca="1">_xll.DBRW(Server&amp;Cube1,$F$17,$F$18,$F$19,$F$16,$C$14,$F$15,$F$14,$F$20,U$2,$U$1,$C319)</f>
        <v/>
      </c>
      <c r="V319" s="227" t="str">
        <f ca="1">_xll.DBRW(Server&amp;Cube1,$F$17,$F$18,$F$19,$F$16,$C$14,$F$15,$F$14,$F$20,V$2,V$1,$C319)</f>
        <v/>
      </c>
      <c r="W319" s="227" t="str">
        <f ca="1">_xll.DBRW(Server&amp;Cube1,$F$17,$F$18,$F$19,$F$16,$C$14,$F$15,$F$14,$F$20,W$2,W$1,$C319)</f>
        <v/>
      </c>
      <c r="X319" s="227" t="str">
        <f ca="1">_xll.DBRW(Server&amp;Cube1,$F$17,$F$18,$F$19,$F$16,$C$14,$F$15,$F$14,$F$20,X$2,X$1,$C319)</f>
        <v/>
      </c>
      <c r="Y319" s="227" t="str">
        <f ca="1">_xll.DBRW(Server&amp;Cube1,$F$17,$F$18,$F$19,$F$16,$C$14,$F$15,$F$14,$F$20,Y$2,Y$1,$C319)</f>
        <v/>
      </c>
      <c r="Z319" s="241"/>
      <c r="AA319" s="241"/>
      <c r="AB319" s="241"/>
      <c r="AC319" s="241"/>
      <c r="AD319" s="241"/>
      <c r="AE319" s="241"/>
      <c r="AF319" s="221" t="str">
        <f ca="1">_xll.DBRW(Server&amp;Cube1,$F$17,$F$18,$F$19,$F$16,$C$14,$F$15,$F$14,$F$20,AF$2,$AF$1,$C319)</f>
        <v/>
      </c>
      <c r="AG319" s="53"/>
      <c r="AH319" s="53"/>
      <c r="AI319" s="53"/>
      <c r="AJ319" s="53"/>
      <c r="AK319" s="53"/>
      <c r="AL319" s="53"/>
      <c r="AM319" s="53"/>
      <c r="AN319" s="53"/>
      <c r="AO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:53" s="9" customFormat="1" ht="24" customHeight="1" x14ac:dyDescent="0.35">
      <c r="A320" s="238">
        <f t="shared" ca="1" si="17"/>
        <v>0</v>
      </c>
      <c r="B320" s="163" t="str">
        <f t="shared" si="15"/>
        <v>PU</v>
      </c>
      <c r="C320" s="158" t="s">
        <v>379</v>
      </c>
      <c r="E320" s="268" t="str">
        <f ca="1">_xll.DBRA(Server&amp;$C$24,$C320,$F$21)</f>
        <v>Location Bâtiment (AC)</v>
      </c>
      <c r="F320" s="268"/>
      <c r="G320" s="268"/>
      <c r="H320" s="40"/>
      <c r="I320" s="221" t="str">
        <f ca="1">_xll.DBRW(Server&amp;Cube1,$F$17,$F$18,$F$19,$F$16,$C$14,$F$15,$F$14,$F$20,I$2,I$1,$C320)</f>
        <v/>
      </c>
      <c r="J320" s="221" t="str">
        <f ca="1">_xll.DBRW(Server&amp;Cube1,$F$17,$F$18,$F$19,$F$16,$C$14,$F$15,$F$14,$F$20,J$2,J$1,$C320)</f>
        <v/>
      </c>
      <c r="K320" s="221" t="e">
        <f ca="1">_xll.DBRW(Server&amp;Cube1,$F$17,$F$18,$F$19,$F$16,$C$14,$F$15,$F$14,$F$20,I$2,I$1,$C320) -_xll.DBRW(Server&amp;Cube1,$F$17,$F$18,$F$19,$F$16,$C$14,$F$15,$F$14,$F$20,K$2,I$1,$C320)</f>
        <v>#VALUE!</v>
      </c>
      <c r="L320" s="221" t="e">
        <f t="shared" ca="1" si="14"/>
        <v>#VALUE!</v>
      </c>
      <c r="M320" s="221" t="e">
        <f t="shared" ca="1" si="13"/>
        <v>#VALUE!</v>
      </c>
      <c r="N320" s="226"/>
      <c r="O320" s="221" t="str">
        <f ca="1">_xll.DBRW(Server&amp;Cube1,$F$17,$F$18,$F$19,$F$16,$C$14,$F$15,$F$14,$F$20,O$2,O$1,$C320)</f>
        <v/>
      </c>
      <c r="P320" s="226"/>
      <c r="Q320" s="240" t="str">
        <f ca="1">IF(_xll.ELCOMPN(Server&amp;$C$24,C320)=0,"YES","NO")</f>
        <v>YES</v>
      </c>
      <c r="R320" s="241">
        <v>0</v>
      </c>
      <c r="S320" s="226"/>
      <c r="T320" s="227" t="str">
        <f ca="1">_xll.DBRW(Server&amp;Cube1,$F$17,$F$18,$F$19,$F$16,$C$14,$F$15,$F$14,$F$20,T$2,$T$1,$C320)</f>
        <v/>
      </c>
      <c r="U320" s="227" t="str">
        <f ca="1">_xll.DBRW(Server&amp;Cube1,$F$17,$F$18,$F$19,$F$16,$C$14,$F$15,$F$14,$F$20,U$2,$U$1,$C320)</f>
        <v/>
      </c>
      <c r="V320" s="227" t="str">
        <f ca="1">_xll.DBRW(Server&amp;Cube1,$F$17,$F$18,$F$19,$F$16,$C$14,$F$15,$F$14,$F$20,V$2,V$1,$C320)</f>
        <v/>
      </c>
      <c r="W320" s="227" t="str">
        <f ca="1">_xll.DBRW(Server&amp;Cube1,$F$17,$F$18,$F$19,$F$16,$C$14,$F$15,$F$14,$F$20,W$2,W$1,$C320)</f>
        <v/>
      </c>
      <c r="X320" s="227" t="str">
        <f ca="1">_xll.DBRW(Server&amp;Cube1,$F$17,$F$18,$F$19,$F$16,$C$14,$F$15,$F$14,$F$20,X$2,X$1,$C320)</f>
        <v/>
      </c>
      <c r="Y320" s="227" t="str">
        <f ca="1">_xll.DBRW(Server&amp;Cube1,$F$17,$F$18,$F$19,$F$16,$C$14,$F$15,$F$14,$F$20,Y$2,Y$1,$C320)</f>
        <v/>
      </c>
      <c r="Z320" s="241"/>
      <c r="AA320" s="241"/>
      <c r="AB320" s="241"/>
      <c r="AC320" s="241"/>
      <c r="AD320" s="241"/>
      <c r="AE320" s="241"/>
      <c r="AF320" s="221" t="str">
        <f ca="1">_xll.DBRW(Server&amp;Cube1,$F$17,$F$18,$F$19,$F$16,$C$14,$F$15,$F$14,$F$20,AF$2,$AF$1,$C320)</f>
        <v/>
      </c>
      <c r="AG320" s="53"/>
      <c r="AH320" s="53"/>
      <c r="AI320" s="53"/>
      <c r="AJ320" s="53"/>
      <c r="AK320" s="53"/>
      <c r="AL320" s="53"/>
      <c r="AM320" s="53"/>
      <c r="AN320" s="53"/>
      <c r="AO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:53" s="9" customFormat="1" ht="24" customHeight="1" x14ac:dyDescent="0.35">
      <c r="A321" s="238">
        <f t="shared" ca="1" si="17"/>
        <v>0</v>
      </c>
      <c r="B321" s="163" t="str">
        <f t="shared" si="15"/>
        <v>CO</v>
      </c>
      <c r="C321" s="158" t="s">
        <v>380</v>
      </c>
      <c r="E321" s="268" t="str">
        <f ca="1">_xll.DBRA(Server&amp;$C$24,$C321,$F$21)</f>
        <v>Location Bâtiment (CO)</v>
      </c>
      <c r="F321" s="268"/>
      <c r="G321" s="268"/>
      <c r="H321" s="40"/>
      <c r="I321" s="221" t="str">
        <f ca="1">_xll.DBRW(Server&amp;Cube1,$F$17,$F$18,$F$19,$F$16,$C$14,$F$15,$F$14,$F$20,I$2,I$1,$C321)</f>
        <v/>
      </c>
      <c r="J321" s="221" t="str">
        <f ca="1">_xll.DBRW(Server&amp;Cube1,$F$17,$F$18,$F$19,$F$16,$C$14,$F$15,$F$14,$F$20,J$2,J$1,$C321)</f>
        <v/>
      </c>
      <c r="K321" s="221" t="e">
        <f ca="1">_xll.DBRW(Server&amp;Cube1,$F$17,$F$18,$F$19,$F$16,$C$14,$F$15,$F$14,$F$20,I$2,I$1,$C321) -_xll.DBRW(Server&amp;Cube1,$F$17,$F$18,$F$19,$F$16,$C$14,$F$15,$F$14,$F$20,K$2,I$1,$C321)</f>
        <v>#VALUE!</v>
      </c>
      <c r="L321" s="221" t="e">
        <f t="shared" ca="1" si="14"/>
        <v>#VALUE!</v>
      </c>
      <c r="M321" s="221" t="e">
        <f t="shared" ca="1" si="13"/>
        <v>#VALUE!</v>
      </c>
      <c r="N321" s="226"/>
      <c r="O321" s="221" t="str">
        <f ca="1">_xll.DBRW(Server&amp;Cube1,$F$17,$F$18,$F$19,$F$16,$C$14,$F$15,$F$14,$F$20,O$2,O$1,$C321)</f>
        <v/>
      </c>
      <c r="P321" s="226"/>
      <c r="Q321" s="240" t="str">
        <f ca="1">IF(_xll.ELCOMPN(Server&amp;$C$24,C321)=0,"YES","NO")</f>
        <v>YES</v>
      </c>
      <c r="R321" s="241">
        <v>0</v>
      </c>
      <c r="S321" s="226"/>
      <c r="T321" s="227" t="str">
        <f ca="1">_xll.DBRW(Server&amp;Cube1,$F$17,$F$18,$F$19,$F$16,$C$14,$F$15,$F$14,$F$20,T$2,$T$1,$C321)</f>
        <v/>
      </c>
      <c r="U321" s="227" t="str">
        <f ca="1">_xll.DBRW(Server&amp;Cube1,$F$17,$F$18,$F$19,$F$16,$C$14,$F$15,$F$14,$F$20,U$2,$U$1,$C321)</f>
        <v/>
      </c>
      <c r="V321" s="227" t="str">
        <f ca="1">_xll.DBRW(Server&amp;Cube1,$F$17,$F$18,$F$19,$F$16,$C$14,$F$15,$F$14,$F$20,V$2,V$1,$C321)</f>
        <v/>
      </c>
      <c r="W321" s="227" t="str">
        <f ca="1">_xll.DBRW(Server&amp;Cube1,$F$17,$F$18,$F$19,$F$16,$C$14,$F$15,$F$14,$F$20,W$2,W$1,$C321)</f>
        <v/>
      </c>
      <c r="X321" s="227" t="str">
        <f ca="1">_xll.DBRW(Server&amp;Cube1,$F$17,$F$18,$F$19,$F$16,$C$14,$F$15,$F$14,$F$20,X$2,X$1,$C321)</f>
        <v/>
      </c>
      <c r="Y321" s="227" t="str">
        <f ca="1">_xll.DBRW(Server&amp;Cube1,$F$17,$F$18,$F$19,$F$16,$C$14,$F$15,$F$14,$F$20,Y$2,Y$1,$C321)</f>
        <v/>
      </c>
      <c r="Z321" s="241"/>
      <c r="AA321" s="241"/>
      <c r="AB321" s="241"/>
      <c r="AC321" s="241"/>
      <c r="AD321" s="241"/>
      <c r="AE321" s="241"/>
      <c r="AF321" s="221" t="str">
        <f ca="1">_xll.DBRW(Server&amp;Cube1,$F$17,$F$18,$F$19,$F$16,$C$14,$F$15,$F$14,$F$20,AF$2,$AF$1,$C321)</f>
        <v/>
      </c>
      <c r="AG321" s="53"/>
      <c r="AH321" s="53"/>
      <c r="AI321" s="53"/>
      <c r="AJ321" s="53"/>
      <c r="AK321" s="53"/>
      <c r="AL321" s="53"/>
      <c r="AM321" s="53"/>
      <c r="AN321" s="53"/>
      <c r="AO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:53" s="9" customFormat="1" ht="24" customHeight="1" x14ac:dyDescent="0.35">
      <c r="A322" s="238">
        <f t="shared" ca="1" si="17"/>
        <v>0</v>
      </c>
      <c r="B322" s="163" t="str">
        <f t="shared" si="15"/>
        <v>GS</v>
      </c>
      <c r="C322" s="158" t="s">
        <v>381</v>
      </c>
      <c r="E322" s="268" t="str">
        <f ca="1">_xll.DBRA(Server&amp;$C$24,$C322,$F$21)</f>
        <v>Location Bâtiment (SG)</v>
      </c>
      <c r="F322" s="268"/>
      <c r="G322" s="268"/>
      <c r="H322" s="40"/>
      <c r="I322" s="221" t="str">
        <f ca="1">_xll.DBRW(Server&amp;Cube1,$F$17,$F$18,$F$19,$F$16,$C$14,$F$15,$F$14,$F$20,I$2,I$1,$C322)</f>
        <v/>
      </c>
      <c r="J322" s="221" t="str">
        <f ca="1">_xll.DBRW(Server&amp;Cube1,$F$17,$F$18,$F$19,$F$16,$C$14,$F$15,$F$14,$F$20,J$2,J$1,$C322)</f>
        <v/>
      </c>
      <c r="K322" s="221" t="e">
        <f ca="1">_xll.DBRW(Server&amp;Cube1,$F$17,$F$18,$F$19,$F$16,$C$14,$F$15,$F$14,$F$20,I$2,I$1,$C322) -_xll.DBRW(Server&amp;Cube1,$F$17,$F$18,$F$19,$F$16,$C$14,$F$15,$F$14,$F$20,K$2,I$1,$C322)</f>
        <v>#VALUE!</v>
      </c>
      <c r="L322" s="221" t="e">
        <f t="shared" ca="1" si="14"/>
        <v>#VALUE!</v>
      </c>
      <c r="M322" s="221" t="e">
        <f t="shared" ca="1" si="13"/>
        <v>#VALUE!</v>
      </c>
      <c r="N322" s="226"/>
      <c r="O322" s="221" t="str">
        <f ca="1">_xll.DBRW(Server&amp;Cube1,$F$17,$F$18,$F$19,$F$16,$C$14,$F$15,$F$14,$F$20,O$2,O$1,$C322)</f>
        <v/>
      </c>
      <c r="P322" s="226"/>
      <c r="Q322" s="240" t="str">
        <f ca="1">IF(_xll.ELCOMPN(Server&amp;$C$24,C322)=0,"YES","NO")</f>
        <v>YES</v>
      </c>
      <c r="R322" s="241">
        <v>0</v>
      </c>
      <c r="S322" s="226"/>
      <c r="T322" s="227" t="str">
        <f ca="1">_xll.DBRW(Server&amp;Cube1,$F$17,$F$18,$F$19,$F$16,$C$14,$F$15,$F$14,$F$20,T$2,$T$1,$C322)</f>
        <v/>
      </c>
      <c r="U322" s="227" t="str">
        <f ca="1">_xll.DBRW(Server&amp;Cube1,$F$17,$F$18,$F$19,$F$16,$C$14,$F$15,$F$14,$F$20,U$2,$U$1,$C322)</f>
        <v/>
      </c>
      <c r="V322" s="227" t="str">
        <f ca="1">_xll.DBRW(Server&amp;Cube1,$F$17,$F$18,$F$19,$F$16,$C$14,$F$15,$F$14,$F$20,V$2,V$1,$C322)</f>
        <v/>
      </c>
      <c r="W322" s="227" t="str">
        <f ca="1">_xll.DBRW(Server&amp;Cube1,$F$17,$F$18,$F$19,$F$16,$C$14,$F$15,$F$14,$F$20,W$2,W$1,$C322)</f>
        <v/>
      </c>
      <c r="X322" s="227" t="str">
        <f ca="1">_xll.DBRW(Server&amp;Cube1,$F$17,$F$18,$F$19,$F$16,$C$14,$F$15,$F$14,$F$20,X$2,X$1,$C322)</f>
        <v/>
      </c>
      <c r="Y322" s="227" t="str">
        <f ca="1">_xll.DBRW(Server&amp;Cube1,$F$17,$F$18,$F$19,$F$16,$C$14,$F$15,$F$14,$F$20,Y$2,Y$1,$C322)</f>
        <v/>
      </c>
      <c r="Z322" s="241"/>
      <c r="AA322" s="241"/>
      <c r="AB322" s="241"/>
      <c r="AC322" s="241"/>
      <c r="AD322" s="241"/>
      <c r="AE322" s="241"/>
      <c r="AF322" s="221" t="str">
        <f ca="1">_xll.DBRW(Server&amp;Cube1,$F$17,$F$18,$F$19,$F$16,$C$14,$F$15,$F$14,$F$20,AF$2,$AF$1,$C322)</f>
        <v/>
      </c>
      <c r="AG322" s="53"/>
      <c r="AH322" s="53"/>
      <c r="AI322" s="53"/>
      <c r="AJ322" s="53"/>
      <c r="AK322" s="53"/>
      <c r="AL322" s="53"/>
      <c r="AM322" s="53"/>
      <c r="AN322" s="53"/>
      <c r="AO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:53" s="9" customFormat="1" ht="24" customHeight="1" x14ac:dyDescent="0.35">
      <c r="A323" s="238">
        <f t="shared" ca="1" si="17"/>
        <v>0</v>
      </c>
      <c r="B323" s="163" t="str">
        <f t="shared" si="15"/>
        <v>RD</v>
      </c>
      <c r="C323" s="158" t="s">
        <v>382</v>
      </c>
      <c r="E323" s="268" t="str">
        <f ca="1">_xll.DBRA(Server&amp;$C$24,$C323,$F$21)</f>
        <v>Location Bâtiment (RD)</v>
      </c>
      <c r="F323" s="268"/>
      <c r="G323" s="268"/>
      <c r="H323" s="40"/>
      <c r="I323" s="221" t="str">
        <f ca="1">_xll.DBRW(Server&amp;Cube1,$F$17,$F$18,$F$19,$F$16,$C$14,$F$15,$F$14,$F$20,I$2,I$1,$C323)</f>
        <v/>
      </c>
      <c r="J323" s="221" t="str">
        <f ca="1">_xll.DBRW(Server&amp;Cube1,$F$17,$F$18,$F$19,$F$16,$C$14,$F$15,$F$14,$F$20,J$2,J$1,$C323)</f>
        <v/>
      </c>
      <c r="K323" s="221" t="e">
        <f ca="1">_xll.DBRW(Server&amp;Cube1,$F$17,$F$18,$F$19,$F$16,$C$14,$F$15,$F$14,$F$20,I$2,I$1,$C323) -_xll.DBRW(Server&amp;Cube1,$F$17,$F$18,$F$19,$F$16,$C$14,$F$15,$F$14,$F$20,K$2,I$1,$C323)</f>
        <v>#VALUE!</v>
      </c>
      <c r="L323" s="221" t="e">
        <f t="shared" ca="1" si="14"/>
        <v>#VALUE!</v>
      </c>
      <c r="M323" s="221" t="e">
        <f t="shared" ca="1" si="13"/>
        <v>#VALUE!</v>
      </c>
      <c r="N323" s="226"/>
      <c r="O323" s="221" t="str">
        <f ca="1">_xll.DBRW(Server&amp;Cube1,$F$17,$F$18,$F$19,$F$16,$C$14,$F$15,$F$14,$F$20,O$2,O$1,$C323)</f>
        <v/>
      </c>
      <c r="P323" s="226"/>
      <c r="Q323" s="240" t="str">
        <f ca="1">IF(_xll.ELCOMPN(Server&amp;$C$24,C323)=0,"YES","NO")</f>
        <v>YES</v>
      </c>
      <c r="R323" s="241">
        <v>0</v>
      </c>
      <c r="S323" s="226"/>
      <c r="T323" s="227" t="str">
        <f ca="1">_xll.DBRW(Server&amp;Cube1,$F$17,$F$18,$F$19,$F$16,$C$14,$F$15,$F$14,$F$20,T$2,$T$1,$C323)</f>
        <v/>
      </c>
      <c r="U323" s="227" t="str">
        <f ca="1">_xll.DBRW(Server&amp;Cube1,$F$17,$F$18,$F$19,$F$16,$C$14,$F$15,$F$14,$F$20,U$2,$U$1,$C323)</f>
        <v/>
      </c>
      <c r="V323" s="227" t="str">
        <f ca="1">_xll.DBRW(Server&amp;Cube1,$F$17,$F$18,$F$19,$F$16,$C$14,$F$15,$F$14,$F$20,V$2,V$1,$C323)</f>
        <v/>
      </c>
      <c r="W323" s="227" t="str">
        <f ca="1">_xll.DBRW(Server&amp;Cube1,$F$17,$F$18,$F$19,$F$16,$C$14,$F$15,$F$14,$F$20,W$2,W$1,$C323)</f>
        <v/>
      </c>
      <c r="X323" s="227" t="str">
        <f ca="1">_xll.DBRW(Server&amp;Cube1,$F$17,$F$18,$F$19,$F$16,$C$14,$F$15,$F$14,$F$20,X$2,X$1,$C323)</f>
        <v/>
      </c>
      <c r="Y323" s="227" t="str">
        <f ca="1">_xll.DBRW(Server&amp;Cube1,$F$17,$F$18,$F$19,$F$16,$C$14,$F$15,$F$14,$F$20,Y$2,Y$1,$C323)</f>
        <v/>
      </c>
      <c r="Z323" s="241"/>
      <c r="AA323" s="241"/>
      <c r="AB323" s="241"/>
      <c r="AC323" s="241"/>
      <c r="AD323" s="241"/>
      <c r="AE323" s="241"/>
      <c r="AF323" s="221" t="str">
        <f ca="1">_xll.DBRW(Server&amp;Cube1,$F$17,$F$18,$F$19,$F$16,$C$14,$F$15,$F$14,$F$20,AF$2,$AF$1,$C323)</f>
        <v/>
      </c>
      <c r="AG323" s="53"/>
      <c r="AH323" s="53"/>
      <c r="AI323" s="53"/>
      <c r="AJ323" s="53"/>
      <c r="AK323" s="53"/>
      <c r="AL323" s="53"/>
      <c r="AM323" s="53"/>
      <c r="AN323" s="53"/>
      <c r="AO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:53" s="9" customFormat="1" ht="24" customHeight="1" x14ac:dyDescent="0.35">
      <c r="A324" s="181">
        <f ca="1">IF($AT$35="YES",1,IF(_xll.ELCOMPN(Server&amp;$C$24,C324)&lt;&gt;0,1,IF(OR(B324=$AZ$35,B324="ALL"),1,0)))</f>
        <v>1</v>
      </c>
      <c r="B324" s="163" t="str">
        <f t="shared" si="15"/>
        <v>co</v>
      </c>
      <c r="C324" s="119" t="s">
        <v>114</v>
      </c>
      <c r="E324" s="269" t="str">
        <f ca="1">_xll.DBRA(Server&amp;$C$24,$C324,$F$21)</f>
        <v>Autres coûts liés au personnel</v>
      </c>
      <c r="F324" s="269"/>
      <c r="G324" s="269"/>
      <c r="H324" s="40"/>
      <c r="I324" s="220" t="str">
        <f ca="1">_xll.DBRW(Server&amp;Cube1,$F$17,$F$18,$F$19,$F$16,$C$14,$F$15,$F$14,$F$20,I$2,I$1,$C324)</f>
        <v/>
      </c>
      <c r="J324" s="220" t="str">
        <f ca="1">_xll.DBRW(Server&amp;Cube1,$F$17,$F$18,$F$19,$F$16,$C$14,$F$15,$F$14,$F$20,J$2,J$1,$C324)</f>
        <v/>
      </c>
      <c r="K324" s="220" t="e">
        <f ca="1">_xll.DBRW(Server&amp;Cube1,$F$17,$F$18,$F$19,$F$16,$C$14,$F$15,$F$14,$F$20,I$2,I$1,$C324) -_xll.DBRW(Server&amp;Cube1,$F$17,$F$18,$F$19,$F$16,$C$14,$F$15,$F$14,$F$20,K$2,I$1,$C324)</f>
        <v>#VALUE!</v>
      </c>
      <c r="L324" s="220" t="e">
        <f t="shared" ca="1" si="14"/>
        <v>#VALUE!</v>
      </c>
      <c r="M324" s="220" t="e">
        <f t="shared" ca="1" si="13"/>
        <v>#VALUE!</v>
      </c>
      <c r="N324" s="229"/>
      <c r="O324" s="228" t="str">
        <f ca="1">_xll.DBRW(Server&amp;Cube1,$F$17,$F$18,$F$19,$F$16,$C$14,$F$15,$F$14,$F$20,O$2,O$1,$C324)</f>
        <v/>
      </c>
      <c r="P324" s="229"/>
      <c r="Q324" s="240" t="str">
        <f ca="1">IF(_xll.ELCOMPN(Server&amp;$C$24,C324)=0,"YES","NO")</f>
        <v>NO</v>
      </c>
      <c r="R324" s="228"/>
      <c r="S324" s="229"/>
      <c r="T324" s="231" t="str">
        <f ca="1">_xll.DBRW(Server&amp;Cube1,$F$17,$F$18,$F$19,$F$16,$C$14,$F$15,$F$14,$F$20,T$2,$T$1,$C324)</f>
        <v/>
      </c>
      <c r="U324" s="231" t="str">
        <f ca="1">_xll.DBRW(Server&amp;Cube1,$F$17,$F$18,$F$19,$F$16,$C$14,$F$15,$F$14,$F$20,U$2,$U$1,$C324)</f>
        <v/>
      </c>
      <c r="V324" s="231" t="str">
        <f ca="1">_xll.DBRW(Server&amp;Cube1,$F$17,$F$18,$F$19,$F$16,$C$14,$F$15,$F$14,$F$20,V$2,V$1,$C324)</f>
        <v/>
      </c>
      <c r="W324" s="231" t="str">
        <f ca="1">_xll.DBRW(Server&amp;Cube1,$F$17,$F$18,$F$19,$F$16,$C$14,$F$15,$F$14,$F$20,W$2,W$1,$C324)</f>
        <v/>
      </c>
      <c r="X324" s="228" t="str">
        <f ca="1">_xll.DBRW(Server&amp;Cube1,$F$17,$F$18,$F$19,$F$16,$C$14,$F$15,$F$14,$F$20,X$2,X$1,$C324)</f>
        <v/>
      </c>
      <c r="Y324" s="228" t="str">
        <f ca="1">_xll.DBRW(Server&amp;Cube1,$F$17,$F$18,$F$19,$F$16,$C$14,$F$15,$F$14,$F$20,Y$2,Y$1,$C324)</f>
        <v/>
      </c>
      <c r="Z324" s="228" t="str">
        <f ca="1">_xll.DBRW(Server&amp;Cube1,$F$17,$F$18,$F$19,$F$16,$C$14,$F$15,$F$14,$F$20,Z$2,Z$1,$C324)</f>
        <v/>
      </c>
      <c r="AA324" s="228" t="str">
        <f ca="1">_xll.DBRW(Server&amp;Cube1,$F$17,$F$18,$F$19,$F$16,$C$14,$F$15,$F$14,$F$20,AA$2,AA$1,$C324)</f>
        <v/>
      </c>
      <c r="AB324" s="228" t="str">
        <f ca="1">_xll.DBRW(Server&amp;Cube1,$F$17,$F$18,$F$19,$F$16,$C$14,$F$15,$F$14,$F$20,AB$2,AB$1,$C324)</f>
        <v/>
      </c>
      <c r="AC324" s="228" t="str">
        <f ca="1">_xll.DBRW(Server&amp;Cube1,$F$17,$F$18,$F$19,$F$16,$C$14,$F$15,$F$14,$F$20,AC$2,AC$1,$C324)</f>
        <v/>
      </c>
      <c r="AD324" s="228" t="str">
        <f ca="1">_xll.DBRW(Server&amp;Cube1,$F$17,$F$18,$F$19,$F$16,$C$14,$F$15,$F$14,$F$20,AD$2,AD$1,$C324)</f>
        <v/>
      </c>
      <c r="AE324" s="228" t="str">
        <f ca="1">_xll.DBRW(Server&amp;Cube1,$F$17,$F$18,$F$19,$F$16,$C$14,$F$15,$F$14,$F$20,AE$2,AE$1,$C324)</f>
        <v/>
      </c>
      <c r="AF324" s="228" t="str">
        <f ca="1">_xll.DBRW(Server&amp;Cube1,$F$17,$F$18,$F$19,$F$16,$C$14,$F$15,$F$14,$F$20,AF$2,$AF$1,$C324)</f>
        <v/>
      </c>
      <c r="AG324" s="53"/>
      <c r="AH324" s="53"/>
      <c r="AI324" s="53"/>
      <c r="AJ324" s="53"/>
      <c r="AK324" s="53"/>
      <c r="AL324" s="53"/>
      <c r="AM324" s="53"/>
      <c r="AN324" s="53"/>
      <c r="AO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:53" s="9" customFormat="1" ht="24" customHeight="1" x14ac:dyDescent="0.35">
      <c r="A325" s="181">
        <f ca="1">IF($AT$35="YES",1,IF(_xll.ELCOMPN(Server&amp;$C$24,C325)&lt;&gt;0,1,IF(OR(B325=$AZ$35,B325="ALL"),1,0)))</f>
        <v>1</v>
      </c>
      <c r="B325" s="163" t="str">
        <f t="shared" si="15"/>
        <v>ve</v>
      </c>
      <c r="C325" s="117" t="s">
        <v>115</v>
      </c>
      <c r="E325" s="270" t="str">
        <f ca="1">_xll.DBRA(Server&amp;$C$24,$C325,$F$21)</f>
        <v>Cout véhicules de fonction</v>
      </c>
      <c r="F325" s="270"/>
      <c r="G325" s="270"/>
      <c r="H325" s="40"/>
      <c r="I325" s="221" t="str">
        <f ca="1">_xll.DBRW(Server&amp;Cube1,$F$17,$F$18,$F$19,$F$16,$C$14,$F$15,$F$14,$F$20,I$2,I$1,$C325)</f>
        <v/>
      </c>
      <c r="J325" s="221" t="str">
        <f ca="1">_xll.DBRW(Server&amp;Cube1,$F$17,$F$18,$F$19,$F$16,$C$14,$F$15,$F$14,$F$20,J$2,J$1,$C325)</f>
        <v/>
      </c>
      <c r="K325" s="221" t="e">
        <f ca="1">_xll.DBRW(Server&amp;Cube1,$F$17,$F$18,$F$19,$F$16,$C$14,$F$15,$F$14,$F$20,I$2,I$1,$C325) -_xll.DBRW(Server&amp;Cube1,$F$17,$F$18,$F$19,$F$16,$C$14,$F$15,$F$14,$F$20,K$2,I$1,$C325)</f>
        <v>#VALUE!</v>
      </c>
      <c r="L325" s="221" t="e">
        <f t="shared" ca="1" si="14"/>
        <v>#VALUE!</v>
      </c>
      <c r="M325" s="221" t="e">
        <f t="shared" ca="1" si="13"/>
        <v>#VALUE!</v>
      </c>
      <c r="N325" s="229"/>
      <c r="O325" s="229" t="str">
        <f ca="1">_xll.DBRW(Server&amp;Cube1,$F$17,$F$18,$F$19,$F$16,$C$14,$F$15,$F$14,$F$20,O$2,O$1,$C325)</f>
        <v/>
      </c>
      <c r="P325" s="229"/>
      <c r="Q325" s="240" t="str">
        <f ca="1">IF(_xll.ELCOMPN(Server&amp;$C$24,C325)=0,"YES","NO")</f>
        <v>NO</v>
      </c>
      <c r="R325" s="229"/>
      <c r="S325" s="229"/>
      <c r="T325" s="230" t="str">
        <f ca="1">_xll.DBRW(Server&amp;Cube1,$F$17,$F$18,$F$19,$F$16,$C$14,$F$15,$F$14,$F$20,T$2,$T$1,$C325)</f>
        <v/>
      </c>
      <c r="U325" s="230" t="str">
        <f ca="1">_xll.DBRW(Server&amp;Cube1,$F$17,$F$18,$F$19,$F$16,$C$14,$F$15,$F$14,$F$20,U$2,$U$1,$C325)</f>
        <v/>
      </c>
      <c r="V325" s="230" t="str">
        <f ca="1">_xll.DBRW(Server&amp;Cube1,$F$17,$F$18,$F$19,$F$16,$C$14,$F$15,$F$14,$F$20,V$2,V$1,$C325)</f>
        <v/>
      </c>
      <c r="W325" s="230" t="str">
        <f ca="1">_xll.DBRW(Server&amp;Cube1,$F$17,$F$18,$F$19,$F$16,$C$14,$F$15,$F$14,$F$20,W$2,W$1,$C325)</f>
        <v/>
      </c>
      <c r="X325" s="229" t="str">
        <f ca="1">_xll.DBRW(Server&amp;Cube1,$F$17,$F$18,$F$19,$F$16,$C$14,$F$15,$F$14,$F$20,X$2,X$1,$C325)</f>
        <v/>
      </c>
      <c r="Y325" s="229" t="str">
        <f ca="1">_xll.DBRW(Server&amp;Cube1,$F$17,$F$18,$F$19,$F$16,$C$14,$F$15,$F$14,$F$20,Y$2,Y$1,$C325)</f>
        <v/>
      </c>
      <c r="Z325" s="229" t="str">
        <f ca="1">_xll.DBRW(Server&amp;Cube1,$F$17,$F$18,$F$19,$F$16,$C$14,$F$15,$F$14,$F$20,Z$2,Z$1,$C325)</f>
        <v/>
      </c>
      <c r="AA325" s="229" t="str">
        <f ca="1">_xll.DBRW(Server&amp;Cube1,$F$17,$F$18,$F$19,$F$16,$C$14,$F$15,$F$14,$F$20,AA$2,AA$1,$C325)</f>
        <v/>
      </c>
      <c r="AB325" s="229" t="str">
        <f ca="1">_xll.DBRW(Server&amp;Cube1,$F$17,$F$18,$F$19,$F$16,$C$14,$F$15,$F$14,$F$20,AB$2,AB$1,$C325)</f>
        <v/>
      </c>
      <c r="AC325" s="229" t="str">
        <f ca="1">_xll.DBRW(Server&amp;Cube1,$F$17,$F$18,$F$19,$F$16,$C$14,$F$15,$F$14,$F$20,AC$2,AC$1,$C325)</f>
        <v/>
      </c>
      <c r="AD325" s="229" t="str">
        <f ca="1">_xll.DBRW(Server&amp;Cube1,$F$17,$F$18,$F$19,$F$16,$C$14,$F$15,$F$14,$F$20,AD$2,AD$1,$C325)</f>
        <v/>
      </c>
      <c r="AE325" s="229" t="str">
        <f ca="1">_xll.DBRW(Server&amp;Cube1,$F$17,$F$18,$F$19,$F$16,$C$14,$F$15,$F$14,$F$20,AE$2,AE$1,$C325)</f>
        <v/>
      </c>
      <c r="AF325" s="229" t="str">
        <f ca="1">_xll.DBRW(Server&amp;Cube1,$F$17,$F$18,$F$19,$F$16,$C$14,$F$15,$F$14,$F$20,AF$2,$AF$1,$C325)</f>
        <v/>
      </c>
      <c r="AG325" s="53"/>
      <c r="AH325" s="53"/>
      <c r="AI325" s="53"/>
      <c r="AJ325" s="53"/>
      <c r="AK325" s="53"/>
      <c r="AL325" s="53"/>
      <c r="AM325" s="53"/>
      <c r="AN325" s="53"/>
      <c r="AO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:53" s="9" customFormat="1" ht="24" customHeight="1" x14ac:dyDescent="0.35">
      <c r="A326" s="181" t="e">
        <f ca="1">IF($AT$35="YES",1,IF(_xll.ELCOMPN(Server&amp;$C$24,C326)&lt;&gt;0,1,IF(OR(B326=$AZ$35,B326="ALL"),1,0)))</f>
        <v>#VALUE!</v>
      </c>
      <c r="B326" s="163" t="str">
        <f t="shared" si="15"/>
        <v>DS</v>
      </c>
      <c r="C326" s="158" t="s">
        <v>383</v>
      </c>
      <c r="E326" s="268" t="str">
        <f ca="1">_xll.DBRA(Server&amp;$C$24,$C326,$F$21)</f>
        <v>Cout véhicules de fonction (SO)</v>
      </c>
      <c r="F326" s="268"/>
      <c r="G326" s="268"/>
      <c r="H326" s="40"/>
      <c r="I326" s="221" t="str">
        <f ca="1">_xll.DBRW(Server&amp;Cube1,$F$17,$F$18,$F$19,$F$16,$C$14,$F$15,$F$14,$F$20,I$2,I$1,$C326)</f>
        <v/>
      </c>
      <c r="J326" s="221" t="str">
        <f ca="1">_xll.DBRW(Server&amp;Cube1,$F$17,$F$18,$F$19,$F$16,$C$14,$F$15,$F$14,$F$20,J$2,J$1,$C326)</f>
        <v/>
      </c>
      <c r="K326" s="221" t="e">
        <f ca="1">_xll.DBRW(Server&amp;Cube1,$F$17,$F$18,$F$19,$F$16,$C$14,$F$15,$F$14,$F$20,I$2,I$1,$C326) -_xll.DBRW(Server&amp;Cube1,$F$17,$F$18,$F$19,$F$16,$C$14,$F$15,$F$14,$F$20,K$2,I$1,$C326)</f>
        <v>#VALUE!</v>
      </c>
      <c r="L326" s="221" t="e">
        <f t="shared" ca="1" si="14"/>
        <v>#VALUE!</v>
      </c>
      <c r="M326" s="221" t="e">
        <f t="shared" ca="1" si="13"/>
        <v>#VALUE!</v>
      </c>
      <c r="N326" s="226"/>
      <c r="O326" s="221" t="str">
        <f ca="1">_xll.DBRW(Server&amp;Cube1,$F$17,$F$18,$F$19,$F$16,$C$14,$F$15,$F$14,$F$20,O$2,O$1,$C326)</f>
        <v/>
      </c>
      <c r="P326" s="226"/>
      <c r="Q326" s="240" t="str">
        <f ca="1">IF(_xll.ELCOMPN(Server&amp;$C$24,C326)=0,"YES","NO")</f>
        <v>YES</v>
      </c>
      <c r="R326" s="241">
        <v>0</v>
      </c>
      <c r="S326" s="226"/>
      <c r="T326" s="227" t="str">
        <f ca="1">_xll.DBRW(Server&amp;Cube1,$F$17,$F$18,$F$19,$F$16,$C$14,$F$15,$F$14,$F$20,T$2,$T$1,$C326)</f>
        <v/>
      </c>
      <c r="U326" s="227" t="str">
        <f ca="1">_xll.DBRW(Server&amp;Cube1,$F$17,$F$18,$F$19,$F$16,$C$14,$F$15,$F$14,$F$20,U$2,$U$1,$C326)</f>
        <v/>
      </c>
      <c r="V326" s="227" t="str">
        <f ca="1">_xll.DBRW(Server&amp;Cube1,$F$17,$F$18,$F$19,$F$16,$C$14,$F$15,$F$14,$F$20,V$2,V$1,$C326)</f>
        <v/>
      </c>
      <c r="W326" s="227" t="str">
        <f ca="1">_xll.DBRW(Server&amp;Cube1,$F$17,$F$18,$F$19,$F$16,$C$14,$F$15,$F$14,$F$20,W$2,W$1,$C326)</f>
        <v/>
      </c>
      <c r="X326" s="227" t="str">
        <f ca="1">_xll.DBRW(Server&amp;Cube1,$F$17,$F$18,$F$19,$F$16,$C$14,$F$15,$F$14,$F$20,X$2,X$1,$C326)</f>
        <v/>
      </c>
      <c r="Y326" s="227" t="str">
        <f ca="1">_xll.DBRW(Server&amp;Cube1,$F$17,$F$18,$F$19,$F$16,$C$14,$F$15,$F$14,$F$20,Y$2,Y$1,$C326)</f>
        <v/>
      </c>
      <c r="Z326" s="241"/>
      <c r="AA326" s="241"/>
      <c r="AB326" s="241"/>
      <c r="AC326" s="241"/>
      <c r="AD326" s="241"/>
      <c r="AE326" s="241"/>
      <c r="AF326" s="221" t="str">
        <f ca="1">_xll.DBRW(Server&amp;Cube1,$F$17,$F$18,$F$19,$F$16,$C$14,$F$15,$F$14,$F$20,AF$2,$AF$1,$C326)</f>
        <v/>
      </c>
      <c r="AG326" s="53"/>
      <c r="AH326" s="53"/>
      <c r="AI326" s="53"/>
      <c r="AJ326" s="53"/>
      <c r="AK326" s="53"/>
      <c r="AL326" s="53"/>
      <c r="AM326" s="53"/>
      <c r="AN326" s="53"/>
      <c r="AO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:53" s="9" customFormat="1" ht="24" customHeight="1" x14ac:dyDescent="0.35">
      <c r="A327" s="181" t="e">
        <f ca="1">IF($AT$35="YES",1,IF(_xll.ELCOMPN(Server&amp;$C$24,C327)&lt;&gt;0,1,IF(OR(B327=$AZ$35,B327="ALL"),1,0)))</f>
        <v>#VALUE!</v>
      </c>
      <c r="B327" s="163" t="str">
        <f t="shared" si="15"/>
        <v>BD</v>
      </c>
      <c r="C327" s="158" t="s">
        <v>384</v>
      </c>
      <c r="E327" s="268" t="str">
        <f ca="1">_xll.DBRA(Server&amp;$C$24,$C327,$F$21)</f>
        <v>Cout véhicules de fonction (DC)</v>
      </c>
      <c r="F327" s="268"/>
      <c r="G327" s="268"/>
      <c r="H327" s="40"/>
      <c r="I327" s="221" t="str">
        <f ca="1">_xll.DBRW(Server&amp;Cube1,$F$17,$F$18,$F$19,$F$16,$C$14,$F$15,$F$14,$F$20,I$2,I$1,$C327)</f>
        <v/>
      </c>
      <c r="J327" s="221" t="str">
        <f ca="1">_xll.DBRW(Server&amp;Cube1,$F$17,$F$18,$F$19,$F$16,$C$14,$F$15,$F$14,$F$20,J$2,J$1,$C327)</f>
        <v/>
      </c>
      <c r="K327" s="221" t="e">
        <f ca="1">_xll.DBRW(Server&amp;Cube1,$F$17,$F$18,$F$19,$F$16,$C$14,$F$15,$F$14,$F$20,I$2,I$1,$C327) -_xll.DBRW(Server&amp;Cube1,$F$17,$F$18,$F$19,$F$16,$C$14,$F$15,$F$14,$F$20,K$2,I$1,$C327)</f>
        <v>#VALUE!</v>
      </c>
      <c r="L327" s="221" t="e">
        <f t="shared" ca="1" si="14"/>
        <v>#VALUE!</v>
      </c>
      <c r="M327" s="221" t="e">
        <f t="shared" ca="1" si="13"/>
        <v>#VALUE!</v>
      </c>
      <c r="N327" s="226"/>
      <c r="O327" s="221" t="str">
        <f ca="1">_xll.DBRW(Server&amp;Cube1,$F$17,$F$18,$F$19,$F$16,$C$14,$F$15,$F$14,$F$20,O$2,O$1,$C327)</f>
        <v/>
      </c>
      <c r="P327" s="226"/>
      <c r="Q327" s="240" t="str">
        <f ca="1">IF(_xll.ELCOMPN(Server&amp;$C$24,C327)=0,"YES","NO")</f>
        <v>YES</v>
      </c>
      <c r="R327" s="241">
        <v>0</v>
      </c>
      <c r="S327" s="226"/>
      <c r="T327" s="227" t="str">
        <f ca="1">_xll.DBRW(Server&amp;Cube1,$F$17,$F$18,$F$19,$F$16,$C$14,$F$15,$F$14,$F$20,T$2,$T$1,$C327)</f>
        <v/>
      </c>
      <c r="U327" s="227" t="str">
        <f ca="1">_xll.DBRW(Server&amp;Cube1,$F$17,$F$18,$F$19,$F$16,$C$14,$F$15,$F$14,$F$20,U$2,$U$1,$C327)</f>
        <v/>
      </c>
      <c r="V327" s="227" t="str">
        <f ca="1">_xll.DBRW(Server&amp;Cube1,$F$17,$F$18,$F$19,$F$16,$C$14,$F$15,$F$14,$F$20,V$2,V$1,$C327)</f>
        <v/>
      </c>
      <c r="W327" s="227" t="str">
        <f ca="1">_xll.DBRW(Server&amp;Cube1,$F$17,$F$18,$F$19,$F$16,$C$14,$F$15,$F$14,$F$20,W$2,W$1,$C327)</f>
        <v/>
      </c>
      <c r="X327" s="227" t="str">
        <f ca="1">_xll.DBRW(Server&amp;Cube1,$F$17,$F$18,$F$19,$F$16,$C$14,$F$15,$F$14,$F$20,X$2,X$1,$C327)</f>
        <v/>
      </c>
      <c r="Y327" s="227" t="str">
        <f ca="1">_xll.DBRW(Server&amp;Cube1,$F$17,$F$18,$F$19,$F$16,$C$14,$F$15,$F$14,$F$20,Y$2,Y$1,$C327)</f>
        <v/>
      </c>
      <c r="Z327" s="241"/>
      <c r="AA327" s="241"/>
      <c r="AB327" s="241"/>
      <c r="AC327" s="241"/>
      <c r="AD327" s="241"/>
      <c r="AE327" s="241"/>
      <c r="AF327" s="221" t="str">
        <f ca="1">_xll.DBRW(Server&amp;Cube1,$F$17,$F$18,$F$19,$F$16,$C$14,$F$15,$F$14,$F$20,AF$2,$AF$1,$C327)</f>
        <v/>
      </c>
      <c r="AG327" s="53"/>
      <c r="AH327" s="53"/>
      <c r="AI327" s="53"/>
      <c r="AJ327" s="53"/>
      <c r="AK327" s="53"/>
      <c r="AL327" s="53"/>
      <c r="AM327" s="53"/>
      <c r="AN327" s="53"/>
      <c r="AO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:53" s="9" customFormat="1" ht="24" customHeight="1" x14ac:dyDescent="0.35">
      <c r="A328" s="181" t="e">
        <f ca="1">IF($AT$35="YES",1,IF(_xll.ELCOMPN(Server&amp;$C$24,C328)&lt;&gt;0,1,IF(OR(B328=$AZ$35,B328="ALL"),1,0)))</f>
        <v>#VALUE!</v>
      </c>
      <c r="B328" s="163" t="str">
        <f t="shared" si="15"/>
        <v>FI</v>
      </c>
      <c r="C328" s="158" t="s">
        <v>385</v>
      </c>
      <c r="E328" s="268" t="str">
        <f ca="1">_xll.DBRA(Server&amp;$C$24,$C328,$F$21)</f>
        <v>Cout véhicules de fonction (DF)</v>
      </c>
      <c r="F328" s="268"/>
      <c r="G328" s="268"/>
      <c r="H328" s="40"/>
      <c r="I328" s="221" t="str">
        <f ca="1">_xll.DBRW(Server&amp;Cube1,$F$17,$F$18,$F$19,$F$16,$C$14,$F$15,$F$14,$F$20,I$2,I$1,$C328)</f>
        <v/>
      </c>
      <c r="J328" s="221" t="str">
        <f ca="1">_xll.DBRW(Server&amp;Cube1,$F$17,$F$18,$F$19,$F$16,$C$14,$F$15,$F$14,$F$20,J$2,J$1,$C328)</f>
        <v/>
      </c>
      <c r="K328" s="221" t="e">
        <f ca="1">_xll.DBRW(Server&amp;Cube1,$F$17,$F$18,$F$19,$F$16,$C$14,$F$15,$F$14,$F$20,I$2,I$1,$C328) -_xll.DBRW(Server&amp;Cube1,$F$17,$F$18,$F$19,$F$16,$C$14,$F$15,$F$14,$F$20,K$2,I$1,$C328)</f>
        <v>#VALUE!</v>
      </c>
      <c r="L328" s="221" t="e">
        <f t="shared" ca="1" si="14"/>
        <v>#VALUE!</v>
      </c>
      <c r="M328" s="221" t="e">
        <f t="shared" ca="1" si="13"/>
        <v>#VALUE!</v>
      </c>
      <c r="N328" s="226"/>
      <c r="O328" s="221" t="str">
        <f ca="1">_xll.DBRW(Server&amp;Cube1,$F$17,$F$18,$F$19,$F$16,$C$14,$F$15,$F$14,$F$20,O$2,O$1,$C328)</f>
        <v/>
      </c>
      <c r="P328" s="226"/>
      <c r="Q328" s="240" t="str">
        <f ca="1">IF(_xll.ELCOMPN(Server&amp;$C$24,C328)=0,"YES","NO")</f>
        <v>YES</v>
      </c>
      <c r="R328" s="241">
        <v>0</v>
      </c>
      <c r="S328" s="226"/>
      <c r="T328" s="227" t="str">
        <f ca="1">_xll.DBRW(Server&amp;Cube1,$F$17,$F$18,$F$19,$F$16,$C$14,$F$15,$F$14,$F$20,T$2,$T$1,$C328)</f>
        <v/>
      </c>
      <c r="U328" s="227" t="str">
        <f ca="1">_xll.DBRW(Server&amp;Cube1,$F$17,$F$18,$F$19,$F$16,$C$14,$F$15,$F$14,$F$20,U$2,$U$1,$C328)</f>
        <v/>
      </c>
      <c r="V328" s="227" t="str">
        <f ca="1">_xll.DBRW(Server&amp;Cube1,$F$17,$F$18,$F$19,$F$16,$C$14,$F$15,$F$14,$F$20,V$2,V$1,$C328)</f>
        <v/>
      </c>
      <c r="W328" s="227" t="str">
        <f ca="1">_xll.DBRW(Server&amp;Cube1,$F$17,$F$18,$F$19,$F$16,$C$14,$F$15,$F$14,$F$20,W$2,W$1,$C328)</f>
        <v/>
      </c>
      <c r="X328" s="227" t="str">
        <f ca="1">_xll.DBRW(Server&amp;Cube1,$F$17,$F$18,$F$19,$F$16,$C$14,$F$15,$F$14,$F$20,X$2,X$1,$C328)</f>
        <v/>
      </c>
      <c r="Y328" s="227" t="str">
        <f ca="1">_xll.DBRW(Server&amp;Cube1,$F$17,$F$18,$F$19,$F$16,$C$14,$F$15,$F$14,$F$20,Y$2,Y$1,$C328)</f>
        <v/>
      </c>
      <c r="Z328" s="241"/>
      <c r="AA328" s="241"/>
      <c r="AB328" s="241"/>
      <c r="AC328" s="241"/>
      <c r="AD328" s="241"/>
      <c r="AE328" s="241"/>
      <c r="AF328" s="221" t="str">
        <f ca="1">_xll.DBRW(Server&amp;Cube1,$F$17,$F$18,$F$19,$F$16,$C$14,$F$15,$F$14,$F$20,AF$2,$AF$1,$C328)</f>
        <v/>
      </c>
      <c r="AG328" s="53"/>
      <c r="AH328" s="53"/>
      <c r="AI328" s="53"/>
      <c r="AJ328" s="53"/>
      <c r="AK328" s="53"/>
      <c r="AL328" s="53"/>
      <c r="AM328" s="53"/>
      <c r="AN328" s="53"/>
      <c r="AO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:53" s="9" customFormat="1" ht="24" customHeight="1" x14ac:dyDescent="0.35">
      <c r="A329" s="181" t="e">
        <f ca="1">IF($AT$35="YES",1,IF(_xll.ELCOMPN(Server&amp;$C$24,C329)&lt;&gt;0,1,IF(OR(B329=$AZ$35,B329="ALL"),1,0)))</f>
        <v>#VALUE!</v>
      </c>
      <c r="B329" s="163" t="str">
        <f t="shared" si="15"/>
        <v>IT</v>
      </c>
      <c r="C329" s="158" t="s">
        <v>386</v>
      </c>
      <c r="E329" s="268" t="str">
        <f ca="1">_xll.DBRA(Server&amp;$C$24,$C329,$F$21)</f>
        <v>Cout véhicules de fonction (IT)</v>
      </c>
      <c r="F329" s="268"/>
      <c r="G329" s="268"/>
      <c r="H329" s="40"/>
      <c r="I329" s="221" t="str">
        <f ca="1">_xll.DBRW(Server&amp;Cube1,$F$17,$F$18,$F$19,$F$16,$C$14,$F$15,$F$14,$F$20,I$2,I$1,$C329)</f>
        <v/>
      </c>
      <c r="J329" s="221" t="str">
        <f ca="1">_xll.DBRW(Server&amp;Cube1,$F$17,$F$18,$F$19,$F$16,$C$14,$F$15,$F$14,$F$20,J$2,J$1,$C329)</f>
        <v/>
      </c>
      <c r="K329" s="221" t="e">
        <f ca="1">_xll.DBRW(Server&amp;Cube1,$F$17,$F$18,$F$19,$F$16,$C$14,$F$15,$F$14,$F$20,I$2,I$1,$C329) -_xll.DBRW(Server&amp;Cube1,$F$17,$F$18,$F$19,$F$16,$C$14,$F$15,$F$14,$F$20,K$2,I$1,$C329)</f>
        <v>#VALUE!</v>
      </c>
      <c r="L329" s="221" t="e">
        <f t="shared" ca="1" si="14"/>
        <v>#VALUE!</v>
      </c>
      <c r="M329" s="221" t="e">
        <f t="shared" ca="1" si="13"/>
        <v>#VALUE!</v>
      </c>
      <c r="N329" s="226"/>
      <c r="O329" s="221" t="str">
        <f ca="1">_xll.DBRW(Server&amp;Cube1,$F$17,$F$18,$F$19,$F$16,$C$14,$F$15,$F$14,$F$20,O$2,O$1,$C329)</f>
        <v/>
      </c>
      <c r="P329" s="226"/>
      <c r="Q329" s="240" t="str">
        <f ca="1">IF(_xll.ELCOMPN(Server&amp;$C$24,C329)=0,"YES","NO")</f>
        <v>YES</v>
      </c>
      <c r="R329" s="241">
        <v>0</v>
      </c>
      <c r="S329" s="226"/>
      <c r="T329" s="227" t="str">
        <f ca="1">_xll.DBRW(Server&amp;Cube1,$F$17,$F$18,$F$19,$F$16,$C$14,$F$15,$F$14,$F$20,T$2,$T$1,$C329)</f>
        <v/>
      </c>
      <c r="U329" s="227" t="str">
        <f ca="1">_xll.DBRW(Server&amp;Cube1,$F$17,$F$18,$F$19,$F$16,$C$14,$F$15,$F$14,$F$20,U$2,$U$1,$C329)</f>
        <v/>
      </c>
      <c r="V329" s="227" t="str">
        <f ca="1">_xll.DBRW(Server&amp;Cube1,$F$17,$F$18,$F$19,$F$16,$C$14,$F$15,$F$14,$F$20,V$2,V$1,$C329)</f>
        <v/>
      </c>
      <c r="W329" s="227" t="str">
        <f ca="1">_xll.DBRW(Server&amp;Cube1,$F$17,$F$18,$F$19,$F$16,$C$14,$F$15,$F$14,$F$20,W$2,W$1,$C329)</f>
        <v/>
      </c>
      <c r="X329" s="227" t="str">
        <f ca="1">_xll.DBRW(Server&amp;Cube1,$F$17,$F$18,$F$19,$F$16,$C$14,$F$15,$F$14,$F$20,X$2,X$1,$C329)</f>
        <v/>
      </c>
      <c r="Y329" s="227" t="str">
        <f ca="1">_xll.DBRW(Server&amp;Cube1,$F$17,$F$18,$F$19,$F$16,$C$14,$F$15,$F$14,$F$20,Y$2,Y$1,$C329)</f>
        <v/>
      </c>
      <c r="Z329" s="241"/>
      <c r="AA329" s="241"/>
      <c r="AB329" s="241"/>
      <c r="AC329" s="241"/>
      <c r="AD329" s="241"/>
      <c r="AE329" s="241"/>
      <c r="AF329" s="221" t="str">
        <f ca="1">_xll.DBRW(Server&amp;Cube1,$F$17,$F$18,$F$19,$F$16,$C$14,$F$15,$F$14,$F$20,AF$2,$AF$1,$C329)</f>
        <v/>
      </c>
      <c r="AG329" s="53"/>
      <c r="AH329" s="53"/>
      <c r="AI329" s="53"/>
      <c r="AJ329" s="53"/>
      <c r="AK329" s="53"/>
      <c r="AL329" s="53"/>
      <c r="AM329" s="53"/>
      <c r="AN329" s="53"/>
      <c r="AO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:53" s="9" customFormat="1" ht="24" customHeight="1" x14ac:dyDescent="0.35">
      <c r="A330" s="181" t="e">
        <f ca="1">IF($AT$35="YES",1,IF(_xll.ELCOMPN(Server&amp;$C$24,C330)&lt;&gt;0,1,IF(OR(B330=$AZ$35,B330="ALL"),1,0)))</f>
        <v>#VALUE!</v>
      </c>
      <c r="B330" s="163" t="str">
        <f t="shared" si="15"/>
        <v>HR</v>
      </c>
      <c r="C330" s="158" t="s">
        <v>387</v>
      </c>
      <c r="E330" s="268" t="str">
        <f ca="1">_xll.DBRA(Server&amp;$C$24,$C330,$F$21)</f>
        <v>Cout véhicules de fonction (RH)</v>
      </c>
      <c r="F330" s="268"/>
      <c r="G330" s="268"/>
      <c r="H330" s="40"/>
      <c r="I330" s="221" t="str">
        <f ca="1">_xll.DBRW(Server&amp;Cube1,$F$17,$F$18,$F$19,$F$16,$C$14,$F$15,$F$14,$F$20,I$2,I$1,$C330)</f>
        <v/>
      </c>
      <c r="J330" s="221" t="str">
        <f ca="1">_xll.DBRW(Server&amp;Cube1,$F$17,$F$18,$F$19,$F$16,$C$14,$F$15,$F$14,$F$20,J$2,J$1,$C330)</f>
        <v/>
      </c>
      <c r="K330" s="221" t="e">
        <f ca="1">_xll.DBRW(Server&amp;Cube1,$F$17,$F$18,$F$19,$F$16,$C$14,$F$15,$F$14,$F$20,I$2,I$1,$C330) -_xll.DBRW(Server&amp;Cube1,$F$17,$F$18,$F$19,$F$16,$C$14,$F$15,$F$14,$F$20,K$2,I$1,$C330)</f>
        <v>#VALUE!</v>
      </c>
      <c r="L330" s="221" t="e">
        <f t="shared" ca="1" si="14"/>
        <v>#VALUE!</v>
      </c>
      <c r="M330" s="221" t="e">
        <f t="shared" ca="1" si="13"/>
        <v>#VALUE!</v>
      </c>
      <c r="N330" s="226"/>
      <c r="O330" s="221" t="str">
        <f ca="1">_xll.DBRW(Server&amp;Cube1,$F$17,$F$18,$F$19,$F$16,$C$14,$F$15,$F$14,$F$20,O$2,O$1,$C330)</f>
        <v/>
      </c>
      <c r="P330" s="226"/>
      <c r="Q330" s="240" t="str">
        <f ca="1">IF(_xll.ELCOMPN(Server&amp;$C$24,C330)=0,"YES","NO")</f>
        <v>YES</v>
      </c>
      <c r="R330" s="241">
        <v>0</v>
      </c>
      <c r="S330" s="226"/>
      <c r="T330" s="227" t="str">
        <f ca="1">_xll.DBRW(Server&amp;Cube1,$F$17,$F$18,$F$19,$F$16,$C$14,$F$15,$F$14,$F$20,T$2,$T$1,$C330)</f>
        <v/>
      </c>
      <c r="U330" s="227" t="str">
        <f ca="1">_xll.DBRW(Server&amp;Cube1,$F$17,$F$18,$F$19,$F$16,$C$14,$F$15,$F$14,$F$20,U$2,$U$1,$C330)</f>
        <v/>
      </c>
      <c r="V330" s="227" t="str">
        <f ca="1">_xll.DBRW(Server&amp;Cube1,$F$17,$F$18,$F$19,$F$16,$C$14,$F$15,$F$14,$F$20,V$2,V$1,$C330)</f>
        <v/>
      </c>
      <c r="W330" s="227" t="str">
        <f ca="1">_xll.DBRW(Server&amp;Cube1,$F$17,$F$18,$F$19,$F$16,$C$14,$F$15,$F$14,$F$20,W$2,W$1,$C330)</f>
        <v/>
      </c>
      <c r="X330" s="227" t="str">
        <f ca="1">_xll.DBRW(Server&amp;Cube1,$F$17,$F$18,$F$19,$F$16,$C$14,$F$15,$F$14,$F$20,X$2,X$1,$C330)</f>
        <v/>
      </c>
      <c r="Y330" s="227" t="str">
        <f ca="1">_xll.DBRW(Server&amp;Cube1,$F$17,$F$18,$F$19,$F$16,$C$14,$F$15,$F$14,$F$20,Y$2,Y$1,$C330)</f>
        <v/>
      </c>
      <c r="Z330" s="241"/>
      <c r="AA330" s="241"/>
      <c r="AB330" s="241"/>
      <c r="AC330" s="241"/>
      <c r="AD330" s="241"/>
      <c r="AE330" s="241"/>
      <c r="AF330" s="221" t="str">
        <f ca="1">_xll.DBRW(Server&amp;Cube1,$F$17,$F$18,$F$19,$F$16,$C$14,$F$15,$F$14,$F$20,AF$2,$AF$1,$C330)</f>
        <v/>
      </c>
      <c r="AG330" s="53"/>
      <c r="AH330" s="53"/>
      <c r="AI330" s="53"/>
      <c r="AJ330" s="53"/>
      <c r="AK330" s="53"/>
      <c r="AL330" s="53"/>
      <c r="AM330" s="53"/>
      <c r="AN330" s="53"/>
      <c r="AO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:53" s="9" customFormat="1" ht="24" customHeight="1" x14ac:dyDescent="0.35">
      <c r="A331" s="181" t="e">
        <f ca="1">IF($AT$35="YES",1,IF(_xll.ELCOMPN(Server&amp;$C$24,C331)&lt;&gt;0,1,IF(OR(B331=$AZ$35,B331="ALL"),1,0)))</f>
        <v>#VALUE!</v>
      </c>
      <c r="B331" s="163" t="str">
        <f t="shared" si="15"/>
        <v>GM</v>
      </c>
      <c r="C331" s="158" t="s">
        <v>388</v>
      </c>
      <c r="E331" s="268" t="str">
        <f ca="1">_xll.DBRA(Server&amp;$C$24,$C331,$F$21)</f>
        <v>Cout véhicules de fonction (DG)</v>
      </c>
      <c r="F331" s="268"/>
      <c r="G331" s="268"/>
      <c r="H331" s="40"/>
      <c r="I331" s="221" t="str">
        <f ca="1">_xll.DBRW(Server&amp;Cube1,$F$17,$F$18,$F$19,$F$16,$C$14,$F$15,$F$14,$F$20,I$2,I$1,$C331)</f>
        <v/>
      </c>
      <c r="J331" s="221" t="str">
        <f ca="1">_xll.DBRW(Server&amp;Cube1,$F$17,$F$18,$F$19,$F$16,$C$14,$F$15,$F$14,$F$20,J$2,J$1,$C331)</f>
        <v/>
      </c>
      <c r="K331" s="221" t="e">
        <f ca="1">_xll.DBRW(Server&amp;Cube1,$F$17,$F$18,$F$19,$F$16,$C$14,$F$15,$F$14,$F$20,I$2,I$1,$C331) -_xll.DBRW(Server&amp;Cube1,$F$17,$F$18,$F$19,$F$16,$C$14,$F$15,$F$14,$F$20,K$2,I$1,$C331)</f>
        <v>#VALUE!</v>
      </c>
      <c r="L331" s="221" t="e">
        <f t="shared" ca="1" si="14"/>
        <v>#VALUE!</v>
      </c>
      <c r="M331" s="221" t="e">
        <f t="shared" ca="1" si="13"/>
        <v>#VALUE!</v>
      </c>
      <c r="N331" s="226"/>
      <c r="O331" s="221" t="str">
        <f ca="1">_xll.DBRW(Server&amp;Cube1,$F$17,$F$18,$F$19,$F$16,$C$14,$F$15,$F$14,$F$20,O$2,O$1,$C331)</f>
        <v/>
      </c>
      <c r="P331" s="226"/>
      <c r="Q331" s="240" t="str">
        <f ca="1">IF(_xll.ELCOMPN(Server&amp;$C$24,C331)=0,"YES","NO")</f>
        <v>YES</v>
      </c>
      <c r="R331" s="241">
        <v>0</v>
      </c>
      <c r="S331" s="226"/>
      <c r="T331" s="227" t="str">
        <f ca="1">_xll.DBRW(Server&amp;Cube1,$F$17,$F$18,$F$19,$F$16,$C$14,$F$15,$F$14,$F$20,T$2,$T$1,$C331)</f>
        <v/>
      </c>
      <c r="U331" s="227" t="str">
        <f ca="1">_xll.DBRW(Server&amp;Cube1,$F$17,$F$18,$F$19,$F$16,$C$14,$F$15,$F$14,$F$20,U$2,$U$1,$C331)</f>
        <v/>
      </c>
      <c r="V331" s="227" t="str">
        <f ca="1">_xll.DBRW(Server&amp;Cube1,$F$17,$F$18,$F$19,$F$16,$C$14,$F$15,$F$14,$F$20,V$2,V$1,$C331)</f>
        <v/>
      </c>
      <c r="W331" s="227" t="str">
        <f ca="1">_xll.DBRW(Server&amp;Cube1,$F$17,$F$18,$F$19,$F$16,$C$14,$F$15,$F$14,$F$20,W$2,W$1,$C331)</f>
        <v/>
      </c>
      <c r="X331" s="227" t="str">
        <f ca="1">_xll.DBRW(Server&amp;Cube1,$F$17,$F$18,$F$19,$F$16,$C$14,$F$15,$F$14,$F$20,X$2,X$1,$C331)</f>
        <v/>
      </c>
      <c r="Y331" s="227" t="str">
        <f ca="1">_xll.DBRW(Server&amp;Cube1,$F$17,$F$18,$F$19,$F$16,$C$14,$F$15,$F$14,$F$20,Y$2,Y$1,$C331)</f>
        <v/>
      </c>
      <c r="Z331" s="241"/>
      <c r="AA331" s="241"/>
      <c r="AB331" s="241"/>
      <c r="AC331" s="241"/>
      <c r="AD331" s="241"/>
      <c r="AE331" s="241"/>
      <c r="AF331" s="221" t="str">
        <f ca="1">_xll.DBRW(Server&amp;Cube1,$F$17,$F$18,$F$19,$F$16,$C$14,$F$15,$F$14,$F$20,AF$2,$AF$1,$C331)</f>
        <v/>
      </c>
      <c r="AG331" s="53"/>
      <c r="AH331" s="53"/>
      <c r="AI331" s="53"/>
      <c r="AJ331" s="53"/>
      <c r="AK331" s="53"/>
      <c r="AL331" s="53"/>
      <c r="AM331" s="53"/>
      <c r="AN331" s="53"/>
      <c r="AO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:53" s="9" customFormat="1" ht="24" customHeight="1" x14ac:dyDescent="0.35">
      <c r="A332" s="181" t="e">
        <f ca="1">IF($AT$35="YES",1,IF(_xll.ELCOMPN(Server&amp;$C$24,C332)&lt;&gt;0,1,IF(OR(B332=$AZ$35,B332="ALL"),1,0)))</f>
        <v>#VALUE!</v>
      </c>
      <c r="B332" s="163" t="str">
        <f t="shared" si="15"/>
        <v>IA</v>
      </c>
      <c r="C332" s="158" t="s">
        <v>389</v>
      </c>
      <c r="E332" s="268" t="str">
        <f ca="1">_xll.DBRA(Server&amp;$C$24,$C332,$F$21)</f>
        <v>Cout véhicules de fonction (AI)</v>
      </c>
      <c r="F332" s="268"/>
      <c r="G332" s="268"/>
      <c r="H332" s="40"/>
      <c r="I332" s="221" t="str">
        <f ca="1">_xll.DBRW(Server&amp;Cube1,$F$17,$F$18,$F$19,$F$16,$C$14,$F$15,$F$14,$F$20,I$2,I$1,$C332)</f>
        <v/>
      </c>
      <c r="J332" s="221" t="str">
        <f ca="1">_xll.DBRW(Server&amp;Cube1,$F$17,$F$18,$F$19,$F$16,$C$14,$F$15,$F$14,$F$20,J$2,J$1,$C332)</f>
        <v/>
      </c>
      <c r="K332" s="221" t="e">
        <f ca="1">_xll.DBRW(Server&amp;Cube1,$F$17,$F$18,$F$19,$F$16,$C$14,$F$15,$F$14,$F$20,I$2,I$1,$C332) -_xll.DBRW(Server&amp;Cube1,$F$17,$F$18,$F$19,$F$16,$C$14,$F$15,$F$14,$F$20,K$2,I$1,$C332)</f>
        <v>#VALUE!</v>
      </c>
      <c r="L332" s="221" t="e">
        <f t="shared" ca="1" si="14"/>
        <v>#VALUE!</v>
      </c>
      <c r="M332" s="221" t="e">
        <f t="shared" ca="1" si="13"/>
        <v>#VALUE!</v>
      </c>
      <c r="N332" s="226"/>
      <c r="O332" s="221" t="str">
        <f ca="1">_xll.DBRW(Server&amp;Cube1,$F$17,$F$18,$F$19,$F$16,$C$14,$F$15,$F$14,$F$20,O$2,O$1,$C332)</f>
        <v/>
      </c>
      <c r="P332" s="226"/>
      <c r="Q332" s="240" t="str">
        <f ca="1">IF(_xll.ELCOMPN(Server&amp;$C$24,C332)=0,"YES","NO")</f>
        <v>YES</v>
      </c>
      <c r="R332" s="241">
        <v>0</v>
      </c>
      <c r="S332" s="226"/>
      <c r="T332" s="227" t="str">
        <f ca="1">_xll.DBRW(Server&amp;Cube1,$F$17,$F$18,$F$19,$F$16,$C$14,$F$15,$F$14,$F$20,T$2,$T$1,$C332)</f>
        <v/>
      </c>
      <c r="U332" s="227" t="str">
        <f ca="1">_xll.DBRW(Server&amp;Cube1,$F$17,$F$18,$F$19,$F$16,$C$14,$F$15,$F$14,$F$20,U$2,$U$1,$C332)</f>
        <v/>
      </c>
      <c r="V332" s="227" t="str">
        <f ca="1">_xll.DBRW(Server&amp;Cube1,$F$17,$F$18,$F$19,$F$16,$C$14,$F$15,$F$14,$F$20,V$2,V$1,$C332)</f>
        <v/>
      </c>
      <c r="W332" s="227" t="str">
        <f ca="1">_xll.DBRW(Server&amp;Cube1,$F$17,$F$18,$F$19,$F$16,$C$14,$F$15,$F$14,$F$20,W$2,W$1,$C332)</f>
        <v/>
      </c>
      <c r="X332" s="227" t="str">
        <f ca="1">_xll.DBRW(Server&amp;Cube1,$F$17,$F$18,$F$19,$F$16,$C$14,$F$15,$F$14,$F$20,X$2,X$1,$C332)</f>
        <v/>
      </c>
      <c r="Y332" s="227" t="str">
        <f ca="1">_xll.DBRW(Server&amp;Cube1,$F$17,$F$18,$F$19,$F$16,$C$14,$F$15,$F$14,$F$20,Y$2,Y$1,$C332)</f>
        <v/>
      </c>
      <c r="Z332" s="241"/>
      <c r="AA332" s="241"/>
      <c r="AB332" s="241"/>
      <c r="AC332" s="241"/>
      <c r="AD332" s="241"/>
      <c r="AE332" s="241"/>
      <c r="AF332" s="221" t="str">
        <f ca="1">_xll.DBRW(Server&amp;Cube1,$F$17,$F$18,$F$19,$F$16,$C$14,$F$15,$F$14,$F$20,AF$2,$AF$1,$C332)</f>
        <v/>
      </c>
      <c r="AG332" s="53"/>
      <c r="AH332" s="53"/>
      <c r="AI332" s="53"/>
      <c r="AJ332" s="53"/>
      <c r="AK332" s="53"/>
      <c r="AL332" s="53"/>
      <c r="AM332" s="53"/>
      <c r="AN332" s="53"/>
      <c r="AO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:53" s="9" customFormat="1" ht="24" customHeight="1" x14ac:dyDescent="0.35">
      <c r="A333" s="181" t="e">
        <f ca="1">IF($AT$35="YES",1,IF(_xll.ELCOMPN(Server&amp;$C$24,C333)&lt;&gt;0,1,IF(OR(B333=$AZ$35,B333="ALL"),1,0)))</f>
        <v>#VALUE!</v>
      </c>
      <c r="B333" s="163" t="str">
        <f t="shared" si="15"/>
        <v>LE</v>
      </c>
      <c r="C333" s="158" t="s">
        <v>390</v>
      </c>
      <c r="E333" s="268" t="str">
        <f ca="1">_xll.DBRA(Server&amp;$C$24,$C333,$F$21)</f>
        <v>Cout véhicules de fonction (JU)</v>
      </c>
      <c r="F333" s="268"/>
      <c r="G333" s="268"/>
      <c r="H333" s="40"/>
      <c r="I333" s="221" t="str">
        <f ca="1">_xll.DBRW(Server&amp;Cube1,$F$17,$F$18,$F$19,$F$16,$C$14,$F$15,$F$14,$F$20,I$2,I$1,$C333)</f>
        <v/>
      </c>
      <c r="J333" s="221" t="str">
        <f ca="1">_xll.DBRW(Server&amp;Cube1,$F$17,$F$18,$F$19,$F$16,$C$14,$F$15,$F$14,$F$20,J$2,J$1,$C333)</f>
        <v/>
      </c>
      <c r="K333" s="221" t="e">
        <f ca="1">_xll.DBRW(Server&amp;Cube1,$F$17,$F$18,$F$19,$F$16,$C$14,$F$15,$F$14,$F$20,I$2,I$1,$C333) -_xll.DBRW(Server&amp;Cube1,$F$17,$F$18,$F$19,$F$16,$C$14,$F$15,$F$14,$F$20,K$2,I$1,$C333)</f>
        <v>#VALUE!</v>
      </c>
      <c r="L333" s="221" t="e">
        <f t="shared" ca="1" si="14"/>
        <v>#VALUE!</v>
      </c>
      <c r="M333" s="221" t="e">
        <f t="shared" ca="1" si="13"/>
        <v>#VALUE!</v>
      </c>
      <c r="N333" s="226"/>
      <c r="O333" s="221" t="str">
        <f ca="1">_xll.DBRW(Server&amp;Cube1,$F$17,$F$18,$F$19,$F$16,$C$14,$F$15,$F$14,$F$20,O$2,O$1,$C333)</f>
        <v/>
      </c>
      <c r="P333" s="226"/>
      <c r="Q333" s="240" t="str">
        <f ca="1">IF(_xll.ELCOMPN(Server&amp;$C$24,C333)=0,"YES","NO")</f>
        <v>YES</v>
      </c>
      <c r="R333" s="241">
        <v>0</v>
      </c>
      <c r="S333" s="226"/>
      <c r="T333" s="227" t="str">
        <f ca="1">_xll.DBRW(Server&amp;Cube1,$F$17,$F$18,$F$19,$F$16,$C$14,$F$15,$F$14,$F$20,T$2,$T$1,$C333)</f>
        <v/>
      </c>
      <c r="U333" s="227" t="str">
        <f ca="1">_xll.DBRW(Server&amp;Cube1,$F$17,$F$18,$F$19,$F$16,$C$14,$F$15,$F$14,$F$20,U$2,$U$1,$C333)</f>
        <v/>
      </c>
      <c r="V333" s="227" t="str">
        <f ca="1">_xll.DBRW(Server&amp;Cube1,$F$17,$F$18,$F$19,$F$16,$C$14,$F$15,$F$14,$F$20,V$2,V$1,$C333)</f>
        <v/>
      </c>
      <c r="W333" s="227" t="str">
        <f ca="1">_xll.DBRW(Server&amp;Cube1,$F$17,$F$18,$F$19,$F$16,$C$14,$F$15,$F$14,$F$20,W$2,W$1,$C333)</f>
        <v/>
      </c>
      <c r="X333" s="227" t="str">
        <f ca="1">_xll.DBRW(Server&amp;Cube1,$F$17,$F$18,$F$19,$F$16,$C$14,$F$15,$F$14,$F$20,X$2,X$1,$C333)</f>
        <v/>
      </c>
      <c r="Y333" s="227" t="str">
        <f ca="1">_xll.DBRW(Server&amp;Cube1,$F$17,$F$18,$F$19,$F$16,$C$14,$F$15,$F$14,$F$20,Y$2,Y$1,$C333)</f>
        <v/>
      </c>
      <c r="Z333" s="241"/>
      <c r="AA333" s="241"/>
      <c r="AB333" s="241"/>
      <c r="AC333" s="241"/>
      <c r="AD333" s="241"/>
      <c r="AE333" s="241"/>
      <c r="AF333" s="221" t="str">
        <f ca="1">_xll.DBRW(Server&amp;Cube1,$F$17,$F$18,$F$19,$F$16,$C$14,$F$15,$F$14,$F$20,AF$2,$AF$1,$C333)</f>
        <v/>
      </c>
      <c r="AG333" s="53"/>
      <c r="AH333" s="53"/>
      <c r="AI333" s="53"/>
      <c r="AJ333" s="53"/>
      <c r="AK333" s="53"/>
      <c r="AL333" s="53"/>
      <c r="AM333" s="53"/>
      <c r="AN333" s="53"/>
      <c r="AO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:53" s="9" customFormat="1" ht="24" customHeight="1" x14ac:dyDescent="0.35">
      <c r="A334" s="181" t="e">
        <f ca="1">IF($AT$35="YES",1,IF(_xll.ELCOMPN(Server&amp;$C$24,C334)&lt;&gt;0,1,IF(OR(B334=$AZ$35,B334="ALL"),1,0)))</f>
        <v>#VALUE!</v>
      </c>
      <c r="B334" s="163" t="str">
        <f t="shared" si="15"/>
        <v>RM</v>
      </c>
      <c r="C334" s="158" t="s">
        <v>391</v>
      </c>
      <c r="E334" s="268" t="str">
        <f ca="1">_xll.DBRA(Server&amp;$C$24,$C334,$F$21)</f>
        <v>Cout véhicules de fonction (GR)</v>
      </c>
      <c r="F334" s="268"/>
      <c r="G334" s="268"/>
      <c r="H334" s="40"/>
      <c r="I334" s="221" t="str">
        <f ca="1">_xll.DBRW(Server&amp;Cube1,$F$17,$F$18,$F$19,$F$16,$C$14,$F$15,$F$14,$F$20,I$2,I$1,$C334)</f>
        <v/>
      </c>
      <c r="J334" s="221" t="str">
        <f ca="1">_xll.DBRW(Server&amp;Cube1,$F$17,$F$18,$F$19,$F$16,$C$14,$F$15,$F$14,$F$20,J$2,J$1,$C334)</f>
        <v/>
      </c>
      <c r="K334" s="221" t="e">
        <f ca="1">_xll.DBRW(Server&amp;Cube1,$F$17,$F$18,$F$19,$F$16,$C$14,$F$15,$F$14,$F$20,I$2,I$1,$C334) -_xll.DBRW(Server&amp;Cube1,$F$17,$F$18,$F$19,$F$16,$C$14,$F$15,$F$14,$F$20,K$2,I$1,$C334)</f>
        <v>#VALUE!</v>
      </c>
      <c r="L334" s="221" t="e">
        <f t="shared" ca="1" si="14"/>
        <v>#VALUE!</v>
      </c>
      <c r="M334" s="221" t="e">
        <f t="shared" ca="1" si="13"/>
        <v>#VALUE!</v>
      </c>
      <c r="N334" s="226"/>
      <c r="O334" s="221" t="str">
        <f ca="1">_xll.DBRW(Server&amp;Cube1,$F$17,$F$18,$F$19,$F$16,$C$14,$F$15,$F$14,$F$20,O$2,O$1,$C334)</f>
        <v/>
      </c>
      <c r="P334" s="226"/>
      <c r="Q334" s="240" t="str">
        <f ca="1">IF(_xll.ELCOMPN(Server&amp;$C$24,C334)=0,"YES","NO")</f>
        <v>YES</v>
      </c>
      <c r="R334" s="241">
        <v>0</v>
      </c>
      <c r="S334" s="226"/>
      <c r="T334" s="227" t="str">
        <f ca="1">_xll.DBRW(Server&amp;Cube1,$F$17,$F$18,$F$19,$F$16,$C$14,$F$15,$F$14,$F$20,T$2,$T$1,$C334)</f>
        <v/>
      </c>
      <c r="U334" s="227" t="str">
        <f ca="1">_xll.DBRW(Server&amp;Cube1,$F$17,$F$18,$F$19,$F$16,$C$14,$F$15,$F$14,$F$20,U$2,$U$1,$C334)</f>
        <v/>
      </c>
      <c r="V334" s="227" t="str">
        <f ca="1">_xll.DBRW(Server&amp;Cube1,$F$17,$F$18,$F$19,$F$16,$C$14,$F$15,$F$14,$F$20,V$2,V$1,$C334)</f>
        <v/>
      </c>
      <c r="W334" s="227" t="str">
        <f ca="1">_xll.DBRW(Server&amp;Cube1,$F$17,$F$18,$F$19,$F$16,$C$14,$F$15,$F$14,$F$20,W$2,W$1,$C334)</f>
        <v/>
      </c>
      <c r="X334" s="227" t="str">
        <f ca="1">_xll.DBRW(Server&amp;Cube1,$F$17,$F$18,$F$19,$F$16,$C$14,$F$15,$F$14,$F$20,X$2,X$1,$C334)</f>
        <v/>
      </c>
      <c r="Y334" s="227" t="str">
        <f ca="1">_xll.DBRW(Server&amp;Cube1,$F$17,$F$18,$F$19,$F$16,$C$14,$F$15,$F$14,$F$20,Y$2,Y$1,$C334)</f>
        <v/>
      </c>
      <c r="Z334" s="241"/>
      <c r="AA334" s="241"/>
      <c r="AB334" s="241"/>
      <c r="AC334" s="241"/>
      <c r="AD334" s="241"/>
      <c r="AE334" s="241"/>
      <c r="AF334" s="221" t="str">
        <f ca="1">_xll.DBRW(Server&amp;Cube1,$F$17,$F$18,$F$19,$F$16,$C$14,$F$15,$F$14,$F$20,AF$2,$AF$1,$C334)</f>
        <v/>
      </c>
      <c r="AG334" s="53"/>
      <c r="AH334" s="53"/>
      <c r="AI334" s="53"/>
      <c r="AJ334" s="53"/>
      <c r="AK334" s="53"/>
      <c r="AL334" s="53"/>
      <c r="AM334" s="53"/>
      <c r="AN334" s="53"/>
      <c r="AO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:53" s="9" customFormat="1" ht="24" customHeight="1" x14ac:dyDescent="0.35">
      <c r="A335" s="181" t="e">
        <f ca="1">IF($AT$35="YES",1,IF(_xll.ELCOMPN(Server&amp;$C$24,C335)&lt;&gt;0,1,IF(OR(B335=$AZ$35,B335="ALL"),1,0)))</f>
        <v>#VALUE!</v>
      </c>
      <c r="B335" s="163" t="str">
        <f t="shared" si="15"/>
        <v>PU</v>
      </c>
      <c r="C335" s="158" t="s">
        <v>392</v>
      </c>
      <c r="E335" s="268" t="str">
        <f ca="1">_xll.DBRA(Server&amp;$C$24,$C335,$F$21)</f>
        <v>Cout véhicules de fonction (AC)</v>
      </c>
      <c r="F335" s="268"/>
      <c r="G335" s="268"/>
      <c r="H335" s="40"/>
      <c r="I335" s="221" t="str">
        <f ca="1">_xll.DBRW(Server&amp;Cube1,$F$17,$F$18,$F$19,$F$16,$C$14,$F$15,$F$14,$F$20,I$2,I$1,$C335)</f>
        <v/>
      </c>
      <c r="J335" s="221" t="str">
        <f ca="1">_xll.DBRW(Server&amp;Cube1,$F$17,$F$18,$F$19,$F$16,$C$14,$F$15,$F$14,$F$20,J$2,J$1,$C335)</f>
        <v/>
      </c>
      <c r="K335" s="221" t="e">
        <f ca="1">_xll.DBRW(Server&amp;Cube1,$F$17,$F$18,$F$19,$F$16,$C$14,$F$15,$F$14,$F$20,I$2,I$1,$C335) -_xll.DBRW(Server&amp;Cube1,$F$17,$F$18,$F$19,$F$16,$C$14,$F$15,$F$14,$F$20,K$2,I$1,$C335)</f>
        <v>#VALUE!</v>
      </c>
      <c r="L335" s="221" t="e">
        <f t="shared" ca="1" si="14"/>
        <v>#VALUE!</v>
      </c>
      <c r="M335" s="221" t="e">
        <f t="shared" ca="1" si="13"/>
        <v>#VALUE!</v>
      </c>
      <c r="N335" s="226"/>
      <c r="O335" s="221" t="str">
        <f ca="1">_xll.DBRW(Server&amp;Cube1,$F$17,$F$18,$F$19,$F$16,$C$14,$F$15,$F$14,$F$20,O$2,O$1,$C335)</f>
        <v/>
      </c>
      <c r="P335" s="226"/>
      <c r="Q335" s="240" t="str">
        <f ca="1">IF(_xll.ELCOMPN(Server&amp;$C$24,C335)=0,"YES","NO")</f>
        <v>YES</v>
      </c>
      <c r="R335" s="241">
        <v>0</v>
      </c>
      <c r="S335" s="226"/>
      <c r="T335" s="227" t="str">
        <f ca="1">_xll.DBRW(Server&amp;Cube1,$F$17,$F$18,$F$19,$F$16,$C$14,$F$15,$F$14,$F$20,T$2,$T$1,$C335)</f>
        <v/>
      </c>
      <c r="U335" s="227" t="str">
        <f ca="1">_xll.DBRW(Server&amp;Cube1,$F$17,$F$18,$F$19,$F$16,$C$14,$F$15,$F$14,$F$20,U$2,$U$1,$C335)</f>
        <v/>
      </c>
      <c r="V335" s="227" t="str">
        <f ca="1">_xll.DBRW(Server&amp;Cube1,$F$17,$F$18,$F$19,$F$16,$C$14,$F$15,$F$14,$F$20,V$2,V$1,$C335)</f>
        <v/>
      </c>
      <c r="W335" s="227" t="str">
        <f ca="1">_xll.DBRW(Server&amp;Cube1,$F$17,$F$18,$F$19,$F$16,$C$14,$F$15,$F$14,$F$20,W$2,W$1,$C335)</f>
        <v/>
      </c>
      <c r="X335" s="227" t="str">
        <f ca="1">_xll.DBRW(Server&amp;Cube1,$F$17,$F$18,$F$19,$F$16,$C$14,$F$15,$F$14,$F$20,X$2,X$1,$C335)</f>
        <v/>
      </c>
      <c r="Y335" s="227" t="str">
        <f ca="1">_xll.DBRW(Server&amp;Cube1,$F$17,$F$18,$F$19,$F$16,$C$14,$F$15,$F$14,$F$20,Y$2,Y$1,$C335)</f>
        <v/>
      </c>
      <c r="Z335" s="241"/>
      <c r="AA335" s="241"/>
      <c r="AB335" s="241"/>
      <c r="AC335" s="241"/>
      <c r="AD335" s="241"/>
      <c r="AE335" s="241"/>
      <c r="AF335" s="221" t="str">
        <f ca="1">_xll.DBRW(Server&amp;Cube1,$F$17,$F$18,$F$19,$F$16,$C$14,$F$15,$F$14,$F$20,AF$2,$AF$1,$C335)</f>
        <v/>
      </c>
      <c r="AG335" s="53"/>
      <c r="AH335" s="53"/>
      <c r="AI335" s="53"/>
      <c r="AJ335" s="53"/>
      <c r="AK335" s="53"/>
      <c r="AL335" s="53"/>
      <c r="AM335" s="53"/>
      <c r="AN335" s="53"/>
      <c r="AO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:53" s="9" customFormat="1" ht="24" customHeight="1" x14ac:dyDescent="0.35">
      <c r="A336" s="181" t="e">
        <f ca="1">IF($AT$35="YES",1,IF(_xll.ELCOMPN(Server&amp;$C$24,C336)&lt;&gt;0,1,IF(OR(B336=$AZ$35,B336="ALL"),1,0)))</f>
        <v>#VALUE!</v>
      </c>
      <c r="B336" s="163" t="str">
        <f t="shared" si="15"/>
        <v>CO</v>
      </c>
      <c r="C336" s="158" t="s">
        <v>393</v>
      </c>
      <c r="E336" s="268" t="str">
        <f ca="1">_xll.DBRA(Server&amp;$C$24,$C336,$F$21)</f>
        <v>Cout véhicules de fonction (CO)</v>
      </c>
      <c r="F336" s="268"/>
      <c r="G336" s="268"/>
      <c r="H336" s="40"/>
      <c r="I336" s="221" t="str">
        <f ca="1">_xll.DBRW(Server&amp;Cube1,$F$17,$F$18,$F$19,$F$16,$C$14,$F$15,$F$14,$F$20,I$2,I$1,$C336)</f>
        <v/>
      </c>
      <c r="J336" s="221" t="str">
        <f ca="1">_xll.DBRW(Server&amp;Cube1,$F$17,$F$18,$F$19,$F$16,$C$14,$F$15,$F$14,$F$20,J$2,J$1,$C336)</f>
        <v/>
      </c>
      <c r="K336" s="221" t="e">
        <f ca="1">_xll.DBRW(Server&amp;Cube1,$F$17,$F$18,$F$19,$F$16,$C$14,$F$15,$F$14,$F$20,I$2,I$1,$C336) -_xll.DBRW(Server&amp;Cube1,$F$17,$F$18,$F$19,$F$16,$C$14,$F$15,$F$14,$F$20,K$2,I$1,$C336)</f>
        <v>#VALUE!</v>
      </c>
      <c r="L336" s="221" t="e">
        <f t="shared" ca="1" si="14"/>
        <v>#VALUE!</v>
      </c>
      <c r="M336" s="221" t="e">
        <f t="shared" ca="1" si="13"/>
        <v>#VALUE!</v>
      </c>
      <c r="N336" s="226"/>
      <c r="O336" s="221" t="str">
        <f ca="1">_xll.DBRW(Server&amp;Cube1,$F$17,$F$18,$F$19,$F$16,$C$14,$F$15,$F$14,$F$20,O$2,O$1,$C336)</f>
        <v/>
      </c>
      <c r="P336" s="226"/>
      <c r="Q336" s="240" t="str">
        <f ca="1">IF(_xll.ELCOMPN(Server&amp;$C$24,C336)=0,"YES","NO")</f>
        <v>YES</v>
      </c>
      <c r="R336" s="241">
        <v>0</v>
      </c>
      <c r="S336" s="226"/>
      <c r="T336" s="227" t="str">
        <f ca="1">_xll.DBRW(Server&amp;Cube1,$F$17,$F$18,$F$19,$F$16,$C$14,$F$15,$F$14,$F$20,T$2,$T$1,$C336)</f>
        <v/>
      </c>
      <c r="U336" s="227" t="str">
        <f ca="1">_xll.DBRW(Server&amp;Cube1,$F$17,$F$18,$F$19,$F$16,$C$14,$F$15,$F$14,$F$20,U$2,$U$1,$C336)</f>
        <v/>
      </c>
      <c r="V336" s="227" t="str">
        <f ca="1">_xll.DBRW(Server&amp;Cube1,$F$17,$F$18,$F$19,$F$16,$C$14,$F$15,$F$14,$F$20,V$2,V$1,$C336)</f>
        <v/>
      </c>
      <c r="W336" s="227" t="str">
        <f ca="1">_xll.DBRW(Server&amp;Cube1,$F$17,$F$18,$F$19,$F$16,$C$14,$F$15,$F$14,$F$20,W$2,W$1,$C336)</f>
        <v/>
      </c>
      <c r="X336" s="227" t="str">
        <f ca="1">_xll.DBRW(Server&amp;Cube1,$F$17,$F$18,$F$19,$F$16,$C$14,$F$15,$F$14,$F$20,X$2,X$1,$C336)</f>
        <v/>
      </c>
      <c r="Y336" s="227" t="str">
        <f ca="1">_xll.DBRW(Server&amp;Cube1,$F$17,$F$18,$F$19,$F$16,$C$14,$F$15,$F$14,$F$20,Y$2,Y$1,$C336)</f>
        <v/>
      </c>
      <c r="Z336" s="241"/>
      <c r="AA336" s="241"/>
      <c r="AB336" s="241"/>
      <c r="AC336" s="241"/>
      <c r="AD336" s="241"/>
      <c r="AE336" s="241"/>
      <c r="AF336" s="221" t="str">
        <f ca="1">_xll.DBRW(Server&amp;Cube1,$F$17,$F$18,$F$19,$F$16,$C$14,$F$15,$F$14,$F$20,AF$2,$AF$1,$C336)</f>
        <v/>
      </c>
      <c r="AG336" s="53"/>
      <c r="AH336" s="53"/>
      <c r="AI336" s="53"/>
      <c r="AJ336" s="53"/>
      <c r="AK336" s="53"/>
      <c r="AL336" s="53"/>
      <c r="AM336" s="53"/>
      <c r="AN336" s="53"/>
      <c r="AO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:53" s="9" customFormat="1" ht="24" customHeight="1" x14ac:dyDescent="0.35">
      <c r="A337" s="181" t="e">
        <f ca="1">IF($AT$35="YES",1,IF(_xll.ELCOMPN(Server&amp;$C$24,C337)&lt;&gt;0,1,IF(OR(B337=$AZ$35,B337="ALL"),1,0)))</f>
        <v>#VALUE!</v>
      </c>
      <c r="B337" s="163" t="str">
        <f t="shared" si="15"/>
        <v>GS</v>
      </c>
      <c r="C337" s="158" t="s">
        <v>394</v>
      </c>
      <c r="E337" s="268" t="str">
        <f ca="1">_xll.DBRA(Server&amp;$C$24,$C337,$F$21)</f>
        <v>Coût véhicules de fonction (SG)</v>
      </c>
      <c r="F337" s="268"/>
      <c r="G337" s="268"/>
      <c r="H337" s="40"/>
      <c r="I337" s="221" t="str">
        <f ca="1">_xll.DBRW(Server&amp;Cube1,$F$17,$F$18,$F$19,$F$16,$C$14,$F$15,$F$14,$F$20,I$2,I$1,$C337)</f>
        <v/>
      </c>
      <c r="J337" s="221" t="str">
        <f ca="1">_xll.DBRW(Server&amp;Cube1,$F$17,$F$18,$F$19,$F$16,$C$14,$F$15,$F$14,$F$20,J$2,J$1,$C337)</f>
        <v/>
      </c>
      <c r="K337" s="221" t="e">
        <f ca="1">_xll.DBRW(Server&amp;Cube1,$F$17,$F$18,$F$19,$F$16,$C$14,$F$15,$F$14,$F$20,I$2,I$1,$C337) -_xll.DBRW(Server&amp;Cube1,$F$17,$F$18,$F$19,$F$16,$C$14,$F$15,$F$14,$F$20,K$2,I$1,$C337)</f>
        <v>#VALUE!</v>
      </c>
      <c r="L337" s="221" t="e">
        <f t="shared" ca="1" si="14"/>
        <v>#VALUE!</v>
      </c>
      <c r="M337" s="221" t="e">
        <f t="shared" ca="1" si="13"/>
        <v>#VALUE!</v>
      </c>
      <c r="N337" s="226"/>
      <c r="O337" s="221" t="str">
        <f ca="1">_xll.DBRW(Server&amp;Cube1,$F$17,$F$18,$F$19,$F$16,$C$14,$F$15,$F$14,$F$20,O$2,O$1,$C337)</f>
        <v/>
      </c>
      <c r="P337" s="226"/>
      <c r="Q337" s="240" t="str">
        <f ca="1">IF(_xll.ELCOMPN(Server&amp;$C$24,C337)=0,"YES","NO")</f>
        <v>YES</v>
      </c>
      <c r="R337" s="241">
        <v>0</v>
      </c>
      <c r="S337" s="226"/>
      <c r="T337" s="227" t="str">
        <f ca="1">_xll.DBRW(Server&amp;Cube1,$F$17,$F$18,$F$19,$F$16,$C$14,$F$15,$F$14,$F$20,T$2,$T$1,$C337)</f>
        <v/>
      </c>
      <c r="U337" s="227" t="str">
        <f ca="1">_xll.DBRW(Server&amp;Cube1,$F$17,$F$18,$F$19,$F$16,$C$14,$F$15,$F$14,$F$20,U$2,$U$1,$C337)</f>
        <v/>
      </c>
      <c r="V337" s="227" t="str">
        <f ca="1">_xll.DBRW(Server&amp;Cube1,$F$17,$F$18,$F$19,$F$16,$C$14,$F$15,$F$14,$F$20,V$2,V$1,$C337)</f>
        <v/>
      </c>
      <c r="W337" s="227" t="str">
        <f ca="1">_xll.DBRW(Server&amp;Cube1,$F$17,$F$18,$F$19,$F$16,$C$14,$F$15,$F$14,$F$20,W$2,W$1,$C337)</f>
        <v/>
      </c>
      <c r="X337" s="227" t="str">
        <f ca="1">_xll.DBRW(Server&amp;Cube1,$F$17,$F$18,$F$19,$F$16,$C$14,$F$15,$F$14,$F$20,X$2,X$1,$C337)</f>
        <v/>
      </c>
      <c r="Y337" s="227" t="str">
        <f ca="1">_xll.DBRW(Server&amp;Cube1,$F$17,$F$18,$F$19,$F$16,$C$14,$F$15,$F$14,$F$20,Y$2,Y$1,$C337)</f>
        <v/>
      </c>
      <c r="Z337" s="241"/>
      <c r="AA337" s="241"/>
      <c r="AB337" s="241"/>
      <c r="AC337" s="241"/>
      <c r="AD337" s="241"/>
      <c r="AE337" s="241"/>
      <c r="AF337" s="221" t="str">
        <f ca="1">_xll.DBRW(Server&amp;Cube1,$F$17,$F$18,$F$19,$F$16,$C$14,$F$15,$F$14,$F$20,AF$2,$AF$1,$C337)</f>
        <v/>
      </c>
      <c r="AG337" s="53"/>
      <c r="AH337" s="53"/>
      <c r="AI337" s="53"/>
      <c r="AJ337" s="53"/>
      <c r="AK337" s="53"/>
      <c r="AL337" s="53"/>
      <c r="AM337" s="53"/>
      <c r="AN337" s="53"/>
      <c r="AO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:53" s="9" customFormat="1" ht="24" customHeight="1" x14ac:dyDescent="0.35">
      <c r="A338" s="181" t="e">
        <f ca="1">IF($AT$35="YES",1,IF(_xll.ELCOMPN(Server&amp;$C$24,C338)&lt;&gt;0,1,IF(OR(B338=$AZ$35,B338="ALL"),1,0)))</f>
        <v>#VALUE!</v>
      </c>
      <c r="B338" s="163" t="str">
        <f t="shared" si="15"/>
        <v>RD</v>
      </c>
      <c r="C338" s="158" t="s">
        <v>395</v>
      </c>
      <c r="E338" s="268" t="str">
        <f ca="1">_xll.DBRA(Server&amp;$C$24,$C338,$F$21)</f>
        <v>Coût véhicules de fonction (RD)</v>
      </c>
      <c r="F338" s="268"/>
      <c r="G338" s="268"/>
      <c r="H338" s="40"/>
      <c r="I338" s="221" t="str">
        <f ca="1">_xll.DBRW(Server&amp;Cube1,$F$17,$F$18,$F$19,$F$16,$C$14,$F$15,$F$14,$F$20,I$2,I$1,$C338)</f>
        <v/>
      </c>
      <c r="J338" s="221" t="str">
        <f ca="1">_xll.DBRW(Server&amp;Cube1,$F$17,$F$18,$F$19,$F$16,$C$14,$F$15,$F$14,$F$20,J$2,J$1,$C338)</f>
        <v/>
      </c>
      <c r="K338" s="221" t="e">
        <f ca="1">_xll.DBRW(Server&amp;Cube1,$F$17,$F$18,$F$19,$F$16,$C$14,$F$15,$F$14,$F$20,I$2,I$1,$C338) -_xll.DBRW(Server&amp;Cube1,$F$17,$F$18,$F$19,$F$16,$C$14,$F$15,$F$14,$F$20,K$2,I$1,$C338)</f>
        <v>#VALUE!</v>
      </c>
      <c r="L338" s="221" t="e">
        <f t="shared" ca="1" si="14"/>
        <v>#VALUE!</v>
      </c>
      <c r="M338" s="221" t="e">
        <f t="shared" ca="1" si="13"/>
        <v>#VALUE!</v>
      </c>
      <c r="N338" s="226"/>
      <c r="O338" s="221" t="str">
        <f ca="1">_xll.DBRW(Server&amp;Cube1,$F$17,$F$18,$F$19,$F$16,$C$14,$F$15,$F$14,$F$20,O$2,O$1,$C338)</f>
        <v/>
      </c>
      <c r="P338" s="226"/>
      <c r="Q338" s="240" t="str">
        <f ca="1">IF(_xll.ELCOMPN(Server&amp;$C$24,C338)=0,"YES","NO")</f>
        <v>YES</v>
      </c>
      <c r="R338" s="241">
        <v>0</v>
      </c>
      <c r="S338" s="226"/>
      <c r="T338" s="227" t="str">
        <f ca="1">_xll.DBRW(Server&amp;Cube1,$F$17,$F$18,$F$19,$F$16,$C$14,$F$15,$F$14,$F$20,T$2,$T$1,$C338)</f>
        <v/>
      </c>
      <c r="U338" s="227" t="str">
        <f ca="1">_xll.DBRW(Server&amp;Cube1,$F$17,$F$18,$F$19,$F$16,$C$14,$F$15,$F$14,$F$20,U$2,$U$1,$C338)</f>
        <v/>
      </c>
      <c r="V338" s="227" t="str">
        <f ca="1">_xll.DBRW(Server&amp;Cube1,$F$17,$F$18,$F$19,$F$16,$C$14,$F$15,$F$14,$F$20,V$2,V$1,$C338)</f>
        <v/>
      </c>
      <c r="W338" s="227" t="str">
        <f ca="1">_xll.DBRW(Server&amp;Cube1,$F$17,$F$18,$F$19,$F$16,$C$14,$F$15,$F$14,$F$20,W$2,W$1,$C338)</f>
        <v/>
      </c>
      <c r="X338" s="227" t="str">
        <f ca="1">_xll.DBRW(Server&amp;Cube1,$F$17,$F$18,$F$19,$F$16,$C$14,$F$15,$F$14,$F$20,X$2,X$1,$C338)</f>
        <v/>
      </c>
      <c r="Y338" s="227" t="str">
        <f ca="1">_xll.DBRW(Server&amp;Cube1,$F$17,$F$18,$F$19,$F$16,$C$14,$F$15,$F$14,$F$20,Y$2,Y$1,$C338)</f>
        <v/>
      </c>
      <c r="Z338" s="241"/>
      <c r="AA338" s="241"/>
      <c r="AB338" s="241"/>
      <c r="AC338" s="241"/>
      <c r="AD338" s="241"/>
      <c r="AE338" s="241"/>
      <c r="AF338" s="221" t="str">
        <f ca="1">_xll.DBRW(Server&amp;Cube1,$F$17,$F$18,$F$19,$F$16,$C$14,$F$15,$F$14,$F$20,AF$2,$AF$1,$C338)</f>
        <v/>
      </c>
      <c r="AG338" s="53"/>
      <c r="AH338" s="53"/>
      <c r="AI338" s="53"/>
      <c r="AJ338" s="53"/>
      <c r="AK338" s="53"/>
      <c r="AL338" s="53"/>
      <c r="AM338" s="53"/>
      <c r="AN338" s="53"/>
      <c r="AO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:53" s="9" customFormat="1" ht="24" customHeight="1" x14ac:dyDescent="0.35">
      <c r="A339" s="181">
        <f ca="1">IF($AT$35="YES",1,IF(_xll.ELCOMPN(Server&amp;$C$24,C339)&lt;&gt;0,1,IF(OR(B339=$AZ$35,B339="ALL"),1,0)))</f>
        <v>1</v>
      </c>
      <c r="B339" s="163" t="str">
        <f t="shared" si="15"/>
        <v>ap</v>
      </c>
      <c r="C339" s="117" t="s">
        <v>116</v>
      </c>
      <c r="E339" s="270" t="str">
        <f ca="1">_xll.DBRA(Server&amp;$C$24,$C339,$F$21)</f>
        <v>Location Appartement de fonction</v>
      </c>
      <c r="F339" s="270"/>
      <c r="G339" s="270"/>
      <c r="H339" s="40"/>
      <c r="I339" s="221" t="str">
        <f ca="1">_xll.DBRW(Server&amp;Cube1,$F$17,$F$18,$F$19,$F$16,$C$14,$F$15,$F$14,$F$20,I$2,I$1,$C339)</f>
        <v/>
      </c>
      <c r="J339" s="221" t="str">
        <f ca="1">_xll.DBRW(Server&amp;Cube1,$F$17,$F$18,$F$19,$F$16,$C$14,$F$15,$F$14,$F$20,J$2,J$1,$C339)</f>
        <v/>
      </c>
      <c r="K339" s="221" t="e">
        <f ca="1">_xll.DBRW(Server&amp;Cube1,$F$17,$F$18,$F$19,$F$16,$C$14,$F$15,$F$14,$F$20,I$2,I$1,$C339) -_xll.DBRW(Server&amp;Cube1,$F$17,$F$18,$F$19,$F$16,$C$14,$F$15,$F$14,$F$20,K$2,I$1,$C339)</f>
        <v>#VALUE!</v>
      </c>
      <c r="L339" s="221" t="e">
        <f t="shared" ca="1" si="14"/>
        <v>#VALUE!</v>
      </c>
      <c r="M339" s="221" t="e">
        <f t="shared" ca="1" si="13"/>
        <v>#VALUE!</v>
      </c>
      <c r="N339" s="229"/>
      <c r="O339" s="229" t="str">
        <f ca="1">_xll.DBRW(Server&amp;Cube1,$F$17,$F$18,$F$19,$F$16,$C$14,$F$15,$F$14,$F$20,O$2,O$1,$C339)</f>
        <v/>
      </c>
      <c r="P339" s="229"/>
      <c r="Q339" s="240" t="str">
        <f ca="1">IF(_xll.ELCOMPN(Server&amp;$C$24,C339)=0,"YES","NO")</f>
        <v>NO</v>
      </c>
      <c r="R339" s="229"/>
      <c r="S339" s="229"/>
      <c r="T339" s="230" t="str">
        <f ca="1">_xll.DBRW(Server&amp;Cube1,$F$17,$F$18,$F$19,$F$16,$C$14,$F$15,$F$14,$F$20,T$2,$T$1,$C339)</f>
        <v/>
      </c>
      <c r="U339" s="230" t="str">
        <f ca="1">_xll.DBRW(Server&amp;Cube1,$F$17,$F$18,$F$19,$F$16,$C$14,$F$15,$F$14,$F$20,U$2,$U$1,$C339)</f>
        <v/>
      </c>
      <c r="V339" s="230" t="str">
        <f ca="1">_xll.DBRW(Server&amp;Cube1,$F$17,$F$18,$F$19,$F$16,$C$14,$F$15,$F$14,$F$20,V$2,V$1,$C339)</f>
        <v/>
      </c>
      <c r="W339" s="230" t="str">
        <f ca="1">_xll.DBRW(Server&amp;Cube1,$F$17,$F$18,$F$19,$F$16,$C$14,$F$15,$F$14,$F$20,W$2,W$1,$C339)</f>
        <v/>
      </c>
      <c r="X339" s="229" t="str">
        <f ca="1">_xll.DBRW(Server&amp;Cube1,$F$17,$F$18,$F$19,$F$16,$C$14,$F$15,$F$14,$F$20,X$2,X$1,$C339)</f>
        <v/>
      </c>
      <c r="Y339" s="229" t="str">
        <f ca="1">_xll.DBRW(Server&amp;Cube1,$F$17,$F$18,$F$19,$F$16,$C$14,$F$15,$F$14,$F$20,Y$2,Y$1,$C339)</f>
        <v/>
      </c>
      <c r="Z339" s="229" t="str">
        <f ca="1">_xll.DBRW(Server&amp;Cube1,$F$17,$F$18,$F$19,$F$16,$C$14,$F$15,$F$14,$F$20,Z$2,Z$1,$C339)</f>
        <v/>
      </c>
      <c r="AA339" s="229" t="str">
        <f ca="1">_xll.DBRW(Server&amp;Cube1,$F$17,$F$18,$F$19,$F$16,$C$14,$F$15,$F$14,$F$20,AA$2,AA$1,$C339)</f>
        <v/>
      </c>
      <c r="AB339" s="229" t="str">
        <f ca="1">_xll.DBRW(Server&amp;Cube1,$F$17,$F$18,$F$19,$F$16,$C$14,$F$15,$F$14,$F$20,AB$2,AB$1,$C339)</f>
        <v/>
      </c>
      <c r="AC339" s="229" t="str">
        <f ca="1">_xll.DBRW(Server&amp;Cube1,$F$17,$F$18,$F$19,$F$16,$C$14,$F$15,$F$14,$F$20,AC$2,AC$1,$C339)</f>
        <v/>
      </c>
      <c r="AD339" s="229" t="str">
        <f ca="1">_xll.DBRW(Server&amp;Cube1,$F$17,$F$18,$F$19,$F$16,$C$14,$F$15,$F$14,$F$20,AD$2,AD$1,$C339)</f>
        <v/>
      </c>
      <c r="AE339" s="229" t="str">
        <f ca="1">_xll.DBRW(Server&amp;Cube1,$F$17,$F$18,$F$19,$F$16,$C$14,$F$15,$F$14,$F$20,AE$2,AE$1,$C339)</f>
        <v/>
      </c>
      <c r="AF339" s="229" t="str">
        <f ca="1">_xll.DBRW(Server&amp;Cube1,$F$17,$F$18,$F$19,$F$16,$C$14,$F$15,$F$14,$F$20,AF$2,$AF$1,$C339)</f>
        <v/>
      </c>
      <c r="AG339" s="53"/>
      <c r="AH339" s="53"/>
      <c r="AI339" s="53"/>
      <c r="AJ339" s="53"/>
      <c r="AK339" s="53"/>
      <c r="AL339" s="53"/>
      <c r="AM339" s="53"/>
      <c r="AN339" s="53"/>
      <c r="AO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:53" s="9" customFormat="1" ht="24" customHeight="1" x14ac:dyDescent="0.35">
      <c r="A340" s="181" t="e">
        <f ca="1">IF($AT$35="YES",1,IF(_xll.ELCOMPN(Server&amp;$C$24,C340)&lt;&gt;0,1,IF(OR(B340=$AZ$35,B340="ALL"),1,0)))</f>
        <v>#VALUE!</v>
      </c>
      <c r="B340" s="163" t="str">
        <f t="shared" si="15"/>
        <v>DS</v>
      </c>
      <c r="C340" s="158" t="s">
        <v>396</v>
      </c>
      <c r="E340" s="268" t="str">
        <f ca="1">_xll.DBRA(Server&amp;$C$24,$C340,$F$21)</f>
        <v>Location Appartement de fonction (SO)</v>
      </c>
      <c r="F340" s="268"/>
      <c r="G340" s="268"/>
      <c r="H340" s="40"/>
      <c r="I340" s="221" t="str">
        <f ca="1">_xll.DBRW(Server&amp;Cube1,$F$17,$F$18,$F$19,$F$16,$C$14,$F$15,$F$14,$F$20,I$2,I$1,$C340)</f>
        <v/>
      </c>
      <c r="J340" s="221" t="str">
        <f ca="1">_xll.DBRW(Server&amp;Cube1,$F$17,$F$18,$F$19,$F$16,$C$14,$F$15,$F$14,$F$20,J$2,J$1,$C340)</f>
        <v/>
      </c>
      <c r="K340" s="221" t="e">
        <f ca="1">_xll.DBRW(Server&amp;Cube1,$F$17,$F$18,$F$19,$F$16,$C$14,$F$15,$F$14,$F$20,I$2,I$1,$C340) -_xll.DBRW(Server&amp;Cube1,$F$17,$F$18,$F$19,$F$16,$C$14,$F$15,$F$14,$F$20,K$2,I$1,$C340)</f>
        <v>#VALUE!</v>
      </c>
      <c r="L340" s="221" t="e">
        <f t="shared" ca="1" si="14"/>
        <v>#VALUE!</v>
      </c>
      <c r="M340" s="221" t="e">
        <f t="shared" ca="1" si="13"/>
        <v>#VALUE!</v>
      </c>
      <c r="N340" s="226"/>
      <c r="O340" s="221" t="str">
        <f ca="1">_xll.DBRW(Server&amp;Cube1,$F$17,$F$18,$F$19,$F$16,$C$14,$F$15,$F$14,$F$20,O$2,O$1,$C340)</f>
        <v/>
      </c>
      <c r="P340" s="226"/>
      <c r="Q340" s="240" t="str">
        <f ca="1">IF(_xll.ELCOMPN(Server&amp;$C$24,C340)=0,"YES","NO")</f>
        <v>YES</v>
      </c>
      <c r="R340" s="241">
        <v>0</v>
      </c>
      <c r="S340" s="226"/>
      <c r="T340" s="227" t="str">
        <f ca="1">_xll.DBRW(Server&amp;Cube1,$F$17,$F$18,$F$19,$F$16,$C$14,$F$15,$F$14,$F$20,T$2,$T$1,$C340)</f>
        <v/>
      </c>
      <c r="U340" s="227" t="str">
        <f ca="1">_xll.DBRW(Server&amp;Cube1,$F$17,$F$18,$F$19,$F$16,$C$14,$F$15,$F$14,$F$20,U$2,$U$1,$C340)</f>
        <v/>
      </c>
      <c r="V340" s="227" t="str">
        <f ca="1">_xll.DBRW(Server&amp;Cube1,$F$17,$F$18,$F$19,$F$16,$C$14,$F$15,$F$14,$F$20,V$2,V$1,$C340)</f>
        <v/>
      </c>
      <c r="W340" s="227" t="str">
        <f ca="1">_xll.DBRW(Server&amp;Cube1,$F$17,$F$18,$F$19,$F$16,$C$14,$F$15,$F$14,$F$20,W$2,W$1,$C340)</f>
        <v/>
      </c>
      <c r="X340" s="227" t="str">
        <f ca="1">_xll.DBRW(Server&amp;Cube1,$F$17,$F$18,$F$19,$F$16,$C$14,$F$15,$F$14,$F$20,X$2,X$1,$C340)</f>
        <v/>
      </c>
      <c r="Y340" s="227" t="str">
        <f ca="1">_xll.DBRW(Server&amp;Cube1,$F$17,$F$18,$F$19,$F$16,$C$14,$F$15,$F$14,$F$20,Y$2,Y$1,$C340)</f>
        <v/>
      </c>
      <c r="Z340" s="241"/>
      <c r="AA340" s="241"/>
      <c r="AB340" s="241"/>
      <c r="AC340" s="241"/>
      <c r="AD340" s="241"/>
      <c r="AE340" s="241"/>
      <c r="AF340" s="221" t="str">
        <f ca="1">_xll.DBRW(Server&amp;Cube1,$F$17,$F$18,$F$19,$F$16,$C$14,$F$15,$F$14,$F$20,AF$2,$AF$1,$C340)</f>
        <v/>
      </c>
      <c r="AG340" s="53"/>
      <c r="AH340" s="53"/>
      <c r="AI340" s="53"/>
      <c r="AJ340" s="53"/>
      <c r="AK340" s="53"/>
      <c r="AL340" s="53"/>
      <c r="AM340" s="53"/>
      <c r="AN340" s="53"/>
      <c r="AO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:53" s="9" customFormat="1" ht="24" customHeight="1" x14ac:dyDescent="0.35">
      <c r="A341" s="181" t="e">
        <f ca="1">IF($AT$35="YES",1,IF(_xll.ELCOMPN(Server&amp;$C$24,C341)&lt;&gt;0,1,IF(OR(B341=$AZ$35,B341="ALL"),1,0)))</f>
        <v>#VALUE!</v>
      </c>
      <c r="B341" s="163" t="str">
        <f t="shared" si="15"/>
        <v>BD</v>
      </c>
      <c r="C341" s="158" t="s">
        <v>397</v>
      </c>
      <c r="E341" s="268" t="str">
        <f ca="1">_xll.DBRA(Server&amp;$C$24,$C341,$F$21)</f>
        <v>Location Appartement de fonction (DC)</v>
      </c>
      <c r="F341" s="268"/>
      <c r="G341" s="268"/>
      <c r="H341" s="40"/>
      <c r="I341" s="221" t="str">
        <f ca="1">_xll.DBRW(Server&amp;Cube1,$F$17,$F$18,$F$19,$F$16,$C$14,$F$15,$F$14,$F$20,I$2,I$1,$C341)</f>
        <v/>
      </c>
      <c r="J341" s="221" t="str">
        <f ca="1">_xll.DBRW(Server&amp;Cube1,$F$17,$F$18,$F$19,$F$16,$C$14,$F$15,$F$14,$F$20,J$2,J$1,$C341)</f>
        <v/>
      </c>
      <c r="K341" s="221" t="e">
        <f ca="1">_xll.DBRW(Server&amp;Cube1,$F$17,$F$18,$F$19,$F$16,$C$14,$F$15,$F$14,$F$20,I$2,I$1,$C341) -_xll.DBRW(Server&amp;Cube1,$F$17,$F$18,$F$19,$F$16,$C$14,$F$15,$F$14,$F$20,K$2,I$1,$C341)</f>
        <v>#VALUE!</v>
      </c>
      <c r="L341" s="221" t="e">
        <f t="shared" ca="1" si="14"/>
        <v>#VALUE!</v>
      </c>
      <c r="M341" s="221" t="e">
        <f t="shared" ca="1" si="13"/>
        <v>#VALUE!</v>
      </c>
      <c r="N341" s="226"/>
      <c r="O341" s="221" t="str">
        <f ca="1">_xll.DBRW(Server&amp;Cube1,$F$17,$F$18,$F$19,$F$16,$C$14,$F$15,$F$14,$F$20,O$2,O$1,$C341)</f>
        <v/>
      </c>
      <c r="P341" s="226"/>
      <c r="Q341" s="240" t="str">
        <f ca="1">IF(_xll.ELCOMPN(Server&amp;$C$24,C341)=0,"YES","NO")</f>
        <v>YES</v>
      </c>
      <c r="R341" s="241">
        <v>0</v>
      </c>
      <c r="S341" s="226"/>
      <c r="T341" s="227" t="str">
        <f ca="1">_xll.DBRW(Server&amp;Cube1,$F$17,$F$18,$F$19,$F$16,$C$14,$F$15,$F$14,$F$20,T$2,$T$1,$C341)</f>
        <v/>
      </c>
      <c r="U341" s="227" t="str">
        <f ca="1">_xll.DBRW(Server&amp;Cube1,$F$17,$F$18,$F$19,$F$16,$C$14,$F$15,$F$14,$F$20,U$2,$U$1,$C341)</f>
        <v/>
      </c>
      <c r="V341" s="227" t="str">
        <f ca="1">_xll.DBRW(Server&amp;Cube1,$F$17,$F$18,$F$19,$F$16,$C$14,$F$15,$F$14,$F$20,V$2,V$1,$C341)</f>
        <v/>
      </c>
      <c r="W341" s="227" t="str">
        <f ca="1">_xll.DBRW(Server&amp;Cube1,$F$17,$F$18,$F$19,$F$16,$C$14,$F$15,$F$14,$F$20,W$2,W$1,$C341)</f>
        <v/>
      </c>
      <c r="X341" s="227" t="str">
        <f ca="1">_xll.DBRW(Server&amp;Cube1,$F$17,$F$18,$F$19,$F$16,$C$14,$F$15,$F$14,$F$20,X$2,X$1,$C341)</f>
        <v/>
      </c>
      <c r="Y341" s="227" t="str">
        <f ca="1">_xll.DBRW(Server&amp;Cube1,$F$17,$F$18,$F$19,$F$16,$C$14,$F$15,$F$14,$F$20,Y$2,Y$1,$C341)</f>
        <v/>
      </c>
      <c r="Z341" s="241"/>
      <c r="AA341" s="241"/>
      <c r="AB341" s="241"/>
      <c r="AC341" s="241"/>
      <c r="AD341" s="241"/>
      <c r="AE341" s="241"/>
      <c r="AF341" s="221" t="str">
        <f ca="1">_xll.DBRW(Server&amp;Cube1,$F$17,$F$18,$F$19,$F$16,$C$14,$F$15,$F$14,$F$20,AF$2,$AF$1,$C341)</f>
        <v/>
      </c>
      <c r="AG341" s="53"/>
      <c r="AH341" s="53"/>
      <c r="AI341" s="53"/>
      <c r="AJ341" s="53"/>
      <c r="AK341" s="53"/>
      <c r="AL341" s="53"/>
      <c r="AM341" s="53"/>
      <c r="AN341" s="53"/>
      <c r="AO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:53" s="9" customFormat="1" ht="24" customHeight="1" x14ac:dyDescent="0.35">
      <c r="A342" s="181" t="e">
        <f ca="1">IF($AT$35="YES",1,IF(_xll.ELCOMPN(Server&amp;$C$24,C342)&lt;&gt;0,1,IF(OR(B342=$AZ$35,B342="ALL"),1,0)))</f>
        <v>#VALUE!</v>
      </c>
      <c r="B342" s="163" t="str">
        <f t="shared" si="15"/>
        <v>FI</v>
      </c>
      <c r="C342" s="158" t="s">
        <v>398</v>
      </c>
      <c r="E342" s="268" t="str">
        <f ca="1">_xll.DBRA(Server&amp;$C$24,$C342,$F$21)</f>
        <v>Location Appartement de fonction (DF)</v>
      </c>
      <c r="F342" s="268"/>
      <c r="G342" s="268"/>
      <c r="H342" s="40"/>
      <c r="I342" s="221" t="str">
        <f ca="1">_xll.DBRW(Server&amp;Cube1,$F$17,$F$18,$F$19,$F$16,$C$14,$F$15,$F$14,$F$20,I$2,I$1,$C342)</f>
        <v/>
      </c>
      <c r="J342" s="221" t="str">
        <f ca="1">_xll.DBRW(Server&amp;Cube1,$F$17,$F$18,$F$19,$F$16,$C$14,$F$15,$F$14,$F$20,J$2,J$1,$C342)</f>
        <v/>
      </c>
      <c r="K342" s="221" t="e">
        <f ca="1">_xll.DBRW(Server&amp;Cube1,$F$17,$F$18,$F$19,$F$16,$C$14,$F$15,$F$14,$F$20,I$2,I$1,$C342) -_xll.DBRW(Server&amp;Cube1,$F$17,$F$18,$F$19,$F$16,$C$14,$F$15,$F$14,$F$20,K$2,I$1,$C342)</f>
        <v>#VALUE!</v>
      </c>
      <c r="L342" s="221" t="e">
        <f t="shared" ca="1" si="14"/>
        <v>#VALUE!</v>
      </c>
      <c r="M342" s="221" t="e">
        <f t="shared" ca="1" si="13"/>
        <v>#VALUE!</v>
      </c>
      <c r="N342" s="226"/>
      <c r="O342" s="221" t="str">
        <f ca="1">_xll.DBRW(Server&amp;Cube1,$F$17,$F$18,$F$19,$F$16,$C$14,$F$15,$F$14,$F$20,O$2,O$1,$C342)</f>
        <v/>
      </c>
      <c r="P342" s="226"/>
      <c r="Q342" s="240" t="str">
        <f ca="1">IF(_xll.ELCOMPN(Server&amp;$C$24,C342)=0,"YES","NO")</f>
        <v>YES</v>
      </c>
      <c r="R342" s="241">
        <v>0</v>
      </c>
      <c r="S342" s="226"/>
      <c r="T342" s="227" t="str">
        <f ca="1">_xll.DBRW(Server&amp;Cube1,$F$17,$F$18,$F$19,$F$16,$C$14,$F$15,$F$14,$F$20,T$2,$T$1,$C342)</f>
        <v/>
      </c>
      <c r="U342" s="227" t="str">
        <f ca="1">_xll.DBRW(Server&amp;Cube1,$F$17,$F$18,$F$19,$F$16,$C$14,$F$15,$F$14,$F$20,U$2,$U$1,$C342)</f>
        <v/>
      </c>
      <c r="V342" s="227" t="str">
        <f ca="1">_xll.DBRW(Server&amp;Cube1,$F$17,$F$18,$F$19,$F$16,$C$14,$F$15,$F$14,$F$20,V$2,V$1,$C342)</f>
        <v/>
      </c>
      <c r="W342" s="227" t="str">
        <f ca="1">_xll.DBRW(Server&amp;Cube1,$F$17,$F$18,$F$19,$F$16,$C$14,$F$15,$F$14,$F$20,W$2,W$1,$C342)</f>
        <v/>
      </c>
      <c r="X342" s="227" t="str">
        <f ca="1">_xll.DBRW(Server&amp;Cube1,$F$17,$F$18,$F$19,$F$16,$C$14,$F$15,$F$14,$F$20,X$2,X$1,$C342)</f>
        <v/>
      </c>
      <c r="Y342" s="227" t="str">
        <f ca="1">_xll.DBRW(Server&amp;Cube1,$F$17,$F$18,$F$19,$F$16,$C$14,$F$15,$F$14,$F$20,Y$2,Y$1,$C342)</f>
        <v/>
      </c>
      <c r="Z342" s="241"/>
      <c r="AA342" s="241"/>
      <c r="AB342" s="241"/>
      <c r="AC342" s="241"/>
      <c r="AD342" s="241"/>
      <c r="AE342" s="241"/>
      <c r="AF342" s="221" t="str">
        <f ca="1">_xll.DBRW(Server&amp;Cube1,$F$17,$F$18,$F$19,$F$16,$C$14,$F$15,$F$14,$F$20,AF$2,$AF$1,$C342)</f>
        <v/>
      </c>
      <c r="AG342" s="53"/>
      <c r="AH342" s="53"/>
      <c r="AI342" s="53"/>
      <c r="AJ342" s="53"/>
      <c r="AK342" s="53"/>
      <c r="AL342" s="53"/>
      <c r="AM342" s="53"/>
      <c r="AN342" s="53"/>
      <c r="AO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:53" s="9" customFormat="1" ht="24" customHeight="1" x14ac:dyDescent="0.35">
      <c r="A343" s="181" t="e">
        <f ca="1">IF($AT$35="YES",1,IF(_xll.ELCOMPN(Server&amp;$C$24,C343)&lt;&gt;0,1,IF(OR(B343=$AZ$35,B343="ALL"),1,0)))</f>
        <v>#VALUE!</v>
      </c>
      <c r="B343" s="163" t="str">
        <f t="shared" si="15"/>
        <v>IT</v>
      </c>
      <c r="C343" s="158" t="s">
        <v>399</v>
      </c>
      <c r="E343" s="268" t="str">
        <f ca="1">_xll.DBRA(Server&amp;$C$24,$C343,$F$21)</f>
        <v>Location Appartement de fonction (IT)</v>
      </c>
      <c r="F343" s="268"/>
      <c r="G343" s="268"/>
      <c r="H343" s="40"/>
      <c r="I343" s="221" t="str">
        <f ca="1">_xll.DBRW(Server&amp;Cube1,$F$17,$F$18,$F$19,$F$16,$C$14,$F$15,$F$14,$F$20,I$2,I$1,$C343)</f>
        <v/>
      </c>
      <c r="J343" s="221" t="str">
        <f ca="1">_xll.DBRW(Server&amp;Cube1,$F$17,$F$18,$F$19,$F$16,$C$14,$F$15,$F$14,$F$20,J$2,J$1,$C343)</f>
        <v/>
      </c>
      <c r="K343" s="221" t="e">
        <f ca="1">_xll.DBRW(Server&amp;Cube1,$F$17,$F$18,$F$19,$F$16,$C$14,$F$15,$F$14,$F$20,I$2,I$1,$C343) -_xll.DBRW(Server&amp;Cube1,$F$17,$F$18,$F$19,$F$16,$C$14,$F$15,$F$14,$F$20,K$2,I$1,$C343)</f>
        <v>#VALUE!</v>
      </c>
      <c r="L343" s="221" t="e">
        <f t="shared" ca="1" si="14"/>
        <v>#VALUE!</v>
      </c>
      <c r="M343" s="221" t="e">
        <f t="shared" ca="1" si="13"/>
        <v>#VALUE!</v>
      </c>
      <c r="N343" s="226"/>
      <c r="O343" s="221" t="str">
        <f ca="1">_xll.DBRW(Server&amp;Cube1,$F$17,$F$18,$F$19,$F$16,$C$14,$F$15,$F$14,$F$20,O$2,O$1,$C343)</f>
        <v/>
      </c>
      <c r="P343" s="226"/>
      <c r="Q343" s="240" t="str">
        <f ca="1">IF(_xll.ELCOMPN(Server&amp;$C$24,C343)=0,"YES","NO")</f>
        <v>YES</v>
      </c>
      <c r="R343" s="241">
        <v>0</v>
      </c>
      <c r="S343" s="226"/>
      <c r="T343" s="227" t="str">
        <f ca="1">_xll.DBRW(Server&amp;Cube1,$F$17,$F$18,$F$19,$F$16,$C$14,$F$15,$F$14,$F$20,T$2,$T$1,$C343)</f>
        <v/>
      </c>
      <c r="U343" s="227" t="str">
        <f ca="1">_xll.DBRW(Server&amp;Cube1,$F$17,$F$18,$F$19,$F$16,$C$14,$F$15,$F$14,$F$20,U$2,$U$1,$C343)</f>
        <v/>
      </c>
      <c r="V343" s="227" t="str">
        <f ca="1">_xll.DBRW(Server&amp;Cube1,$F$17,$F$18,$F$19,$F$16,$C$14,$F$15,$F$14,$F$20,V$2,V$1,$C343)</f>
        <v/>
      </c>
      <c r="W343" s="227" t="str">
        <f ca="1">_xll.DBRW(Server&amp;Cube1,$F$17,$F$18,$F$19,$F$16,$C$14,$F$15,$F$14,$F$20,W$2,W$1,$C343)</f>
        <v/>
      </c>
      <c r="X343" s="227" t="str">
        <f ca="1">_xll.DBRW(Server&amp;Cube1,$F$17,$F$18,$F$19,$F$16,$C$14,$F$15,$F$14,$F$20,X$2,X$1,$C343)</f>
        <v/>
      </c>
      <c r="Y343" s="227" t="str">
        <f ca="1">_xll.DBRW(Server&amp;Cube1,$F$17,$F$18,$F$19,$F$16,$C$14,$F$15,$F$14,$F$20,Y$2,Y$1,$C343)</f>
        <v/>
      </c>
      <c r="Z343" s="241"/>
      <c r="AA343" s="241"/>
      <c r="AB343" s="241"/>
      <c r="AC343" s="241"/>
      <c r="AD343" s="241"/>
      <c r="AE343" s="241"/>
      <c r="AF343" s="221" t="str">
        <f ca="1">_xll.DBRW(Server&amp;Cube1,$F$17,$F$18,$F$19,$F$16,$C$14,$F$15,$F$14,$F$20,AF$2,$AF$1,$C343)</f>
        <v/>
      </c>
      <c r="AG343" s="53"/>
      <c r="AH343" s="53"/>
      <c r="AI343" s="53"/>
      <c r="AJ343" s="53"/>
      <c r="AK343" s="53"/>
      <c r="AL343" s="53"/>
      <c r="AM343" s="53"/>
      <c r="AN343" s="53"/>
      <c r="AO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:53" s="9" customFormat="1" ht="24" customHeight="1" x14ac:dyDescent="0.35">
      <c r="A344" s="181" t="e">
        <f ca="1">IF($AT$35="YES",1,IF(_xll.ELCOMPN(Server&amp;$C$24,C344)&lt;&gt;0,1,IF(OR(B344=$AZ$35,B344="ALL"),1,0)))</f>
        <v>#VALUE!</v>
      </c>
      <c r="B344" s="163" t="str">
        <f t="shared" si="15"/>
        <v>HR</v>
      </c>
      <c r="C344" s="158" t="s">
        <v>400</v>
      </c>
      <c r="E344" s="268" t="str">
        <f ca="1">_xll.DBRA(Server&amp;$C$24,$C344,$F$21)</f>
        <v>Location Appartement de fonction (RH)</v>
      </c>
      <c r="F344" s="268"/>
      <c r="G344" s="268"/>
      <c r="H344" s="40"/>
      <c r="I344" s="221" t="str">
        <f ca="1">_xll.DBRW(Server&amp;Cube1,$F$17,$F$18,$F$19,$F$16,$C$14,$F$15,$F$14,$F$20,I$2,I$1,$C344)</f>
        <v/>
      </c>
      <c r="J344" s="221" t="str">
        <f ca="1">_xll.DBRW(Server&amp;Cube1,$F$17,$F$18,$F$19,$F$16,$C$14,$F$15,$F$14,$F$20,J$2,J$1,$C344)</f>
        <v/>
      </c>
      <c r="K344" s="221" t="e">
        <f ca="1">_xll.DBRW(Server&amp;Cube1,$F$17,$F$18,$F$19,$F$16,$C$14,$F$15,$F$14,$F$20,I$2,I$1,$C344) -_xll.DBRW(Server&amp;Cube1,$F$17,$F$18,$F$19,$F$16,$C$14,$F$15,$F$14,$F$20,K$2,I$1,$C344)</f>
        <v>#VALUE!</v>
      </c>
      <c r="L344" s="221" t="e">
        <f t="shared" ca="1" si="14"/>
        <v>#VALUE!</v>
      </c>
      <c r="M344" s="221" t="e">
        <f t="shared" ca="1" si="13"/>
        <v>#VALUE!</v>
      </c>
      <c r="N344" s="226"/>
      <c r="O344" s="221" t="str">
        <f ca="1">_xll.DBRW(Server&amp;Cube1,$F$17,$F$18,$F$19,$F$16,$C$14,$F$15,$F$14,$F$20,O$2,O$1,$C344)</f>
        <v/>
      </c>
      <c r="P344" s="226"/>
      <c r="Q344" s="240" t="str">
        <f ca="1">IF(_xll.ELCOMPN(Server&amp;$C$24,C344)=0,"YES","NO")</f>
        <v>YES</v>
      </c>
      <c r="R344" s="241">
        <v>0</v>
      </c>
      <c r="S344" s="226"/>
      <c r="T344" s="227" t="str">
        <f ca="1">_xll.DBRW(Server&amp;Cube1,$F$17,$F$18,$F$19,$F$16,$C$14,$F$15,$F$14,$F$20,T$2,$T$1,$C344)</f>
        <v/>
      </c>
      <c r="U344" s="227" t="str">
        <f ca="1">_xll.DBRW(Server&amp;Cube1,$F$17,$F$18,$F$19,$F$16,$C$14,$F$15,$F$14,$F$20,U$2,$U$1,$C344)</f>
        <v/>
      </c>
      <c r="V344" s="227" t="str">
        <f ca="1">_xll.DBRW(Server&amp;Cube1,$F$17,$F$18,$F$19,$F$16,$C$14,$F$15,$F$14,$F$20,V$2,V$1,$C344)</f>
        <v/>
      </c>
      <c r="W344" s="227" t="str">
        <f ca="1">_xll.DBRW(Server&amp;Cube1,$F$17,$F$18,$F$19,$F$16,$C$14,$F$15,$F$14,$F$20,W$2,W$1,$C344)</f>
        <v/>
      </c>
      <c r="X344" s="227" t="str">
        <f ca="1">_xll.DBRW(Server&amp;Cube1,$F$17,$F$18,$F$19,$F$16,$C$14,$F$15,$F$14,$F$20,X$2,X$1,$C344)</f>
        <v/>
      </c>
      <c r="Y344" s="227" t="str">
        <f ca="1">_xll.DBRW(Server&amp;Cube1,$F$17,$F$18,$F$19,$F$16,$C$14,$F$15,$F$14,$F$20,Y$2,Y$1,$C344)</f>
        <v/>
      </c>
      <c r="Z344" s="241"/>
      <c r="AA344" s="241"/>
      <c r="AB344" s="241"/>
      <c r="AC344" s="241"/>
      <c r="AD344" s="241"/>
      <c r="AE344" s="241"/>
      <c r="AF344" s="221" t="str">
        <f ca="1">_xll.DBRW(Server&amp;Cube1,$F$17,$F$18,$F$19,$F$16,$C$14,$F$15,$F$14,$F$20,AF$2,$AF$1,$C344)</f>
        <v/>
      </c>
      <c r="AG344" s="53"/>
      <c r="AH344" s="53"/>
      <c r="AI344" s="53"/>
      <c r="AJ344" s="53"/>
      <c r="AK344" s="53"/>
      <c r="AL344" s="53"/>
      <c r="AM344" s="53"/>
      <c r="AN344" s="53"/>
      <c r="AO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:53" s="9" customFormat="1" ht="24" customHeight="1" x14ac:dyDescent="0.35">
      <c r="A345" s="181" t="e">
        <f ca="1">IF($AT$35="YES",1,IF(_xll.ELCOMPN(Server&amp;$C$24,C345)&lt;&gt;0,1,IF(OR(B345=$AZ$35,B345="ALL"),1,0)))</f>
        <v>#VALUE!</v>
      </c>
      <c r="B345" s="163" t="str">
        <f t="shared" si="15"/>
        <v>GM</v>
      </c>
      <c r="C345" s="158" t="s">
        <v>401</v>
      </c>
      <c r="E345" s="268" t="str">
        <f ca="1">_xll.DBRA(Server&amp;$C$24,$C345,$F$21)</f>
        <v>Location Appartement de fonction (DG)</v>
      </c>
      <c r="F345" s="268"/>
      <c r="G345" s="268"/>
      <c r="H345" s="40"/>
      <c r="I345" s="221" t="str">
        <f ca="1">_xll.DBRW(Server&amp;Cube1,$F$17,$F$18,$F$19,$F$16,$C$14,$F$15,$F$14,$F$20,I$2,I$1,$C345)</f>
        <v/>
      </c>
      <c r="J345" s="221" t="str">
        <f ca="1">_xll.DBRW(Server&amp;Cube1,$F$17,$F$18,$F$19,$F$16,$C$14,$F$15,$F$14,$F$20,J$2,J$1,$C345)</f>
        <v/>
      </c>
      <c r="K345" s="221" t="e">
        <f ca="1">_xll.DBRW(Server&amp;Cube1,$F$17,$F$18,$F$19,$F$16,$C$14,$F$15,$F$14,$F$20,I$2,I$1,$C345) -_xll.DBRW(Server&amp;Cube1,$F$17,$F$18,$F$19,$F$16,$C$14,$F$15,$F$14,$F$20,K$2,I$1,$C345)</f>
        <v>#VALUE!</v>
      </c>
      <c r="L345" s="221" t="e">
        <f t="shared" ca="1" si="14"/>
        <v>#VALUE!</v>
      </c>
      <c r="M345" s="221" t="e">
        <f t="shared" ca="1" si="13"/>
        <v>#VALUE!</v>
      </c>
      <c r="N345" s="226"/>
      <c r="O345" s="221" t="str">
        <f ca="1">_xll.DBRW(Server&amp;Cube1,$F$17,$F$18,$F$19,$F$16,$C$14,$F$15,$F$14,$F$20,O$2,O$1,$C345)</f>
        <v/>
      </c>
      <c r="P345" s="226"/>
      <c r="Q345" s="240" t="str">
        <f ca="1">IF(_xll.ELCOMPN(Server&amp;$C$24,C345)=0,"YES","NO")</f>
        <v>YES</v>
      </c>
      <c r="R345" s="241">
        <v>0</v>
      </c>
      <c r="S345" s="226"/>
      <c r="T345" s="227" t="str">
        <f ca="1">_xll.DBRW(Server&amp;Cube1,$F$17,$F$18,$F$19,$F$16,$C$14,$F$15,$F$14,$F$20,T$2,$T$1,$C345)</f>
        <v/>
      </c>
      <c r="U345" s="227" t="str">
        <f ca="1">_xll.DBRW(Server&amp;Cube1,$F$17,$F$18,$F$19,$F$16,$C$14,$F$15,$F$14,$F$20,U$2,$U$1,$C345)</f>
        <v/>
      </c>
      <c r="V345" s="227" t="str">
        <f ca="1">_xll.DBRW(Server&amp;Cube1,$F$17,$F$18,$F$19,$F$16,$C$14,$F$15,$F$14,$F$20,V$2,V$1,$C345)</f>
        <v/>
      </c>
      <c r="W345" s="227" t="str">
        <f ca="1">_xll.DBRW(Server&amp;Cube1,$F$17,$F$18,$F$19,$F$16,$C$14,$F$15,$F$14,$F$20,W$2,W$1,$C345)</f>
        <v/>
      </c>
      <c r="X345" s="227" t="str">
        <f ca="1">_xll.DBRW(Server&amp;Cube1,$F$17,$F$18,$F$19,$F$16,$C$14,$F$15,$F$14,$F$20,X$2,X$1,$C345)</f>
        <v/>
      </c>
      <c r="Y345" s="227" t="str">
        <f ca="1">_xll.DBRW(Server&amp;Cube1,$F$17,$F$18,$F$19,$F$16,$C$14,$F$15,$F$14,$F$20,Y$2,Y$1,$C345)</f>
        <v/>
      </c>
      <c r="Z345" s="241"/>
      <c r="AA345" s="241"/>
      <c r="AB345" s="241"/>
      <c r="AC345" s="241"/>
      <c r="AD345" s="241"/>
      <c r="AE345" s="241"/>
      <c r="AF345" s="221" t="str">
        <f ca="1">_xll.DBRW(Server&amp;Cube1,$F$17,$F$18,$F$19,$F$16,$C$14,$F$15,$F$14,$F$20,AF$2,$AF$1,$C345)</f>
        <v/>
      </c>
      <c r="AG345" s="53"/>
      <c r="AH345" s="53"/>
      <c r="AI345" s="53"/>
      <c r="AJ345" s="53"/>
      <c r="AK345" s="53"/>
      <c r="AL345" s="53"/>
      <c r="AM345" s="53"/>
      <c r="AN345" s="53"/>
      <c r="AO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:53" s="9" customFormat="1" ht="24" customHeight="1" x14ac:dyDescent="0.35">
      <c r="A346" s="181" t="e">
        <f ca="1">IF($AT$35="YES",1,IF(_xll.ELCOMPN(Server&amp;$C$24,C346)&lt;&gt;0,1,IF(OR(B346=$AZ$35,B346="ALL"),1,0)))</f>
        <v>#VALUE!</v>
      </c>
      <c r="B346" s="163" t="str">
        <f t="shared" si="15"/>
        <v>IA</v>
      </c>
      <c r="C346" s="158" t="s">
        <v>402</v>
      </c>
      <c r="E346" s="268" t="str">
        <f ca="1">_xll.DBRA(Server&amp;$C$24,$C346,$F$21)</f>
        <v>Location Appartement de fonction (AI)</v>
      </c>
      <c r="F346" s="268"/>
      <c r="G346" s="268"/>
      <c r="H346" s="40"/>
      <c r="I346" s="221" t="str">
        <f ca="1">_xll.DBRW(Server&amp;Cube1,$F$17,$F$18,$F$19,$F$16,$C$14,$F$15,$F$14,$F$20,I$2,I$1,$C346)</f>
        <v/>
      </c>
      <c r="J346" s="221" t="str">
        <f ca="1">_xll.DBRW(Server&amp;Cube1,$F$17,$F$18,$F$19,$F$16,$C$14,$F$15,$F$14,$F$20,J$2,J$1,$C346)</f>
        <v/>
      </c>
      <c r="K346" s="221" t="e">
        <f ca="1">_xll.DBRW(Server&amp;Cube1,$F$17,$F$18,$F$19,$F$16,$C$14,$F$15,$F$14,$F$20,I$2,I$1,$C346) -_xll.DBRW(Server&amp;Cube1,$F$17,$F$18,$F$19,$F$16,$C$14,$F$15,$F$14,$F$20,K$2,I$1,$C346)</f>
        <v>#VALUE!</v>
      </c>
      <c r="L346" s="221" t="e">
        <f t="shared" ca="1" si="14"/>
        <v>#VALUE!</v>
      </c>
      <c r="M346" s="221" t="e">
        <f t="shared" ref="M346:M409" ca="1" si="18">$L346-$I346</f>
        <v>#VALUE!</v>
      </c>
      <c r="N346" s="226"/>
      <c r="O346" s="221" t="str">
        <f ca="1">_xll.DBRW(Server&amp;Cube1,$F$17,$F$18,$F$19,$F$16,$C$14,$F$15,$F$14,$F$20,O$2,O$1,$C346)</f>
        <v/>
      </c>
      <c r="P346" s="226"/>
      <c r="Q346" s="240" t="str">
        <f ca="1">IF(_xll.ELCOMPN(Server&amp;$C$24,C346)=0,"YES","NO")</f>
        <v>YES</v>
      </c>
      <c r="R346" s="241">
        <v>0</v>
      </c>
      <c r="S346" s="226"/>
      <c r="T346" s="227" t="str">
        <f ca="1">_xll.DBRW(Server&amp;Cube1,$F$17,$F$18,$F$19,$F$16,$C$14,$F$15,$F$14,$F$20,T$2,$T$1,$C346)</f>
        <v/>
      </c>
      <c r="U346" s="227" t="str">
        <f ca="1">_xll.DBRW(Server&amp;Cube1,$F$17,$F$18,$F$19,$F$16,$C$14,$F$15,$F$14,$F$20,U$2,$U$1,$C346)</f>
        <v/>
      </c>
      <c r="V346" s="227" t="str">
        <f ca="1">_xll.DBRW(Server&amp;Cube1,$F$17,$F$18,$F$19,$F$16,$C$14,$F$15,$F$14,$F$20,V$2,V$1,$C346)</f>
        <v/>
      </c>
      <c r="W346" s="227" t="str">
        <f ca="1">_xll.DBRW(Server&amp;Cube1,$F$17,$F$18,$F$19,$F$16,$C$14,$F$15,$F$14,$F$20,W$2,W$1,$C346)</f>
        <v/>
      </c>
      <c r="X346" s="227" t="str">
        <f ca="1">_xll.DBRW(Server&amp;Cube1,$F$17,$F$18,$F$19,$F$16,$C$14,$F$15,$F$14,$F$20,X$2,X$1,$C346)</f>
        <v/>
      </c>
      <c r="Y346" s="227" t="str">
        <f ca="1">_xll.DBRW(Server&amp;Cube1,$F$17,$F$18,$F$19,$F$16,$C$14,$F$15,$F$14,$F$20,Y$2,Y$1,$C346)</f>
        <v/>
      </c>
      <c r="Z346" s="241"/>
      <c r="AA346" s="241"/>
      <c r="AB346" s="241"/>
      <c r="AC346" s="241"/>
      <c r="AD346" s="241"/>
      <c r="AE346" s="241"/>
      <c r="AF346" s="221" t="str">
        <f ca="1">_xll.DBRW(Server&amp;Cube1,$F$17,$F$18,$F$19,$F$16,$C$14,$F$15,$F$14,$F$20,AF$2,$AF$1,$C346)</f>
        <v/>
      </c>
      <c r="AG346" s="53"/>
      <c r="AH346" s="53"/>
      <c r="AI346" s="53"/>
      <c r="AJ346" s="53"/>
      <c r="AK346" s="53"/>
      <c r="AL346" s="53"/>
      <c r="AM346" s="53"/>
      <c r="AN346" s="53"/>
      <c r="AO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:53" s="9" customFormat="1" ht="24" customHeight="1" x14ac:dyDescent="0.35">
      <c r="A347" s="181" t="e">
        <f ca="1">IF($AT$35="YES",1,IF(_xll.ELCOMPN(Server&amp;$C$24,C347)&lt;&gt;0,1,IF(OR(B347=$AZ$35,B347="ALL"),1,0)))</f>
        <v>#VALUE!</v>
      </c>
      <c r="B347" s="163" t="str">
        <f t="shared" si="15"/>
        <v>LE</v>
      </c>
      <c r="C347" s="158" t="s">
        <v>403</v>
      </c>
      <c r="E347" s="268" t="str">
        <f ca="1">_xll.DBRA(Server&amp;$C$24,$C347,$F$21)</f>
        <v>Location Appartement de fonction (JU)</v>
      </c>
      <c r="F347" s="268"/>
      <c r="G347" s="268"/>
      <c r="H347" s="40"/>
      <c r="I347" s="221" t="str">
        <f ca="1">_xll.DBRW(Server&amp;Cube1,$F$17,$F$18,$F$19,$F$16,$C$14,$F$15,$F$14,$F$20,I$2,I$1,$C347)</f>
        <v/>
      </c>
      <c r="J347" s="221" t="str">
        <f ca="1">_xll.DBRW(Server&amp;Cube1,$F$17,$F$18,$F$19,$F$16,$C$14,$F$15,$F$14,$F$20,J$2,J$1,$C347)</f>
        <v/>
      </c>
      <c r="K347" s="221" t="e">
        <f ca="1">_xll.DBRW(Server&amp;Cube1,$F$17,$F$18,$F$19,$F$16,$C$14,$F$15,$F$14,$F$20,I$2,I$1,$C347) -_xll.DBRW(Server&amp;Cube1,$F$17,$F$18,$F$19,$F$16,$C$14,$F$15,$F$14,$F$20,K$2,I$1,$C347)</f>
        <v>#VALUE!</v>
      </c>
      <c r="L347" s="221" t="e">
        <f t="shared" ca="1" si="14"/>
        <v>#VALUE!</v>
      </c>
      <c r="M347" s="221" t="e">
        <f t="shared" ca="1" si="18"/>
        <v>#VALUE!</v>
      </c>
      <c r="N347" s="226"/>
      <c r="O347" s="221" t="str">
        <f ca="1">_xll.DBRW(Server&amp;Cube1,$F$17,$F$18,$F$19,$F$16,$C$14,$F$15,$F$14,$F$20,O$2,O$1,$C347)</f>
        <v/>
      </c>
      <c r="P347" s="226"/>
      <c r="Q347" s="240" t="str">
        <f ca="1">IF(_xll.ELCOMPN(Server&amp;$C$24,C347)=0,"YES","NO")</f>
        <v>YES</v>
      </c>
      <c r="R347" s="241">
        <v>0</v>
      </c>
      <c r="S347" s="226"/>
      <c r="T347" s="227" t="str">
        <f ca="1">_xll.DBRW(Server&amp;Cube1,$F$17,$F$18,$F$19,$F$16,$C$14,$F$15,$F$14,$F$20,T$2,$T$1,$C347)</f>
        <v/>
      </c>
      <c r="U347" s="227" t="str">
        <f ca="1">_xll.DBRW(Server&amp;Cube1,$F$17,$F$18,$F$19,$F$16,$C$14,$F$15,$F$14,$F$20,U$2,$U$1,$C347)</f>
        <v/>
      </c>
      <c r="V347" s="227" t="str">
        <f ca="1">_xll.DBRW(Server&amp;Cube1,$F$17,$F$18,$F$19,$F$16,$C$14,$F$15,$F$14,$F$20,V$2,V$1,$C347)</f>
        <v/>
      </c>
      <c r="W347" s="227" t="str">
        <f ca="1">_xll.DBRW(Server&amp;Cube1,$F$17,$F$18,$F$19,$F$16,$C$14,$F$15,$F$14,$F$20,W$2,W$1,$C347)</f>
        <v/>
      </c>
      <c r="X347" s="227" t="str">
        <f ca="1">_xll.DBRW(Server&amp;Cube1,$F$17,$F$18,$F$19,$F$16,$C$14,$F$15,$F$14,$F$20,X$2,X$1,$C347)</f>
        <v/>
      </c>
      <c r="Y347" s="227" t="str">
        <f ca="1">_xll.DBRW(Server&amp;Cube1,$F$17,$F$18,$F$19,$F$16,$C$14,$F$15,$F$14,$F$20,Y$2,Y$1,$C347)</f>
        <v/>
      </c>
      <c r="Z347" s="241"/>
      <c r="AA347" s="241"/>
      <c r="AB347" s="241"/>
      <c r="AC347" s="241"/>
      <c r="AD347" s="241"/>
      <c r="AE347" s="241"/>
      <c r="AF347" s="221" t="str">
        <f ca="1">_xll.DBRW(Server&amp;Cube1,$F$17,$F$18,$F$19,$F$16,$C$14,$F$15,$F$14,$F$20,AF$2,$AF$1,$C347)</f>
        <v/>
      </c>
      <c r="AG347" s="53"/>
      <c r="AH347" s="53"/>
      <c r="AI347" s="53"/>
      <c r="AJ347" s="53"/>
      <c r="AK347" s="53"/>
      <c r="AL347" s="53"/>
      <c r="AM347" s="53"/>
      <c r="AN347" s="53"/>
      <c r="AO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:53" s="9" customFormat="1" ht="24" customHeight="1" x14ac:dyDescent="0.35">
      <c r="A348" s="181" t="e">
        <f ca="1">IF($AT$35="YES",1,IF(_xll.ELCOMPN(Server&amp;$C$24,C348)&lt;&gt;0,1,IF(OR(B348=$AZ$35,B348="ALL"),1,0)))</f>
        <v>#VALUE!</v>
      </c>
      <c r="B348" s="163" t="str">
        <f t="shared" si="15"/>
        <v>RM</v>
      </c>
      <c r="C348" s="158" t="s">
        <v>404</v>
      </c>
      <c r="E348" s="268" t="str">
        <f ca="1">_xll.DBRA(Server&amp;$C$24,$C348,$F$21)</f>
        <v>Location Appartement de fonction (GR)</v>
      </c>
      <c r="F348" s="268"/>
      <c r="G348" s="268"/>
      <c r="H348" s="40"/>
      <c r="I348" s="221" t="str">
        <f ca="1">_xll.DBRW(Server&amp;Cube1,$F$17,$F$18,$F$19,$F$16,$C$14,$F$15,$F$14,$F$20,I$2,I$1,$C348)</f>
        <v/>
      </c>
      <c r="J348" s="221" t="str">
        <f ca="1">_xll.DBRW(Server&amp;Cube1,$F$17,$F$18,$F$19,$F$16,$C$14,$F$15,$F$14,$F$20,J$2,J$1,$C348)</f>
        <v/>
      </c>
      <c r="K348" s="221" t="e">
        <f ca="1">_xll.DBRW(Server&amp;Cube1,$F$17,$F$18,$F$19,$F$16,$C$14,$F$15,$F$14,$F$20,I$2,I$1,$C348) -_xll.DBRW(Server&amp;Cube1,$F$17,$F$18,$F$19,$F$16,$C$14,$F$15,$F$14,$F$20,K$2,I$1,$C348)</f>
        <v>#VALUE!</v>
      </c>
      <c r="L348" s="221" t="e">
        <f t="shared" ca="1" si="14"/>
        <v>#VALUE!</v>
      </c>
      <c r="M348" s="221" t="e">
        <f t="shared" ca="1" si="18"/>
        <v>#VALUE!</v>
      </c>
      <c r="N348" s="226"/>
      <c r="O348" s="221" t="str">
        <f ca="1">_xll.DBRW(Server&amp;Cube1,$F$17,$F$18,$F$19,$F$16,$C$14,$F$15,$F$14,$F$20,O$2,O$1,$C348)</f>
        <v/>
      </c>
      <c r="P348" s="226"/>
      <c r="Q348" s="240" t="str">
        <f ca="1">IF(_xll.ELCOMPN(Server&amp;$C$24,C348)=0,"YES","NO")</f>
        <v>YES</v>
      </c>
      <c r="R348" s="241">
        <v>0</v>
      </c>
      <c r="S348" s="226"/>
      <c r="T348" s="227" t="str">
        <f ca="1">_xll.DBRW(Server&amp;Cube1,$F$17,$F$18,$F$19,$F$16,$C$14,$F$15,$F$14,$F$20,T$2,$T$1,$C348)</f>
        <v/>
      </c>
      <c r="U348" s="227" t="str">
        <f ca="1">_xll.DBRW(Server&amp;Cube1,$F$17,$F$18,$F$19,$F$16,$C$14,$F$15,$F$14,$F$20,U$2,$U$1,$C348)</f>
        <v/>
      </c>
      <c r="V348" s="227" t="str">
        <f ca="1">_xll.DBRW(Server&amp;Cube1,$F$17,$F$18,$F$19,$F$16,$C$14,$F$15,$F$14,$F$20,V$2,V$1,$C348)</f>
        <v/>
      </c>
      <c r="W348" s="227" t="str">
        <f ca="1">_xll.DBRW(Server&amp;Cube1,$F$17,$F$18,$F$19,$F$16,$C$14,$F$15,$F$14,$F$20,W$2,W$1,$C348)</f>
        <v/>
      </c>
      <c r="X348" s="227" t="str">
        <f ca="1">_xll.DBRW(Server&amp;Cube1,$F$17,$F$18,$F$19,$F$16,$C$14,$F$15,$F$14,$F$20,X$2,X$1,$C348)</f>
        <v/>
      </c>
      <c r="Y348" s="227" t="str">
        <f ca="1">_xll.DBRW(Server&amp;Cube1,$F$17,$F$18,$F$19,$F$16,$C$14,$F$15,$F$14,$F$20,Y$2,Y$1,$C348)</f>
        <v/>
      </c>
      <c r="Z348" s="241"/>
      <c r="AA348" s="241"/>
      <c r="AB348" s="241"/>
      <c r="AC348" s="241"/>
      <c r="AD348" s="241"/>
      <c r="AE348" s="241"/>
      <c r="AF348" s="221" t="str">
        <f ca="1">_xll.DBRW(Server&amp;Cube1,$F$17,$F$18,$F$19,$F$16,$C$14,$F$15,$F$14,$F$20,AF$2,$AF$1,$C348)</f>
        <v/>
      </c>
      <c r="AG348" s="53"/>
      <c r="AH348" s="53"/>
      <c r="AI348" s="53"/>
      <c r="AJ348" s="53"/>
      <c r="AK348" s="53"/>
      <c r="AL348" s="53"/>
      <c r="AM348" s="53"/>
      <c r="AN348" s="53"/>
      <c r="AO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:53" s="9" customFormat="1" ht="24" customHeight="1" x14ac:dyDescent="0.35">
      <c r="A349" s="181" t="e">
        <f ca="1">IF($AT$35="YES",1,IF(_xll.ELCOMPN(Server&amp;$C$24,C349)&lt;&gt;0,1,IF(OR(B349=$AZ$35,B349="ALL"),1,0)))</f>
        <v>#VALUE!</v>
      </c>
      <c r="B349" s="163" t="str">
        <f t="shared" si="15"/>
        <v>PU</v>
      </c>
      <c r="C349" s="158" t="s">
        <v>405</v>
      </c>
      <c r="E349" s="268" t="str">
        <f ca="1">_xll.DBRA(Server&amp;$C$24,$C349,$F$21)</f>
        <v>Location Appartement de fonction (AC)</v>
      </c>
      <c r="F349" s="268"/>
      <c r="G349" s="268"/>
      <c r="H349" s="40"/>
      <c r="I349" s="221" t="str">
        <f ca="1">_xll.DBRW(Server&amp;Cube1,$F$17,$F$18,$F$19,$F$16,$C$14,$F$15,$F$14,$F$20,I$2,I$1,$C349)</f>
        <v/>
      </c>
      <c r="J349" s="221" t="str">
        <f ca="1">_xll.DBRW(Server&amp;Cube1,$F$17,$F$18,$F$19,$F$16,$C$14,$F$15,$F$14,$F$20,J$2,J$1,$C349)</f>
        <v/>
      </c>
      <c r="K349" s="221" t="e">
        <f ca="1">_xll.DBRW(Server&amp;Cube1,$F$17,$F$18,$F$19,$F$16,$C$14,$F$15,$F$14,$F$20,I$2,I$1,$C349) -_xll.DBRW(Server&amp;Cube1,$F$17,$F$18,$F$19,$F$16,$C$14,$F$15,$F$14,$F$20,K$2,I$1,$C349)</f>
        <v>#VALUE!</v>
      </c>
      <c r="L349" s="221" t="e">
        <f t="shared" ca="1" si="14"/>
        <v>#VALUE!</v>
      </c>
      <c r="M349" s="221" t="e">
        <f t="shared" ca="1" si="18"/>
        <v>#VALUE!</v>
      </c>
      <c r="N349" s="226"/>
      <c r="O349" s="221" t="str">
        <f ca="1">_xll.DBRW(Server&amp;Cube1,$F$17,$F$18,$F$19,$F$16,$C$14,$F$15,$F$14,$F$20,O$2,O$1,$C349)</f>
        <v/>
      </c>
      <c r="P349" s="226"/>
      <c r="Q349" s="240" t="str">
        <f ca="1">IF(_xll.ELCOMPN(Server&amp;$C$24,C349)=0,"YES","NO")</f>
        <v>YES</v>
      </c>
      <c r="R349" s="241">
        <v>0</v>
      </c>
      <c r="S349" s="226"/>
      <c r="T349" s="227" t="str">
        <f ca="1">_xll.DBRW(Server&amp;Cube1,$F$17,$F$18,$F$19,$F$16,$C$14,$F$15,$F$14,$F$20,T$2,$T$1,$C349)</f>
        <v/>
      </c>
      <c r="U349" s="227" t="str">
        <f ca="1">_xll.DBRW(Server&amp;Cube1,$F$17,$F$18,$F$19,$F$16,$C$14,$F$15,$F$14,$F$20,U$2,$U$1,$C349)</f>
        <v/>
      </c>
      <c r="V349" s="227" t="str">
        <f ca="1">_xll.DBRW(Server&amp;Cube1,$F$17,$F$18,$F$19,$F$16,$C$14,$F$15,$F$14,$F$20,V$2,V$1,$C349)</f>
        <v/>
      </c>
      <c r="W349" s="227" t="str">
        <f ca="1">_xll.DBRW(Server&amp;Cube1,$F$17,$F$18,$F$19,$F$16,$C$14,$F$15,$F$14,$F$20,W$2,W$1,$C349)</f>
        <v/>
      </c>
      <c r="X349" s="227" t="str">
        <f ca="1">_xll.DBRW(Server&amp;Cube1,$F$17,$F$18,$F$19,$F$16,$C$14,$F$15,$F$14,$F$20,X$2,X$1,$C349)</f>
        <v/>
      </c>
      <c r="Y349" s="227" t="str">
        <f ca="1">_xll.DBRW(Server&amp;Cube1,$F$17,$F$18,$F$19,$F$16,$C$14,$F$15,$F$14,$F$20,Y$2,Y$1,$C349)</f>
        <v/>
      </c>
      <c r="Z349" s="241"/>
      <c r="AA349" s="241"/>
      <c r="AB349" s="241"/>
      <c r="AC349" s="241"/>
      <c r="AD349" s="241"/>
      <c r="AE349" s="241"/>
      <c r="AF349" s="221" t="str">
        <f ca="1">_xll.DBRW(Server&amp;Cube1,$F$17,$F$18,$F$19,$F$16,$C$14,$F$15,$F$14,$F$20,AF$2,$AF$1,$C349)</f>
        <v/>
      </c>
      <c r="AG349" s="53"/>
      <c r="AH349" s="53"/>
      <c r="AI349" s="53"/>
      <c r="AJ349" s="53"/>
      <c r="AK349" s="53"/>
      <c r="AL349" s="53"/>
      <c r="AM349" s="53"/>
      <c r="AN349" s="53"/>
      <c r="AO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:53" s="9" customFormat="1" ht="24" customHeight="1" x14ac:dyDescent="0.35">
      <c r="A350" s="181" t="e">
        <f ca="1">IF($AT$35="YES",1,IF(_xll.ELCOMPN(Server&amp;$C$24,C350)&lt;&gt;0,1,IF(OR(B350=$AZ$35,B350="ALL"),1,0)))</f>
        <v>#VALUE!</v>
      </c>
      <c r="B350" s="163" t="str">
        <f t="shared" si="15"/>
        <v>CO</v>
      </c>
      <c r="C350" s="158" t="s">
        <v>406</v>
      </c>
      <c r="E350" s="268" t="str">
        <f ca="1">_xll.DBRA(Server&amp;$C$24,$C350,$F$21)</f>
        <v>Location Appartement de fonction (CO)</v>
      </c>
      <c r="F350" s="268"/>
      <c r="G350" s="268"/>
      <c r="H350" s="40"/>
      <c r="I350" s="221" t="str">
        <f ca="1">_xll.DBRW(Server&amp;Cube1,$F$17,$F$18,$F$19,$F$16,$C$14,$F$15,$F$14,$F$20,I$2,I$1,$C350)</f>
        <v/>
      </c>
      <c r="J350" s="221" t="str">
        <f ca="1">_xll.DBRW(Server&amp;Cube1,$F$17,$F$18,$F$19,$F$16,$C$14,$F$15,$F$14,$F$20,J$2,J$1,$C350)</f>
        <v/>
      </c>
      <c r="K350" s="221" t="e">
        <f ca="1">_xll.DBRW(Server&amp;Cube1,$F$17,$F$18,$F$19,$F$16,$C$14,$F$15,$F$14,$F$20,I$2,I$1,$C350) -_xll.DBRW(Server&amp;Cube1,$F$17,$F$18,$F$19,$F$16,$C$14,$F$15,$F$14,$F$20,K$2,I$1,$C350)</f>
        <v>#VALUE!</v>
      </c>
      <c r="L350" s="221" t="e">
        <f t="shared" ca="1" si="14"/>
        <v>#VALUE!</v>
      </c>
      <c r="M350" s="221" t="e">
        <f t="shared" ca="1" si="18"/>
        <v>#VALUE!</v>
      </c>
      <c r="N350" s="226"/>
      <c r="O350" s="221" t="str">
        <f ca="1">_xll.DBRW(Server&amp;Cube1,$F$17,$F$18,$F$19,$F$16,$C$14,$F$15,$F$14,$F$20,O$2,O$1,$C350)</f>
        <v/>
      </c>
      <c r="P350" s="226"/>
      <c r="Q350" s="240" t="str">
        <f ca="1">IF(_xll.ELCOMPN(Server&amp;$C$24,C350)=0,"YES","NO")</f>
        <v>YES</v>
      </c>
      <c r="R350" s="241">
        <v>0</v>
      </c>
      <c r="S350" s="226"/>
      <c r="T350" s="227" t="str">
        <f ca="1">_xll.DBRW(Server&amp;Cube1,$F$17,$F$18,$F$19,$F$16,$C$14,$F$15,$F$14,$F$20,T$2,$T$1,$C350)</f>
        <v/>
      </c>
      <c r="U350" s="227" t="str">
        <f ca="1">_xll.DBRW(Server&amp;Cube1,$F$17,$F$18,$F$19,$F$16,$C$14,$F$15,$F$14,$F$20,U$2,$U$1,$C350)</f>
        <v/>
      </c>
      <c r="V350" s="227" t="str">
        <f ca="1">_xll.DBRW(Server&amp;Cube1,$F$17,$F$18,$F$19,$F$16,$C$14,$F$15,$F$14,$F$20,V$2,V$1,$C350)</f>
        <v/>
      </c>
      <c r="W350" s="227" t="str">
        <f ca="1">_xll.DBRW(Server&amp;Cube1,$F$17,$F$18,$F$19,$F$16,$C$14,$F$15,$F$14,$F$20,W$2,W$1,$C350)</f>
        <v/>
      </c>
      <c r="X350" s="227" t="str">
        <f ca="1">_xll.DBRW(Server&amp;Cube1,$F$17,$F$18,$F$19,$F$16,$C$14,$F$15,$F$14,$F$20,X$2,X$1,$C350)</f>
        <v/>
      </c>
      <c r="Y350" s="227" t="str">
        <f ca="1">_xll.DBRW(Server&amp;Cube1,$F$17,$F$18,$F$19,$F$16,$C$14,$F$15,$F$14,$F$20,Y$2,Y$1,$C350)</f>
        <v/>
      </c>
      <c r="Z350" s="241"/>
      <c r="AA350" s="241"/>
      <c r="AB350" s="241"/>
      <c r="AC350" s="241"/>
      <c r="AD350" s="241"/>
      <c r="AE350" s="241"/>
      <c r="AF350" s="221" t="str">
        <f ca="1">_xll.DBRW(Server&amp;Cube1,$F$17,$F$18,$F$19,$F$16,$C$14,$F$15,$F$14,$F$20,AF$2,$AF$1,$C350)</f>
        <v/>
      </c>
      <c r="AG350" s="53"/>
      <c r="AH350" s="53"/>
      <c r="AI350" s="53"/>
      <c r="AJ350" s="53"/>
      <c r="AK350" s="53"/>
      <c r="AL350" s="53"/>
      <c r="AM350" s="53"/>
      <c r="AN350" s="53"/>
      <c r="AO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:53" s="9" customFormat="1" ht="24" customHeight="1" x14ac:dyDescent="0.35">
      <c r="A351" s="181" t="e">
        <f ca="1">IF($AT$35="YES",1,IF(_xll.ELCOMPN(Server&amp;$C$24,C351)&lt;&gt;0,1,IF(OR(B351=$AZ$35,B351="ALL"),1,0)))</f>
        <v>#VALUE!</v>
      </c>
      <c r="B351" s="163" t="str">
        <f t="shared" si="15"/>
        <v>GS</v>
      </c>
      <c r="C351" s="158" t="s">
        <v>407</v>
      </c>
      <c r="E351" s="268" t="str">
        <f ca="1">_xll.DBRA(Server&amp;$C$24,$C351,$F$21)</f>
        <v>Location Appartement de fonction (SG)</v>
      </c>
      <c r="F351" s="268"/>
      <c r="G351" s="268"/>
      <c r="H351" s="40"/>
      <c r="I351" s="221" t="str">
        <f ca="1">_xll.DBRW(Server&amp;Cube1,$F$17,$F$18,$F$19,$F$16,$C$14,$F$15,$F$14,$F$20,I$2,I$1,$C351)</f>
        <v/>
      </c>
      <c r="J351" s="221" t="str">
        <f ca="1">_xll.DBRW(Server&amp;Cube1,$F$17,$F$18,$F$19,$F$16,$C$14,$F$15,$F$14,$F$20,J$2,J$1,$C351)</f>
        <v/>
      </c>
      <c r="K351" s="221" t="e">
        <f ca="1">_xll.DBRW(Server&amp;Cube1,$F$17,$F$18,$F$19,$F$16,$C$14,$F$15,$F$14,$F$20,I$2,I$1,$C351) -_xll.DBRW(Server&amp;Cube1,$F$17,$F$18,$F$19,$F$16,$C$14,$F$15,$F$14,$F$20,K$2,I$1,$C351)</f>
        <v>#VALUE!</v>
      </c>
      <c r="L351" s="221" t="e">
        <f t="shared" ca="1" si="14"/>
        <v>#VALUE!</v>
      </c>
      <c r="M351" s="221" t="e">
        <f t="shared" ca="1" si="18"/>
        <v>#VALUE!</v>
      </c>
      <c r="N351" s="226"/>
      <c r="O351" s="221" t="str">
        <f ca="1">_xll.DBRW(Server&amp;Cube1,$F$17,$F$18,$F$19,$F$16,$C$14,$F$15,$F$14,$F$20,O$2,O$1,$C351)</f>
        <v/>
      </c>
      <c r="P351" s="226"/>
      <c r="Q351" s="240" t="str">
        <f ca="1">IF(_xll.ELCOMPN(Server&amp;$C$24,C351)=0,"YES","NO")</f>
        <v>YES</v>
      </c>
      <c r="R351" s="241">
        <v>0</v>
      </c>
      <c r="S351" s="226"/>
      <c r="T351" s="227" t="str">
        <f ca="1">_xll.DBRW(Server&amp;Cube1,$F$17,$F$18,$F$19,$F$16,$C$14,$F$15,$F$14,$F$20,T$2,$T$1,$C351)</f>
        <v/>
      </c>
      <c r="U351" s="227" t="str">
        <f ca="1">_xll.DBRW(Server&amp;Cube1,$F$17,$F$18,$F$19,$F$16,$C$14,$F$15,$F$14,$F$20,U$2,$U$1,$C351)</f>
        <v/>
      </c>
      <c r="V351" s="227" t="str">
        <f ca="1">_xll.DBRW(Server&amp;Cube1,$F$17,$F$18,$F$19,$F$16,$C$14,$F$15,$F$14,$F$20,V$2,V$1,$C351)</f>
        <v/>
      </c>
      <c r="W351" s="227" t="str">
        <f ca="1">_xll.DBRW(Server&amp;Cube1,$F$17,$F$18,$F$19,$F$16,$C$14,$F$15,$F$14,$F$20,W$2,W$1,$C351)</f>
        <v/>
      </c>
      <c r="X351" s="227" t="str">
        <f ca="1">_xll.DBRW(Server&amp;Cube1,$F$17,$F$18,$F$19,$F$16,$C$14,$F$15,$F$14,$F$20,X$2,X$1,$C351)</f>
        <v/>
      </c>
      <c r="Y351" s="227" t="str">
        <f ca="1">_xll.DBRW(Server&amp;Cube1,$F$17,$F$18,$F$19,$F$16,$C$14,$F$15,$F$14,$F$20,Y$2,Y$1,$C351)</f>
        <v/>
      </c>
      <c r="Z351" s="241"/>
      <c r="AA351" s="241"/>
      <c r="AB351" s="241"/>
      <c r="AC351" s="241"/>
      <c r="AD351" s="241"/>
      <c r="AE351" s="241"/>
      <c r="AF351" s="221" t="str">
        <f ca="1">_xll.DBRW(Server&amp;Cube1,$F$17,$F$18,$F$19,$F$16,$C$14,$F$15,$F$14,$F$20,AF$2,$AF$1,$C351)</f>
        <v/>
      </c>
      <c r="AG351" s="53"/>
      <c r="AH351" s="53"/>
      <c r="AI351" s="53"/>
      <c r="AJ351" s="53"/>
      <c r="AK351" s="53"/>
      <c r="AL351" s="53"/>
      <c r="AM351" s="53"/>
      <c r="AN351" s="53"/>
      <c r="AO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:53" s="9" customFormat="1" ht="24" customHeight="1" x14ac:dyDescent="0.35">
      <c r="A352" s="181" t="e">
        <f ca="1">IF($AT$35="YES",1,IF(_xll.ELCOMPN(Server&amp;$C$24,C352)&lt;&gt;0,1,IF(OR(B352=$AZ$35,B352="ALL"),1,0)))</f>
        <v>#VALUE!</v>
      </c>
      <c r="B352" s="163" t="str">
        <f t="shared" si="15"/>
        <v>RD</v>
      </c>
      <c r="C352" s="158" t="s">
        <v>408</v>
      </c>
      <c r="E352" s="268" t="str">
        <f ca="1">_xll.DBRA(Server&amp;$C$24,$C352,$F$21)</f>
        <v>Location Appartement de fonction (RD)</v>
      </c>
      <c r="F352" s="268"/>
      <c r="G352" s="268"/>
      <c r="H352" s="40"/>
      <c r="I352" s="221" t="str">
        <f ca="1">_xll.DBRW(Server&amp;Cube1,$F$17,$F$18,$F$19,$F$16,$C$14,$F$15,$F$14,$F$20,I$2,I$1,$C352)</f>
        <v/>
      </c>
      <c r="J352" s="221" t="str">
        <f ca="1">_xll.DBRW(Server&amp;Cube1,$F$17,$F$18,$F$19,$F$16,$C$14,$F$15,$F$14,$F$20,J$2,J$1,$C352)</f>
        <v/>
      </c>
      <c r="K352" s="221" t="e">
        <f ca="1">_xll.DBRW(Server&amp;Cube1,$F$17,$F$18,$F$19,$F$16,$C$14,$F$15,$F$14,$F$20,I$2,I$1,$C352) -_xll.DBRW(Server&amp;Cube1,$F$17,$F$18,$F$19,$F$16,$C$14,$F$15,$F$14,$F$20,K$2,I$1,$C352)</f>
        <v>#VALUE!</v>
      </c>
      <c r="L352" s="221" t="e">
        <f t="shared" ref="L352:L415" ca="1" si="19">$K352+$J352</f>
        <v>#VALUE!</v>
      </c>
      <c r="M352" s="221" t="e">
        <f t="shared" ca="1" si="18"/>
        <v>#VALUE!</v>
      </c>
      <c r="N352" s="226"/>
      <c r="O352" s="221" t="str">
        <f ca="1">_xll.DBRW(Server&amp;Cube1,$F$17,$F$18,$F$19,$F$16,$C$14,$F$15,$F$14,$F$20,O$2,O$1,$C352)</f>
        <v/>
      </c>
      <c r="P352" s="226"/>
      <c r="Q352" s="240" t="str">
        <f ca="1">IF(_xll.ELCOMPN(Server&amp;$C$24,C352)=0,"YES","NO")</f>
        <v>YES</v>
      </c>
      <c r="R352" s="241">
        <v>0</v>
      </c>
      <c r="S352" s="226"/>
      <c r="T352" s="227" t="str">
        <f ca="1">_xll.DBRW(Server&amp;Cube1,$F$17,$F$18,$F$19,$F$16,$C$14,$F$15,$F$14,$F$20,T$2,$T$1,$C352)</f>
        <v/>
      </c>
      <c r="U352" s="227" t="str">
        <f ca="1">_xll.DBRW(Server&amp;Cube1,$F$17,$F$18,$F$19,$F$16,$C$14,$F$15,$F$14,$F$20,U$2,$U$1,$C352)</f>
        <v/>
      </c>
      <c r="V352" s="227" t="str">
        <f ca="1">_xll.DBRW(Server&amp;Cube1,$F$17,$F$18,$F$19,$F$16,$C$14,$F$15,$F$14,$F$20,V$2,V$1,$C352)</f>
        <v/>
      </c>
      <c r="W352" s="227" t="str">
        <f ca="1">_xll.DBRW(Server&amp;Cube1,$F$17,$F$18,$F$19,$F$16,$C$14,$F$15,$F$14,$F$20,W$2,W$1,$C352)</f>
        <v/>
      </c>
      <c r="X352" s="227" t="str">
        <f ca="1">_xll.DBRW(Server&amp;Cube1,$F$17,$F$18,$F$19,$F$16,$C$14,$F$15,$F$14,$F$20,X$2,X$1,$C352)</f>
        <v/>
      </c>
      <c r="Y352" s="227" t="str">
        <f ca="1">_xll.DBRW(Server&amp;Cube1,$F$17,$F$18,$F$19,$F$16,$C$14,$F$15,$F$14,$F$20,Y$2,Y$1,$C352)</f>
        <v/>
      </c>
      <c r="Z352" s="241"/>
      <c r="AA352" s="241"/>
      <c r="AB352" s="241"/>
      <c r="AC352" s="241"/>
      <c r="AD352" s="241"/>
      <c r="AE352" s="241"/>
      <c r="AF352" s="221" t="str">
        <f ca="1">_xll.DBRW(Server&amp;Cube1,$F$17,$F$18,$F$19,$F$16,$C$14,$F$15,$F$14,$F$20,AF$2,$AF$1,$C352)</f>
        <v/>
      </c>
      <c r="AG352" s="53"/>
      <c r="AH352" s="53"/>
      <c r="AI352" s="53"/>
      <c r="AJ352" s="53"/>
      <c r="AK352" s="53"/>
      <c r="AL352" s="53"/>
      <c r="AM352" s="53"/>
      <c r="AN352" s="53"/>
      <c r="AO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:53" s="9" customFormat="1" ht="24" customHeight="1" x14ac:dyDescent="0.35">
      <c r="A353" s="181">
        <f ca="1">IF($AT$35="YES",1,IF(_xll.ELCOMPN(Server&amp;$C$24,C353)&lt;&gt;0,1,IF(OR(B353=$AZ$35,B353="ALL"),1,0)))</f>
        <v>1</v>
      </c>
      <c r="B353" s="163" t="str">
        <f t="shared" si="15"/>
        <v>mo</v>
      </c>
      <c r="C353" s="117" t="s">
        <v>117</v>
      </c>
      <c r="E353" s="98" t="s">
        <v>102</v>
      </c>
      <c r="F353" s="98"/>
      <c r="G353" s="98"/>
      <c r="H353" s="40"/>
      <c r="I353" s="221" t="str">
        <f ca="1">_xll.DBRW(Server&amp;Cube1,$F$17,$F$18,$F$19,$F$16,$C$14,$F$15,$F$14,$F$20,I$2,I$1,$C353)</f>
        <v/>
      </c>
      <c r="J353" s="221" t="str">
        <f ca="1">_xll.DBRW(Server&amp;Cube1,$F$17,$F$18,$F$19,$F$16,$C$14,$F$15,$F$14,$F$20,J$2,J$1,$C353)</f>
        <v/>
      </c>
      <c r="K353" s="221" t="e">
        <f ca="1">_xll.DBRW(Server&amp;Cube1,$F$17,$F$18,$F$19,$F$16,$C$14,$F$15,$F$14,$F$20,I$2,I$1,$C353) -_xll.DBRW(Server&amp;Cube1,$F$17,$F$18,$F$19,$F$16,$C$14,$F$15,$F$14,$F$20,K$2,I$1,$C353)</f>
        <v>#VALUE!</v>
      </c>
      <c r="L353" s="221" t="e">
        <f t="shared" ca="1" si="19"/>
        <v>#VALUE!</v>
      </c>
      <c r="M353" s="221" t="e">
        <f t="shared" ca="1" si="18"/>
        <v>#VALUE!</v>
      </c>
      <c r="N353" s="229"/>
      <c r="O353" s="229" t="str">
        <f ca="1">_xll.DBRW(Server&amp;Cube1,$F$17,$F$18,$F$19,$F$16,$C$14,$F$15,$F$14,$F$20,O$2,O$1,$C353)</f>
        <v/>
      </c>
      <c r="P353" s="229"/>
      <c r="Q353" s="240" t="str">
        <f ca="1">IF(_xll.ELCOMPN(Server&amp;$C$24,C353)=0,"YES","NO")</f>
        <v>NO</v>
      </c>
      <c r="R353" s="229"/>
      <c r="S353" s="229"/>
      <c r="T353" s="230" t="str">
        <f ca="1">_xll.DBRW(Server&amp;Cube1,$F$17,$F$18,$F$19,$F$16,$C$14,$F$15,$F$14,$F$20,T$2,$T$1,$C353)</f>
        <v/>
      </c>
      <c r="U353" s="230" t="str">
        <f ca="1">_xll.DBRW(Server&amp;Cube1,$F$17,$F$18,$F$19,$F$16,$C$14,$F$15,$F$14,$F$20,U$2,$U$1,$C353)</f>
        <v/>
      </c>
      <c r="V353" s="230" t="str">
        <f ca="1">_xll.DBRW(Server&amp;Cube1,$F$17,$F$18,$F$19,$F$16,$C$14,$F$15,$F$14,$F$20,V$2,V$1,$C353)</f>
        <v/>
      </c>
      <c r="W353" s="230" t="str">
        <f ca="1">_xll.DBRW(Server&amp;Cube1,$F$17,$F$18,$F$19,$F$16,$C$14,$F$15,$F$14,$F$20,W$2,W$1,$C353)</f>
        <v/>
      </c>
      <c r="X353" s="229" t="str">
        <f ca="1">_xll.DBRW(Server&amp;Cube1,$F$17,$F$18,$F$19,$F$16,$C$14,$F$15,$F$14,$F$20,X$2,X$1,$C353)</f>
        <v/>
      </c>
      <c r="Y353" s="229" t="str">
        <f ca="1">_xll.DBRW(Server&amp;Cube1,$F$17,$F$18,$F$19,$F$16,$C$14,$F$15,$F$14,$F$20,Y$2,Y$1,$C353)</f>
        <v/>
      </c>
      <c r="Z353" s="229" t="str">
        <f ca="1">_xll.DBRW(Server&amp;Cube1,$F$17,$F$18,$F$19,$F$16,$C$14,$F$15,$F$14,$F$20,Z$2,Z$1,$C353)</f>
        <v/>
      </c>
      <c r="AA353" s="229" t="str">
        <f ca="1">_xll.DBRW(Server&amp;Cube1,$F$17,$F$18,$F$19,$F$16,$C$14,$F$15,$F$14,$F$20,AA$2,AA$1,$C353)</f>
        <v/>
      </c>
      <c r="AB353" s="229" t="str">
        <f ca="1">_xll.DBRW(Server&amp;Cube1,$F$17,$F$18,$F$19,$F$16,$C$14,$F$15,$F$14,$F$20,AB$2,AB$1,$C353)</f>
        <v/>
      </c>
      <c r="AC353" s="229" t="str">
        <f ca="1">_xll.DBRW(Server&amp;Cube1,$F$17,$F$18,$F$19,$F$16,$C$14,$F$15,$F$14,$F$20,AC$2,AC$1,$C353)</f>
        <v/>
      </c>
      <c r="AD353" s="229" t="str">
        <f ca="1">_xll.DBRW(Server&amp;Cube1,$F$17,$F$18,$F$19,$F$16,$C$14,$F$15,$F$14,$F$20,AD$2,AD$1,$C353)</f>
        <v/>
      </c>
      <c r="AE353" s="229" t="str">
        <f ca="1">_xll.DBRW(Server&amp;Cube1,$F$17,$F$18,$F$19,$F$16,$C$14,$F$15,$F$14,$F$20,AE$2,AE$1,$C353)</f>
        <v/>
      </c>
      <c r="AF353" s="229" t="str">
        <f ca="1">_xll.DBRW(Server&amp;Cube1,$F$17,$F$18,$F$19,$F$16,$C$14,$F$15,$F$14,$F$20,AF$2,$AF$1,$C353)</f>
        <v/>
      </c>
      <c r="AG353" s="53"/>
      <c r="AH353" s="53"/>
      <c r="AI353" s="53"/>
      <c r="AJ353" s="53"/>
      <c r="AK353" s="53"/>
      <c r="AL353" s="53"/>
      <c r="AM353" s="53"/>
      <c r="AN353" s="53"/>
      <c r="AO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:53" s="9" customFormat="1" ht="24" customHeight="1" x14ac:dyDescent="0.35">
      <c r="A354" s="181" t="e">
        <f ca="1">IF($AT$35="YES",1,IF(_xll.ELCOMPN(Server&amp;$C$24,C354)&lt;&gt;0,1,IF(OR(B354=$AZ$35,B354="ALL"),1,0)))</f>
        <v>#VALUE!</v>
      </c>
      <c r="B354" s="163" t="str">
        <f t="shared" si="15"/>
        <v>DS</v>
      </c>
      <c r="C354" s="158" t="s">
        <v>409</v>
      </c>
      <c r="E354" s="268" t="str">
        <f ca="1">_xll.DBRA(Server&amp;$C$24,$C354,$F$21)</f>
        <v>Téléphonie mobile (SO)</v>
      </c>
      <c r="F354" s="268"/>
      <c r="G354" s="268"/>
      <c r="H354" s="40"/>
      <c r="I354" s="221" t="str">
        <f ca="1">_xll.DBRW(Server&amp;Cube1,$F$17,$F$18,$F$19,$F$16,$C$14,$F$15,$F$14,$F$20,I$2,I$1,$C354)</f>
        <v/>
      </c>
      <c r="J354" s="221" t="str">
        <f ca="1">_xll.DBRW(Server&amp;Cube1,$F$17,$F$18,$F$19,$F$16,$C$14,$F$15,$F$14,$F$20,J$2,J$1,$C354)</f>
        <v/>
      </c>
      <c r="K354" s="221" t="e">
        <f ca="1">_xll.DBRW(Server&amp;Cube1,$F$17,$F$18,$F$19,$F$16,$C$14,$F$15,$F$14,$F$20,I$2,I$1,$C354) -_xll.DBRW(Server&amp;Cube1,$F$17,$F$18,$F$19,$F$16,$C$14,$F$15,$F$14,$F$20,K$2,I$1,$C354)</f>
        <v>#VALUE!</v>
      </c>
      <c r="L354" s="221" t="e">
        <f t="shared" ca="1" si="19"/>
        <v>#VALUE!</v>
      </c>
      <c r="M354" s="221" t="e">
        <f t="shared" ca="1" si="18"/>
        <v>#VALUE!</v>
      </c>
      <c r="N354" s="226"/>
      <c r="O354" s="221" t="str">
        <f ca="1">_xll.DBRW(Server&amp;Cube1,$F$17,$F$18,$F$19,$F$16,$C$14,$F$15,$F$14,$F$20,O$2,O$1,$C354)</f>
        <v/>
      </c>
      <c r="P354" s="226"/>
      <c r="Q354" s="240" t="str">
        <f ca="1">IF(_xll.ELCOMPN(Server&amp;$C$24,C354)=0,"YES","NO")</f>
        <v>YES</v>
      </c>
      <c r="R354" s="241">
        <v>0</v>
      </c>
      <c r="S354" s="226"/>
      <c r="T354" s="227" t="str">
        <f ca="1">_xll.DBRW(Server&amp;Cube1,$F$17,$F$18,$F$19,$F$16,$C$14,$F$15,$F$14,$F$20,T$2,$T$1,$C354)</f>
        <v/>
      </c>
      <c r="U354" s="227" t="str">
        <f ca="1">_xll.DBRW(Server&amp;Cube1,$F$17,$F$18,$F$19,$F$16,$C$14,$F$15,$F$14,$F$20,U$2,$U$1,$C354)</f>
        <v/>
      </c>
      <c r="V354" s="227" t="str">
        <f ca="1">_xll.DBRW(Server&amp;Cube1,$F$17,$F$18,$F$19,$F$16,$C$14,$F$15,$F$14,$F$20,V$2,V$1,$C354)</f>
        <v/>
      </c>
      <c r="W354" s="227" t="str">
        <f ca="1">_xll.DBRW(Server&amp;Cube1,$F$17,$F$18,$F$19,$F$16,$C$14,$F$15,$F$14,$F$20,W$2,W$1,$C354)</f>
        <v/>
      </c>
      <c r="X354" s="227" t="str">
        <f ca="1">_xll.DBRW(Server&amp;Cube1,$F$17,$F$18,$F$19,$F$16,$C$14,$F$15,$F$14,$F$20,X$2,X$1,$C354)</f>
        <v/>
      </c>
      <c r="Y354" s="227" t="str">
        <f ca="1">_xll.DBRW(Server&amp;Cube1,$F$17,$F$18,$F$19,$F$16,$C$14,$F$15,$F$14,$F$20,Y$2,Y$1,$C354)</f>
        <v/>
      </c>
      <c r="Z354" s="241"/>
      <c r="AA354" s="241"/>
      <c r="AB354" s="241"/>
      <c r="AC354" s="241"/>
      <c r="AD354" s="241"/>
      <c r="AE354" s="241"/>
      <c r="AF354" s="221" t="str">
        <f ca="1">_xll.DBRW(Server&amp;Cube1,$F$17,$F$18,$F$19,$F$16,$C$14,$F$15,$F$14,$F$20,AF$2,$AF$1,$C354)</f>
        <v/>
      </c>
      <c r="AG354" s="53"/>
      <c r="AH354" s="53"/>
      <c r="AI354" s="53"/>
      <c r="AJ354" s="53"/>
      <c r="AK354" s="53"/>
      <c r="AL354" s="53"/>
      <c r="AM354" s="53"/>
      <c r="AN354" s="53"/>
      <c r="AO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:53" s="9" customFormat="1" ht="24" customHeight="1" x14ac:dyDescent="0.35">
      <c r="A355" s="181" t="e">
        <f ca="1">IF($AT$35="YES",1,IF(_xll.ELCOMPN(Server&amp;$C$24,C355)&lt;&gt;0,1,IF(OR(B355=$AZ$35,B355="ALL"),1,0)))</f>
        <v>#VALUE!</v>
      </c>
      <c r="B355" s="163" t="str">
        <f t="shared" si="15"/>
        <v>BD</v>
      </c>
      <c r="C355" s="158" t="s">
        <v>410</v>
      </c>
      <c r="E355" s="268" t="str">
        <f ca="1">_xll.DBRA(Server&amp;$C$24,$C355,$F$21)</f>
        <v>Téléphonie mobile (DC)</v>
      </c>
      <c r="F355" s="268"/>
      <c r="G355" s="268"/>
      <c r="H355" s="40"/>
      <c r="I355" s="221" t="str">
        <f ca="1">_xll.DBRW(Server&amp;Cube1,$F$17,$F$18,$F$19,$F$16,$C$14,$F$15,$F$14,$F$20,I$2,I$1,$C355)</f>
        <v/>
      </c>
      <c r="J355" s="221" t="str">
        <f ca="1">_xll.DBRW(Server&amp;Cube1,$F$17,$F$18,$F$19,$F$16,$C$14,$F$15,$F$14,$F$20,J$2,J$1,$C355)</f>
        <v/>
      </c>
      <c r="K355" s="221" t="e">
        <f ca="1">_xll.DBRW(Server&amp;Cube1,$F$17,$F$18,$F$19,$F$16,$C$14,$F$15,$F$14,$F$20,I$2,I$1,$C355) -_xll.DBRW(Server&amp;Cube1,$F$17,$F$18,$F$19,$F$16,$C$14,$F$15,$F$14,$F$20,K$2,I$1,$C355)</f>
        <v>#VALUE!</v>
      </c>
      <c r="L355" s="221" t="e">
        <f t="shared" ca="1" si="19"/>
        <v>#VALUE!</v>
      </c>
      <c r="M355" s="221" t="e">
        <f t="shared" ca="1" si="18"/>
        <v>#VALUE!</v>
      </c>
      <c r="N355" s="226"/>
      <c r="O355" s="221" t="str">
        <f ca="1">_xll.DBRW(Server&amp;Cube1,$F$17,$F$18,$F$19,$F$16,$C$14,$F$15,$F$14,$F$20,O$2,O$1,$C355)</f>
        <v/>
      </c>
      <c r="P355" s="226"/>
      <c r="Q355" s="240" t="str">
        <f ca="1">IF(_xll.ELCOMPN(Server&amp;$C$24,C355)=0,"YES","NO")</f>
        <v>YES</v>
      </c>
      <c r="R355" s="241">
        <v>0</v>
      </c>
      <c r="S355" s="226"/>
      <c r="T355" s="227" t="str">
        <f ca="1">_xll.DBRW(Server&amp;Cube1,$F$17,$F$18,$F$19,$F$16,$C$14,$F$15,$F$14,$F$20,T$2,$T$1,$C355)</f>
        <v/>
      </c>
      <c r="U355" s="227" t="str">
        <f ca="1">_xll.DBRW(Server&amp;Cube1,$F$17,$F$18,$F$19,$F$16,$C$14,$F$15,$F$14,$F$20,U$2,$U$1,$C355)</f>
        <v/>
      </c>
      <c r="V355" s="227" t="str">
        <f ca="1">_xll.DBRW(Server&amp;Cube1,$F$17,$F$18,$F$19,$F$16,$C$14,$F$15,$F$14,$F$20,V$2,V$1,$C355)</f>
        <v/>
      </c>
      <c r="W355" s="227" t="str">
        <f ca="1">_xll.DBRW(Server&amp;Cube1,$F$17,$F$18,$F$19,$F$16,$C$14,$F$15,$F$14,$F$20,W$2,W$1,$C355)</f>
        <v/>
      </c>
      <c r="X355" s="227" t="str">
        <f ca="1">_xll.DBRW(Server&amp;Cube1,$F$17,$F$18,$F$19,$F$16,$C$14,$F$15,$F$14,$F$20,X$2,X$1,$C355)</f>
        <v/>
      </c>
      <c r="Y355" s="227" t="str">
        <f ca="1">_xll.DBRW(Server&amp;Cube1,$F$17,$F$18,$F$19,$F$16,$C$14,$F$15,$F$14,$F$20,Y$2,Y$1,$C355)</f>
        <v/>
      </c>
      <c r="Z355" s="241"/>
      <c r="AA355" s="241"/>
      <c r="AB355" s="241"/>
      <c r="AC355" s="241"/>
      <c r="AD355" s="241"/>
      <c r="AE355" s="241"/>
      <c r="AF355" s="221" t="str">
        <f ca="1">_xll.DBRW(Server&amp;Cube1,$F$17,$F$18,$F$19,$F$16,$C$14,$F$15,$F$14,$F$20,AF$2,$AF$1,$C355)</f>
        <v/>
      </c>
      <c r="AG355" s="53"/>
      <c r="AH355" s="53"/>
      <c r="AI355" s="53"/>
      <c r="AJ355" s="53"/>
      <c r="AK355" s="53"/>
      <c r="AL355" s="53"/>
      <c r="AM355" s="53"/>
      <c r="AN355" s="53"/>
      <c r="AO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:53" s="9" customFormat="1" ht="24" customHeight="1" x14ac:dyDescent="0.35">
      <c r="A356" s="181" t="e">
        <f ca="1">IF($AT$35="YES",1,IF(_xll.ELCOMPN(Server&amp;$C$24,C356)&lt;&gt;0,1,IF(OR(B356=$AZ$35,B356="ALL"),1,0)))</f>
        <v>#VALUE!</v>
      </c>
      <c r="B356" s="163" t="str">
        <f t="shared" si="15"/>
        <v>FI</v>
      </c>
      <c r="C356" s="158" t="s">
        <v>411</v>
      </c>
      <c r="E356" s="268" t="str">
        <f ca="1">_xll.DBRA(Server&amp;$C$24,$C356,$F$21)</f>
        <v>Téléphonie mobile (DF)</v>
      </c>
      <c r="F356" s="268"/>
      <c r="G356" s="268"/>
      <c r="H356" s="40"/>
      <c r="I356" s="221" t="str">
        <f ca="1">_xll.DBRW(Server&amp;Cube1,$F$17,$F$18,$F$19,$F$16,$C$14,$F$15,$F$14,$F$20,I$2,I$1,$C356)</f>
        <v/>
      </c>
      <c r="J356" s="221" t="str">
        <f ca="1">_xll.DBRW(Server&amp;Cube1,$F$17,$F$18,$F$19,$F$16,$C$14,$F$15,$F$14,$F$20,J$2,J$1,$C356)</f>
        <v/>
      </c>
      <c r="K356" s="221" t="e">
        <f ca="1">_xll.DBRW(Server&amp;Cube1,$F$17,$F$18,$F$19,$F$16,$C$14,$F$15,$F$14,$F$20,I$2,I$1,$C356) -_xll.DBRW(Server&amp;Cube1,$F$17,$F$18,$F$19,$F$16,$C$14,$F$15,$F$14,$F$20,K$2,I$1,$C356)</f>
        <v>#VALUE!</v>
      </c>
      <c r="L356" s="221" t="e">
        <f t="shared" ca="1" si="19"/>
        <v>#VALUE!</v>
      </c>
      <c r="M356" s="221" t="e">
        <f t="shared" ca="1" si="18"/>
        <v>#VALUE!</v>
      </c>
      <c r="N356" s="226"/>
      <c r="O356" s="221" t="str">
        <f ca="1">_xll.DBRW(Server&amp;Cube1,$F$17,$F$18,$F$19,$F$16,$C$14,$F$15,$F$14,$F$20,O$2,O$1,$C356)</f>
        <v/>
      </c>
      <c r="P356" s="226"/>
      <c r="Q356" s="240" t="str">
        <f ca="1">IF(_xll.ELCOMPN(Server&amp;$C$24,C356)=0,"YES","NO")</f>
        <v>YES</v>
      </c>
      <c r="R356" s="241">
        <v>0</v>
      </c>
      <c r="S356" s="226"/>
      <c r="T356" s="227" t="str">
        <f ca="1">_xll.DBRW(Server&amp;Cube1,$F$17,$F$18,$F$19,$F$16,$C$14,$F$15,$F$14,$F$20,T$2,$T$1,$C356)</f>
        <v/>
      </c>
      <c r="U356" s="227" t="str">
        <f ca="1">_xll.DBRW(Server&amp;Cube1,$F$17,$F$18,$F$19,$F$16,$C$14,$F$15,$F$14,$F$20,U$2,$U$1,$C356)</f>
        <v/>
      </c>
      <c r="V356" s="227" t="str">
        <f ca="1">_xll.DBRW(Server&amp;Cube1,$F$17,$F$18,$F$19,$F$16,$C$14,$F$15,$F$14,$F$20,V$2,V$1,$C356)</f>
        <v/>
      </c>
      <c r="W356" s="227" t="str">
        <f ca="1">_xll.DBRW(Server&amp;Cube1,$F$17,$F$18,$F$19,$F$16,$C$14,$F$15,$F$14,$F$20,W$2,W$1,$C356)</f>
        <v/>
      </c>
      <c r="X356" s="227" t="str">
        <f ca="1">_xll.DBRW(Server&amp;Cube1,$F$17,$F$18,$F$19,$F$16,$C$14,$F$15,$F$14,$F$20,X$2,X$1,$C356)</f>
        <v/>
      </c>
      <c r="Y356" s="227" t="str">
        <f ca="1">_xll.DBRW(Server&amp;Cube1,$F$17,$F$18,$F$19,$F$16,$C$14,$F$15,$F$14,$F$20,Y$2,Y$1,$C356)</f>
        <v/>
      </c>
      <c r="Z356" s="241"/>
      <c r="AA356" s="241"/>
      <c r="AB356" s="241"/>
      <c r="AC356" s="241"/>
      <c r="AD356" s="241"/>
      <c r="AE356" s="241"/>
      <c r="AF356" s="221" t="str">
        <f ca="1">_xll.DBRW(Server&amp;Cube1,$F$17,$F$18,$F$19,$F$16,$C$14,$F$15,$F$14,$F$20,AF$2,$AF$1,$C356)</f>
        <v/>
      </c>
      <c r="AG356" s="53"/>
      <c r="AH356" s="53"/>
      <c r="AI356" s="53"/>
      <c r="AJ356" s="53"/>
      <c r="AK356" s="53"/>
      <c r="AL356" s="53"/>
      <c r="AM356" s="53"/>
      <c r="AN356" s="53"/>
      <c r="AO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:53" s="9" customFormat="1" ht="24" customHeight="1" x14ac:dyDescent="0.35">
      <c r="A357" s="181" t="e">
        <f ca="1">IF($AT$35="YES",1,IF(_xll.ELCOMPN(Server&amp;$C$24,C357)&lt;&gt;0,1,IF(OR(B357=$AZ$35,B357="ALL"),1,0)))</f>
        <v>#VALUE!</v>
      </c>
      <c r="B357" s="163" t="str">
        <f t="shared" ref="B357:B395" si="20">IF(ISERROR(MID(C357,FIND("_",C357,1)+1,2)),MID(C357,FIND("(",C357,1)+1,2),MID(C357,FIND("_",C357,1)+1,2))</f>
        <v>IT</v>
      </c>
      <c r="C357" s="158" t="s">
        <v>412</v>
      </c>
      <c r="E357" s="268" t="str">
        <f ca="1">_xll.DBRA(Server&amp;$C$24,$C357,$F$21)</f>
        <v>Téléphonie mobile (IT)</v>
      </c>
      <c r="F357" s="268"/>
      <c r="G357" s="268"/>
      <c r="H357" s="40"/>
      <c r="I357" s="221" t="str">
        <f ca="1">_xll.DBRW(Server&amp;Cube1,$F$17,$F$18,$F$19,$F$16,$C$14,$F$15,$F$14,$F$20,I$2,I$1,$C357)</f>
        <v/>
      </c>
      <c r="J357" s="221" t="str">
        <f ca="1">_xll.DBRW(Server&amp;Cube1,$F$17,$F$18,$F$19,$F$16,$C$14,$F$15,$F$14,$F$20,J$2,J$1,$C357)</f>
        <v/>
      </c>
      <c r="K357" s="221" t="e">
        <f ca="1">_xll.DBRW(Server&amp;Cube1,$F$17,$F$18,$F$19,$F$16,$C$14,$F$15,$F$14,$F$20,I$2,I$1,$C357) -_xll.DBRW(Server&amp;Cube1,$F$17,$F$18,$F$19,$F$16,$C$14,$F$15,$F$14,$F$20,K$2,I$1,$C357)</f>
        <v>#VALUE!</v>
      </c>
      <c r="L357" s="221" t="e">
        <f t="shared" ca="1" si="19"/>
        <v>#VALUE!</v>
      </c>
      <c r="M357" s="221" t="e">
        <f t="shared" ca="1" si="18"/>
        <v>#VALUE!</v>
      </c>
      <c r="N357" s="226"/>
      <c r="O357" s="221" t="str">
        <f ca="1">_xll.DBRW(Server&amp;Cube1,$F$17,$F$18,$F$19,$F$16,$C$14,$F$15,$F$14,$F$20,O$2,O$1,$C357)</f>
        <v/>
      </c>
      <c r="P357" s="226"/>
      <c r="Q357" s="240" t="str">
        <f ca="1">IF(_xll.ELCOMPN(Server&amp;$C$24,C357)=0,"YES","NO")</f>
        <v>YES</v>
      </c>
      <c r="R357" s="241">
        <v>0</v>
      </c>
      <c r="S357" s="226"/>
      <c r="T357" s="227" t="str">
        <f ca="1">_xll.DBRW(Server&amp;Cube1,$F$17,$F$18,$F$19,$F$16,$C$14,$F$15,$F$14,$F$20,T$2,$T$1,$C357)</f>
        <v/>
      </c>
      <c r="U357" s="227" t="str">
        <f ca="1">_xll.DBRW(Server&amp;Cube1,$F$17,$F$18,$F$19,$F$16,$C$14,$F$15,$F$14,$F$20,U$2,$U$1,$C357)</f>
        <v/>
      </c>
      <c r="V357" s="227" t="str">
        <f ca="1">_xll.DBRW(Server&amp;Cube1,$F$17,$F$18,$F$19,$F$16,$C$14,$F$15,$F$14,$F$20,V$2,V$1,$C357)</f>
        <v/>
      </c>
      <c r="W357" s="227" t="str">
        <f ca="1">_xll.DBRW(Server&amp;Cube1,$F$17,$F$18,$F$19,$F$16,$C$14,$F$15,$F$14,$F$20,W$2,W$1,$C357)</f>
        <v/>
      </c>
      <c r="X357" s="227" t="str">
        <f ca="1">_xll.DBRW(Server&amp;Cube1,$F$17,$F$18,$F$19,$F$16,$C$14,$F$15,$F$14,$F$20,X$2,X$1,$C357)</f>
        <v/>
      </c>
      <c r="Y357" s="227" t="str">
        <f ca="1">_xll.DBRW(Server&amp;Cube1,$F$17,$F$18,$F$19,$F$16,$C$14,$F$15,$F$14,$F$20,Y$2,Y$1,$C357)</f>
        <v/>
      </c>
      <c r="Z357" s="241"/>
      <c r="AA357" s="241"/>
      <c r="AB357" s="241"/>
      <c r="AC357" s="241"/>
      <c r="AD357" s="241"/>
      <c r="AE357" s="241"/>
      <c r="AF357" s="221" t="str">
        <f ca="1">_xll.DBRW(Server&amp;Cube1,$F$17,$F$18,$F$19,$F$16,$C$14,$F$15,$F$14,$F$20,AF$2,$AF$1,$C357)</f>
        <v/>
      </c>
      <c r="AG357" s="53"/>
      <c r="AH357" s="53"/>
      <c r="AI357" s="53"/>
      <c r="AJ357" s="53"/>
      <c r="AK357" s="53"/>
      <c r="AL357" s="53"/>
      <c r="AM357" s="53"/>
      <c r="AN357" s="53"/>
      <c r="AO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:53" s="9" customFormat="1" ht="24" customHeight="1" x14ac:dyDescent="0.35">
      <c r="A358" s="181" t="e">
        <f ca="1">IF($AT$35="YES",1,IF(_xll.ELCOMPN(Server&amp;$C$24,C358)&lt;&gt;0,1,IF(OR(B358=$AZ$35,B358="ALL"),1,0)))</f>
        <v>#VALUE!</v>
      </c>
      <c r="B358" s="163" t="str">
        <f t="shared" si="20"/>
        <v>HR</v>
      </c>
      <c r="C358" s="158" t="s">
        <v>413</v>
      </c>
      <c r="E358" s="268" t="str">
        <f ca="1">_xll.DBRA(Server&amp;$C$24,$C358,$F$21)</f>
        <v>Téléphonie mobile (RH)</v>
      </c>
      <c r="F358" s="268"/>
      <c r="G358" s="268"/>
      <c r="H358" s="40"/>
      <c r="I358" s="221" t="str">
        <f ca="1">_xll.DBRW(Server&amp;Cube1,$F$17,$F$18,$F$19,$F$16,$C$14,$F$15,$F$14,$F$20,I$2,I$1,$C358)</f>
        <v/>
      </c>
      <c r="J358" s="221" t="str">
        <f ca="1">_xll.DBRW(Server&amp;Cube1,$F$17,$F$18,$F$19,$F$16,$C$14,$F$15,$F$14,$F$20,J$2,J$1,$C358)</f>
        <v/>
      </c>
      <c r="K358" s="221" t="e">
        <f ca="1">_xll.DBRW(Server&amp;Cube1,$F$17,$F$18,$F$19,$F$16,$C$14,$F$15,$F$14,$F$20,I$2,I$1,$C358) -_xll.DBRW(Server&amp;Cube1,$F$17,$F$18,$F$19,$F$16,$C$14,$F$15,$F$14,$F$20,K$2,I$1,$C358)</f>
        <v>#VALUE!</v>
      </c>
      <c r="L358" s="221" t="e">
        <f t="shared" ca="1" si="19"/>
        <v>#VALUE!</v>
      </c>
      <c r="M358" s="221" t="e">
        <f t="shared" ca="1" si="18"/>
        <v>#VALUE!</v>
      </c>
      <c r="N358" s="226"/>
      <c r="O358" s="221" t="str">
        <f ca="1">_xll.DBRW(Server&amp;Cube1,$F$17,$F$18,$F$19,$F$16,$C$14,$F$15,$F$14,$F$20,O$2,O$1,$C358)</f>
        <v/>
      </c>
      <c r="P358" s="226"/>
      <c r="Q358" s="240" t="str">
        <f ca="1">IF(_xll.ELCOMPN(Server&amp;$C$24,C358)=0,"YES","NO")</f>
        <v>YES</v>
      </c>
      <c r="R358" s="241">
        <v>0</v>
      </c>
      <c r="S358" s="226"/>
      <c r="T358" s="227" t="str">
        <f ca="1">_xll.DBRW(Server&amp;Cube1,$F$17,$F$18,$F$19,$F$16,$C$14,$F$15,$F$14,$F$20,T$2,$T$1,$C358)</f>
        <v/>
      </c>
      <c r="U358" s="227" t="str">
        <f ca="1">_xll.DBRW(Server&amp;Cube1,$F$17,$F$18,$F$19,$F$16,$C$14,$F$15,$F$14,$F$20,U$2,$U$1,$C358)</f>
        <v/>
      </c>
      <c r="V358" s="227" t="str">
        <f ca="1">_xll.DBRW(Server&amp;Cube1,$F$17,$F$18,$F$19,$F$16,$C$14,$F$15,$F$14,$F$20,V$2,V$1,$C358)</f>
        <v/>
      </c>
      <c r="W358" s="227" t="str">
        <f ca="1">_xll.DBRW(Server&amp;Cube1,$F$17,$F$18,$F$19,$F$16,$C$14,$F$15,$F$14,$F$20,W$2,W$1,$C358)</f>
        <v/>
      </c>
      <c r="X358" s="227" t="str">
        <f ca="1">_xll.DBRW(Server&amp;Cube1,$F$17,$F$18,$F$19,$F$16,$C$14,$F$15,$F$14,$F$20,X$2,X$1,$C358)</f>
        <v/>
      </c>
      <c r="Y358" s="227" t="str">
        <f ca="1">_xll.DBRW(Server&amp;Cube1,$F$17,$F$18,$F$19,$F$16,$C$14,$F$15,$F$14,$F$20,Y$2,Y$1,$C358)</f>
        <v/>
      </c>
      <c r="Z358" s="241"/>
      <c r="AA358" s="241"/>
      <c r="AB358" s="241"/>
      <c r="AC358" s="241"/>
      <c r="AD358" s="241"/>
      <c r="AE358" s="241"/>
      <c r="AF358" s="221" t="str">
        <f ca="1">_xll.DBRW(Server&amp;Cube1,$F$17,$F$18,$F$19,$F$16,$C$14,$F$15,$F$14,$F$20,AF$2,$AF$1,$C358)</f>
        <v/>
      </c>
      <c r="AG358" s="53"/>
      <c r="AH358" s="53"/>
      <c r="AI358" s="53"/>
      <c r="AJ358" s="53"/>
      <c r="AK358" s="53"/>
      <c r="AL358" s="53"/>
      <c r="AM358" s="53"/>
      <c r="AN358" s="53"/>
      <c r="AO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:53" s="9" customFormat="1" ht="24" customHeight="1" x14ac:dyDescent="0.35">
      <c r="A359" s="181" t="e">
        <f ca="1">IF($AT$35="YES",1,IF(_xll.ELCOMPN(Server&amp;$C$24,C359)&lt;&gt;0,1,IF(OR(B359=$AZ$35,B359="ALL"),1,0)))</f>
        <v>#VALUE!</v>
      </c>
      <c r="B359" s="163" t="str">
        <f t="shared" si="20"/>
        <v>GM</v>
      </c>
      <c r="C359" s="158" t="s">
        <v>414</v>
      </c>
      <c r="E359" s="268" t="str">
        <f ca="1">_xll.DBRA(Server&amp;$C$24,$C359,$F$21)</f>
        <v>Téléphonie mobile (DG)</v>
      </c>
      <c r="F359" s="268"/>
      <c r="G359" s="268"/>
      <c r="H359" s="40"/>
      <c r="I359" s="221" t="str">
        <f ca="1">_xll.DBRW(Server&amp;Cube1,$F$17,$F$18,$F$19,$F$16,$C$14,$F$15,$F$14,$F$20,I$2,I$1,$C359)</f>
        <v/>
      </c>
      <c r="J359" s="221" t="str">
        <f ca="1">_xll.DBRW(Server&amp;Cube1,$F$17,$F$18,$F$19,$F$16,$C$14,$F$15,$F$14,$F$20,J$2,J$1,$C359)</f>
        <v/>
      </c>
      <c r="K359" s="221" t="e">
        <f ca="1">_xll.DBRW(Server&amp;Cube1,$F$17,$F$18,$F$19,$F$16,$C$14,$F$15,$F$14,$F$20,I$2,I$1,$C359) -_xll.DBRW(Server&amp;Cube1,$F$17,$F$18,$F$19,$F$16,$C$14,$F$15,$F$14,$F$20,K$2,I$1,$C359)</f>
        <v>#VALUE!</v>
      </c>
      <c r="L359" s="221" t="e">
        <f t="shared" ca="1" si="19"/>
        <v>#VALUE!</v>
      </c>
      <c r="M359" s="221" t="e">
        <f t="shared" ca="1" si="18"/>
        <v>#VALUE!</v>
      </c>
      <c r="N359" s="226"/>
      <c r="O359" s="221" t="str">
        <f ca="1">_xll.DBRW(Server&amp;Cube1,$F$17,$F$18,$F$19,$F$16,$C$14,$F$15,$F$14,$F$20,O$2,O$1,$C359)</f>
        <v/>
      </c>
      <c r="P359" s="226"/>
      <c r="Q359" s="240" t="str">
        <f ca="1">IF(_xll.ELCOMPN(Server&amp;$C$24,C359)=0,"YES","NO")</f>
        <v>YES</v>
      </c>
      <c r="R359" s="241">
        <v>0</v>
      </c>
      <c r="S359" s="226"/>
      <c r="T359" s="227" t="str">
        <f ca="1">_xll.DBRW(Server&amp;Cube1,$F$17,$F$18,$F$19,$F$16,$C$14,$F$15,$F$14,$F$20,T$2,$T$1,$C359)</f>
        <v/>
      </c>
      <c r="U359" s="227" t="str">
        <f ca="1">_xll.DBRW(Server&amp;Cube1,$F$17,$F$18,$F$19,$F$16,$C$14,$F$15,$F$14,$F$20,U$2,$U$1,$C359)</f>
        <v/>
      </c>
      <c r="V359" s="227" t="str">
        <f ca="1">_xll.DBRW(Server&amp;Cube1,$F$17,$F$18,$F$19,$F$16,$C$14,$F$15,$F$14,$F$20,V$2,V$1,$C359)</f>
        <v/>
      </c>
      <c r="W359" s="227" t="str">
        <f ca="1">_xll.DBRW(Server&amp;Cube1,$F$17,$F$18,$F$19,$F$16,$C$14,$F$15,$F$14,$F$20,W$2,W$1,$C359)</f>
        <v/>
      </c>
      <c r="X359" s="227" t="str">
        <f ca="1">_xll.DBRW(Server&amp;Cube1,$F$17,$F$18,$F$19,$F$16,$C$14,$F$15,$F$14,$F$20,X$2,X$1,$C359)</f>
        <v/>
      </c>
      <c r="Y359" s="227" t="str">
        <f ca="1">_xll.DBRW(Server&amp;Cube1,$F$17,$F$18,$F$19,$F$16,$C$14,$F$15,$F$14,$F$20,Y$2,Y$1,$C359)</f>
        <v/>
      </c>
      <c r="Z359" s="241"/>
      <c r="AA359" s="241"/>
      <c r="AB359" s="241"/>
      <c r="AC359" s="241"/>
      <c r="AD359" s="241"/>
      <c r="AE359" s="241"/>
      <c r="AF359" s="221" t="str">
        <f ca="1">_xll.DBRW(Server&amp;Cube1,$F$17,$F$18,$F$19,$F$16,$C$14,$F$15,$F$14,$F$20,AF$2,$AF$1,$C359)</f>
        <v/>
      </c>
      <c r="AG359" s="53"/>
      <c r="AH359" s="53"/>
      <c r="AI359" s="53"/>
      <c r="AJ359" s="53"/>
      <c r="AK359" s="53"/>
      <c r="AL359" s="53"/>
      <c r="AM359" s="53"/>
      <c r="AN359" s="53"/>
      <c r="AO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:53" s="9" customFormat="1" ht="24" customHeight="1" x14ac:dyDescent="0.35">
      <c r="A360" s="181" t="e">
        <f ca="1">IF($AT$35="YES",1,IF(_xll.ELCOMPN(Server&amp;$C$24,C360)&lt;&gt;0,1,IF(OR(B360=$AZ$35,B360="ALL"),1,0)))</f>
        <v>#VALUE!</v>
      </c>
      <c r="B360" s="163" t="str">
        <f t="shared" si="20"/>
        <v>IA</v>
      </c>
      <c r="C360" s="158" t="s">
        <v>415</v>
      </c>
      <c r="E360" s="268" t="str">
        <f ca="1">_xll.DBRA(Server&amp;$C$24,$C360,$F$21)</f>
        <v>Téléphonie mobile (AI)</v>
      </c>
      <c r="F360" s="268"/>
      <c r="G360" s="268"/>
      <c r="H360" s="40"/>
      <c r="I360" s="221" t="str">
        <f ca="1">_xll.DBRW(Server&amp;Cube1,$F$17,$F$18,$F$19,$F$16,$C$14,$F$15,$F$14,$F$20,I$2,I$1,$C360)</f>
        <v/>
      </c>
      <c r="J360" s="221" t="str">
        <f ca="1">_xll.DBRW(Server&amp;Cube1,$F$17,$F$18,$F$19,$F$16,$C$14,$F$15,$F$14,$F$20,J$2,J$1,$C360)</f>
        <v/>
      </c>
      <c r="K360" s="221" t="e">
        <f ca="1">_xll.DBRW(Server&amp;Cube1,$F$17,$F$18,$F$19,$F$16,$C$14,$F$15,$F$14,$F$20,I$2,I$1,$C360) -_xll.DBRW(Server&amp;Cube1,$F$17,$F$18,$F$19,$F$16,$C$14,$F$15,$F$14,$F$20,K$2,I$1,$C360)</f>
        <v>#VALUE!</v>
      </c>
      <c r="L360" s="221" t="e">
        <f t="shared" ca="1" si="19"/>
        <v>#VALUE!</v>
      </c>
      <c r="M360" s="221" t="e">
        <f t="shared" ca="1" si="18"/>
        <v>#VALUE!</v>
      </c>
      <c r="N360" s="226"/>
      <c r="O360" s="221" t="str">
        <f ca="1">_xll.DBRW(Server&amp;Cube1,$F$17,$F$18,$F$19,$F$16,$C$14,$F$15,$F$14,$F$20,O$2,O$1,$C360)</f>
        <v/>
      </c>
      <c r="P360" s="226"/>
      <c r="Q360" s="240" t="str">
        <f ca="1">IF(_xll.ELCOMPN(Server&amp;$C$24,C360)=0,"YES","NO")</f>
        <v>YES</v>
      </c>
      <c r="R360" s="241">
        <v>0</v>
      </c>
      <c r="S360" s="226"/>
      <c r="T360" s="227" t="str">
        <f ca="1">_xll.DBRW(Server&amp;Cube1,$F$17,$F$18,$F$19,$F$16,$C$14,$F$15,$F$14,$F$20,T$2,$T$1,$C360)</f>
        <v/>
      </c>
      <c r="U360" s="227" t="str">
        <f ca="1">_xll.DBRW(Server&amp;Cube1,$F$17,$F$18,$F$19,$F$16,$C$14,$F$15,$F$14,$F$20,U$2,$U$1,$C360)</f>
        <v/>
      </c>
      <c r="V360" s="227" t="str">
        <f ca="1">_xll.DBRW(Server&amp;Cube1,$F$17,$F$18,$F$19,$F$16,$C$14,$F$15,$F$14,$F$20,V$2,V$1,$C360)</f>
        <v/>
      </c>
      <c r="W360" s="227" t="str">
        <f ca="1">_xll.DBRW(Server&amp;Cube1,$F$17,$F$18,$F$19,$F$16,$C$14,$F$15,$F$14,$F$20,W$2,W$1,$C360)</f>
        <v/>
      </c>
      <c r="X360" s="227" t="str">
        <f ca="1">_xll.DBRW(Server&amp;Cube1,$F$17,$F$18,$F$19,$F$16,$C$14,$F$15,$F$14,$F$20,X$2,X$1,$C360)</f>
        <v/>
      </c>
      <c r="Y360" s="227" t="str">
        <f ca="1">_xll.DBRW(Server&amp;Cube1,$F$17,$F$18,$F$19,$F$16,$C$14,$F$15,$F$14,$F$20,Y$2,Y$1,$C360)</f>
        <v/>
      </c>
      <c r="Z360" s="241"/>
      <c r="AA360" s="241"/>
      <c r="AB360" s="241"/>
      <c r="AC360" s="241"/>
      <c r="AD360" s="241"/>
      <c r="AE360" s="241"/>
      <c r="AF360" s="221" t="str">
        <f ca="1">_xll.DBRW(Server&amp;Cube1,$F$17,$F$18,$F$19,$F$16,$C$14,$F$15,$F$14,$F$20,AF$2,$AF$1,$C360)</f>
        <v/>
      </c>
      <c r="AG360" s="53"/>
      <c r="AH360" s="53"/>
      <c r="AI360" s="53"/>
      <c r="AJ360" s="53"/>
      <c r="AK360" s="53"/>
      <c r="AL360" s="53"/>
      <c r="AM360" s="53"/>
      <c r="AN360" s="53"/>
      <c r="AO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:53" s="9" customFormat="1" ht="24" customHeight="1" x14ac:dyDescent="0.35">
      <c r="A361" s="181" t="e">
        <f ca="1">IF($AT$35="YES",1,IF(_xll.ELCOMPN(Server&amp;$C$24,C361)&lt;&gt;0,1,IF(OR(B361=$AZ$35,B361="ALL"),1,0)))</f>
        <v>#VALUE!</v>
      </c>
      <c r="B361" s="163" t="str">
        <f t="shared" si="20"/>
        <v>LE</v>
      </c>
      <c r="C361" s="158" t="s">
        <v>416</v>
      </c>
      <c r="E361" s="268" t="str">
        <f ca="1">_xll.DBRA(Server&amp;$C$24,$C361,$F$21)</f>
        <v>Téléphonie mobile (JU)</v>
      </c>
      <c r="F361" s="268"/>
      <c r="G361" s="268"/>
      <c r="H361" s="40"/>
      <c r="I361" s="221" t="str">
        <f ca="1">_xll.DBRW(Server&amp;Cube1,$F$17,$F$18,$F$19,$F$16,$C$14,$F$15,$F$14,$F$20,I$2,I$1,$C361)</f>
        <v/>
      </c>
      <c r="J361" s="221" t="str">
        <f ca="1">_xll.DBRW(Server&amp;Cube1,$F$17,$F$18,$F$19,$F$16,$C$14,$F$15,$F$14,$F$20,J$2,J$1,$C361)</f>
        <v/>
      </c>
      <c r="K361" s="221" t="e">
        <f ca="1">_xll.DBRW(Server&amp;Cube1,$F$17,$F$18,$F$19,$F$16,$C$14,$F$15,$F$14,$F$20,I$2,I$1,$C361) -_xll.DBRW(Server&amp;Cube1,$F$17,$F$18,$F$19,$F$16,$C$14,$F$15,$F$14,$F$20,K$2,I$1,$C361)</f>
        <v>#VALUE!</v>
      </c>
      <c r="L361" s="221" t="e">
        <f t="shared" ca="1" si="19"/>
        <v>#VALUE!</v>
      </c>
      <c r="M361" s="221" t="e">
        <f t="shared" ca="1" si="18"/>
        <v>#VALUE!</v>
      </c>
      <c r="N361" s="226"/>
      <c r="O361" s="221" t="str">
        <f ca="1">_xll.DBRW(Server&amp;Cube1,$F$17,$F$18,$F$19,$F$16,$C$14,$F$15,$F$14,$F$20,O$2,O$1,$C361)</f>
        <v/>
      </c>
      <c r="P361" s="226"/>
      <c r="Q361" s="240" t="str">
        <f ca="1">IF(_xll.ELCOMPN(Server&amp;$C$24,C361)=0,"YES","NO")</f>
        <v>YES</v>
      </c>
      <c r="R361" s="241">
        <v>0</v>
      </c>
      <c r="S361" s="226"/>
      <c r="T361" s="227" t="str">
        <f ca="1">_xll.DBRW(Server&amp;Cube1,$F$17,$F$18,$F$19,$F$16,$C$14,$F$15,$F$14,$F$20,T$2,$T$1,$C361)</f>
        <v/>
      </c>
      <c r="U361" s="227" t="str">
        <f ca="1">_xll.DBRW(Server&amp;Cube1,$F$17,$F$18,$F$19,$F$16,$C$14,$F$15,$F$14,$F$20,U$2,$U$1,$C361)</f>
        <v/>
      </c>
      <c r="V361" s="227" t="str">
        <f ca="1">_xll.DBRW(Server&amp;Cube1,$F$17,$F$18,$F$19,$F$16,$C$14,$F$15,$F$14,$F$20,V$2,V$1,$C361)</f>
        <v/>
      </c>
      <c r="W361" s="227" t="str">
        <f ca="1">_xll.DBRW(Server&amp;Cube1,$F$17,$F$18,$F$19,$F$16,$C$14,$F$15,$F$14,$F$20,W$2,W$1,$C361)</f>
        <v/>
      </c>
      <c r="X361" s="227" t="str">
        <f ca="1">_xll.DBRW(Server&amp;Cube1,$F$17,$F$18,$F$19,$F$16,$C$14,$F$15,$F$14,$F$20,X$2,X$1,$C361)</f>
        <v/>
      </c>
      <c r="Y361" s="227" t="str">
        <f ca="1">_xll.DBRW(Server&amp;Cube1,$F$17,$F$18,$F$19,$F$16,$C$14,$F$15,$F$14,$F$20,Y$2,Y$1,$C361)</f>
        <v/>
      </c>
      <c r="Z361" s="241"/>
      <c r="AA361" s="241"/>
      <c r="AB361" s="241"/>
      <c r="AC361" s="241"/>
      <c r="AD361" s="241"/>
      <c r="AE361" s="241"/>
      <c r="AF361" s="221" t="str">
        <f ca="1">_xll.DBRW(Server&amp;Cube1,$F$17,$F$18,$F$19,$F$16,$C$14,$F$15,$F$14,$F$20,AF$2,$AF$1,$C361)</f>
        <v/>
      </c>
      <c r="AG361" s="53"/>
      <c r="AH361" s="53"/>
      <c r="AI361" s="53"/>
      <c r="AJ361" s="53"/>
      <c r="AK361" s="53"/>
      <c r="AL361" s="53"/>
      <c r="AM361" s="53"/>
      <c r="AN361" s="53"/>
      <c r="AO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:53" s="9" customFormat="1" ht="24" customHeight="1" x14ac:dyDescent="0.35">
      <c r="A362" s="181" t="e">
        <f ca="1">IF($AT$35="YES",1,IF(_xll.ELCOMPN(Server&amp;$C$24,C362)&lt;&gt;0,1,IF(OR(B362=$AZ$35,B362="ALL"),1,0)))</f>
        <v>#VALUE!</v>
      </c>
      <c r="B362" s="163" t="str">
        <f t="shared" si="20"/>
        <v>RM</v>
      </c>
      <c r="C362" s="158" t="s">
        <v>417</v>
      </c>
      <c r="E362" s="268" t="str">
        <f ca="1">_xll.DBRA(Server&amp;$C$24,$C362,$F$21)</f>
        <v>Téléphonie mobile (GR)</v>
      </c>
      <c r="F362" s="268"/>
      <c r="G362" s="268"/>
      <c r="H362" s="40"/>
      <c r="I362" s="221" t="str">
        <f ca="1">_xll.DBRW(Server&amp;Cube1,$F$17,$F$18,$F$19,$F$16,$C$14,$F$15,$F$14,$F$20,I$2,I$1,$C362)</f>
        <v/>
      </c>
      <c r="J362" s="221" t="str">
        <f ca="1">_xll.DBRW(Server&amp;Cube1,$F$17,$F$18,$F$19,$F$16,$C$14,$F$15,$F$14,$F$20,J$2,J$1,$C362)</f>
        <v/>
      </c>
      <c r="K362" s="221" t="e">
        <f ca="1">_xll.DBRW(Server&amp;Cube1,$F$17,$F$18,$F$19,$F$16,$C$14,$F$15,$F$14,$F$20,I$2,I$1,$C362) -_xll.DBRW(Server&amp;Cube1,$F$17,$F$18,$F$19,$F$16,$C$14,$F$15,$F$14,$F$20,K$2,I$1,$C362)</f>
        <v>#VALUE!</v>
      </c>
      <c r="L362" s="221" t="e">
        <f t="shared" ca="1" si="19"/>
        <v>#VALUE!</v>
      </c>
      <c r="M362" s="221" t="e">
        <f t="shared" ca="1" si="18"/>
        <v>#VALUE!</v>
      </c>
      <c r="N362" s="226"/>
      <c r="O362" s="221" t="str">
        <f ca="1">_xll.DBRW(Server&amp;Cube1,$F$17,$F$18,$F$19,$F$16,$C$14,$F$15,$F$14,$F$20,O$2,O$1,$C362)</f>
        <v/>
      </c>
      <c r="P362" s="226"/>
      <c r="Q362" s="240" t="str">
        <f ca="1">IF(_xll.ELCOMPN(Server&amp;$C$24,C362)=0,"YES","NO")</f>
        <v>YES</v>
      </c>
      <c r="R362" s="241">
        <v>0</v>
      </c>
      <c r="S362" s="226"/>
      <c r="T362" s="227" t="str">
        <f ca="1">_xll.DBRW(Server&amp;Cube1,$F$17,$F$18,$F$19,$F$16,$C$14,$F$15,$F$14,$F$20,T$2,$T$1,$C362)</f>
        <v/>
      </c>
      <c r="U362" s="227" t="str">
        <f ca="1">_xll.DBRW(Server&amp;Cube1,$F$17,$F$18,$F$19,$F$16,$C$14,$F$15,$F$14,$F$20,U$2,$U$1,$C362)</f>
        <v/>
      </c>
      <c r="V362" s="227" t="str">
        <f ca="1">_xll.DBRW(Server&amp;Cube1,$F$17,$F$18,$F$19,$F$16,$C$14,$F$15,$F$14,$F$20,V$2,V$1,$C362)</f>
        <v/>
      </c>
      <c r="W362" s="227" t="str">
        <f ca="1">_xll.DBRW(Server&amp;Cube1,$F$17,$F$18,$F$19,$F$16,$C$14,$F$15,$F$14,$F$20,W$2,W$1,$C362)</f>
        <v/>
      </c>
      <c r="X362" s="227" t="str">
        <f ca="1">_xll.DBRW(Server&amp;Cube1,$F$17,$F$18,$F$19,$F$16,$C$14,$F$15,$F$14,$F$20,X$2,X$1,$C362)</f>
        <v/>
      </c>
      <c r="Y362" s="227" t="str">
        <f ca="1">_xll.DBRW(Server&amp;Cube1,$F$17,$F$18,$F$19,$F$16,$C$14,$F$15,$F$14,$F$20,Y$2,Y$1,$C362)</f>
        <v/>
      </c>
      <c r="Z362" s="241"/>
      <c r="AA362" s="241"/>
      <c r="AB362" s="241"/>
      <c r="AC362" s="241"/>
      <c r="AD362" s="241"/>
      <c r="AE362" s="241"/>
      <c r="AF362" s="221" t="str">
        <f ca="1">_xll.DBRW(Server&amp;Cube1,$F$17,$F$18,$F$19,$F$16,$C$14,$F$15,$F$14,$F$20,AF$2,$AF$1,$C362)</f>
        <v/>
      </c>
      <c r="AG362" s="53"/>
      <c r="AH362" s="53"/>
      <c r="AI362" s="53"/>
      <c r="AJ362" s="53"/>
      <c r="AK362" s="53"/>
      <c r="AL362" s="53"/>
      <c r="AM362" s="53"/>
      <c r="AN362" s="53"/>
      <c r="AO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:53" s="9" customFormat="1" ht="24" customHeight="1" x14ac:dyDescent="0.35">
      <c r="A363" s="181" t="e">
        <f ca="1">IF($AT$35="YES",1,IF(_xll.ELCOMPN(Server&amp;$C$24,C363)&lt;&gt;0,1,IF(OR(B363=$AZ$35,B363="ALL"),1,0)))</f>
        <v>#VALUE!</v>
      </c>
      <c r="B363" s="163" t="str">
        <f t="shared" si="20"/>
        <v>PU</v>
      </c>
      <c r="C363" s="158" t="s">
        <v>418</v>
      </c>
      <c r="E363" s="268" t="str">
        <f ca="1">_xll.DBRA(Server&amp;$C$24,$C363,$F$21)</f>
        <v>Téléphonie mobile (AC)</v>
      </c>
      <c r="F363" s="268"/>
      <c r="G363" s="268"/>
      <c r="H363" s="40"/>
      <c r="I363" s="221" t="str">
        <f ca="1">_xll.DBRW(Server&amp;Cube1,$F$17,$F$18,$F$19,$F$16,$C$14,$F$15,$F$14,$F$20,I$2,I$1,$C363)</f>
        <v/>
      </c>
      <c r="J363" s="221" t="str">
        <f ca="1">_xll.DBRW(Server&amp;Cube1,$F$17,$F$18,$F$19,$F$16,$C$14,$F$15,$F$14,$F$20,J$2,J$1,$C363)</f>
        <v/>
      </c>
      <c r="K363" s="221" t="e">
        <f ca="1">_xll.DBRW(Server&amp;Cube1,$F$17,$F$18,$F$19,$F$16,$C$14,$F$15,$F$14,$F$20,I$2,I$1,$C363) -_xll.DBRW(Server&amp;Cube1,$F$17,$F$18,$F$19,$F$16,$C$14,$F$15,$F$14,$F$20,K$2,I$1,$C363)</f>
        <v>#VALUE!</v>
      </c>
      <c r="L363" s="221" t="e">
        <f t="shared" ca="1" si="19"/>
        <v>#VALUE!</v>
      </c>
      <c r="M363" s="221" t="e">
        <f t="shared" ca="1" si="18"/>
        <v>#VALUE!</v>
      </c>
      <c r="N363" s="226"/>
      <c r="O363" s="221" t="str">
        <f ca="1">_xll.DBRW(Server&amp;Cube1,$F$17,$F$18,$F$19,$F$16,$C$14,$F$15,$F$14,$F$20,O$2,O$1,$C363)</f>
        <v/>
      </c>
      <c r="P363" s="226"/>
      <c r="Q363" s="240" t="str">
        <f ca="1">IF(_xll.ELCOMPN(Server&amp;$C$24,C363)=0,"YES","NO")</f>
        <v>YES</v>
      </c>
      <c r="R363" s="241">
        <v>0</v>
      </c>
      <c r="S363" s="226"/>
      <c r="T363" s="227" t="str">
        <f ca="1">_xll.DBRW(Server&amp;Cube1,$F$17,$F$18,$F$19,$F$16,$C$14,$F$15,$F$14,$F$20,T$2,$T$1,$C363)</f>
        <v/>
      </c>
      <c r="U363" s="227" t="str">
        <f ca="1">_xll.DBRW(Server&amp;Cube1,$F$17,$F$18,$F$19,$F$16,$C$14,$F$15,$F$14,$F$20,U$2,$U$1,$C363)</f>
        <v/>
      </c>
      <c r="V363" s="227" t="str">
        <f ca="1">_xll.DBRW(Server&amp;Cube1,$F$17,$F$18,$F$19,$F$16,$C$14,$F$15,$F$14,$F$20,V$2,V$1,$C363)</f>
        <v/>
      </c>
      <c r="W363" s="227" t="str">
        <f ca="1">_xll.DBRW(Server&amp;Cube1,$F$17,$F$18,$F$19,$F$16,$C$14,$F$15,$F$14,$F$20,W$2,W$1,$C363)</f>
        <v/>
      </c>
      <c r="X363" s="227" t="str">
        <f ca="1">_xll.DBRW(Server&amp;Cube1,$F$17,$F$18,$F$19,$F$16,$C$14,$F$15,$F$14,$F$20,X$2,X$1,$C363)</f>
        <v/>
      </c>
      <c r="Y363" s="227" t="str">
        <f ca="1">_xll.DBRW(Server&amp;Cube1,$F$17,$F$18,$F$19,$F$16,$C$14,$F$15,$F$14,$F$20,Y$2,Y$1,$C363)</f>
        <v/>
      </c>
      <c r="Z363" s="241"/>
      <c r="AA363" s="241"/>
      <c r="AB363" s="241"/>
      <c r="AC363" s="241"/>
      <c r="AD363" s="241"/>
      <c r="AE363" s="241"/>
      <c r="AF363" s="221" t="str">
        <f ca="1">_xll.DBRW(Server&amp;Cube1,$F$17,$F$18,$F$19,$F$16,$C$14,$F$15,$F$14,$F$20,AF$2,$AF$1,$C363)</f>
        <v/>
      </c>
      <c r="AG363" s="53"/>
      <c r="AH363" s="53"/>
      <c r="AI363" s="53"/>
      <c r="AJ363" s="53"/>
      <c r="AK363" s="53"/>
      <c r="AL363" s="53"/>
      <c r="AM363" s="53"/>
      <c r="AN363" s="53"/>
      <c r="AO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:53" s="9" customFormat="1" ht="24" customHeight="1" x14ac:dyDescent="0.35">
      <c r="A364" s="181" t="e">
        <f ca="1">IF($AT$35="YES",1,IF(_xll.ELCOMPN(Server&amp;$C$24,C364)&lt;&gt;0,1,IF(OR(B364=$AZ$35,B364="ALL"),1,0)))</f>
        <v>#VALUE!</v>
      </c>
      <c r="B364" s="163" t="str">
        <f t="shared" si="20"/>
        <v>CO</v>
      </c>
      <c r="C364" s="158" t="s">
        <v>419</v>
      </c>
      <c r="E364" s="268" t="str">
        <f ca="1">_xll.DBRA(Server&amp;$C$24,$C364,$F$21)</f>
        <v>Téléphonie mobile (CO)</v>
      </c>
      <c r="F364" s="268"/>
      <c r="G364" s="268"/>
      <c r="H364" s="40"/>
      <c r="I364" s="221" t="str">
        <f ca="1">_xll.DBRW(Server&amp;Cube1,$F$17,$F$18,$F$19,$F$16,$C$14,$F$15,$F$14,$F$20,I$2,I$1,$C364)</f>
        <v/>
      </c>
      <c r="J364" s="221" t="str">
        <f ca="1">_xll.DBRW(Server&amp;Cube1,$F$17,$F$18,$F$19,$F$16,$C$14,$F$15,$F$14,$F$20,J$2,J$1,$C364)</f>
        <v/>
      </c>
      <c r="K364" s="221" t="e">
        <f ca="1">_xll.DBRW(Server&amp;Cube1,$F$17,$F$18,$F$19,$F$16,$C$14,$F$15,$F$14,$F$20,I$2,I$1,$C364) -_xll.DBRW(Server&amp;Cube1,$F$17,$F$18,$F$19,$F$16,$C$14,$F$15,$F$14,$F$20,K$2,I$1,$C364)</f>
        <v>#VALUE!</v>
      </c>
      <c r="L364" s="221" t="e">
        <f t="shared" ca="1" si="19"/>
        <v>#VALUE!</v>
      </c>
      <c r="M364" s="221" t="e">
        <f t="shared" ca="1" si="18"/>
        <v>#VALUE!</v>
      </c>
      <c r="N364" s="226"/>
      <c r="O364" s="221" t="str">
        <f ca="1">_xll.DBRW(Server&amp;Cube1,$F$17,$F$18,$F$19,$F$16,$C$14,$F$15,$F$14,$F$20,O$2,O$1,$C364)</f>
        <v/>
      </c>
      <c r="P364" s="226"/>
      <c r="Q364" s="240" t="str">
        <f ca="1">IF(_xll.ELCOMPN(Server&amp;$C$24,C364)=0,"YES","NO")</f>
        <v>YES</v>
      </c>
      <c r="R364" s="241">
        <v>0</v>
      </c>
      <c r="S364" s="226"/>
      <c r="T364" s="227" t="str">
        <f ca="1">_xll.DBRW(Server&amp;Cube1,$F$17,$F$18,$F$19,$F$16,$C$14,$F$15,$F$14,$F$20,T$2,$T$1,$C364)</f>
        <v/>
      </c>
      <c r="U364" s="227" t="str">
        <f ca="1">_xll.DBRW(Server&amp;Cube1,$F$17,$F$18,$F$19,$F$16,$C$14,$F$15,$F$14,$F$20,U$2,$U$1,$C364)</f>
        <v/>
      </c>
      <c r="V364" s="227" t="str">
        <f ca="1">_xll.DBRW(Server&amp;Cube1,$F$17,$F$18,$F$19,$F$16,$C$14,$F$15,$F$14,$F$20,V$2,V$1,$C364)</f>
        <v/>
      </c>
      <c r="W364" s="227" t="str">
        <f ca="1">_xll.DBRW(Server&amp;Cube1,$F$17,$F$18,$F$19,$F$16,$C$14,$F$15,$F$14,$F$20,W$2,W$1,$C364)</f>
        <v/>
      </c>
      <c r="X364" s="227" t="str">
        <f ca="1">_xll.DBRW(Server&amp;Cube1,$F$17,$F$18,$F$19,$F$16,$C$14,$F$15,$F$14,$F$20,X$2,X$1,$C364)</f>
        <v/>
      </c>
      <c r="Y364" s="227" t="str">
        <f ca="1">_xll.DBRW(Server&amp;Cube1,$F$17,$F$18,$F$19,$F$16,$C$14,$F$15,$F$14,$F$20,Y$2,Y$1,$C364)</f>
        <v/>
      </c>
      <c r="Z364" s="241"/>
      <c r="AA364" s="241"/>
      <c r="AB364" s="241"/>
      <c r="AC364" s="241"/>
      <c r="AD364" s="241"/>
      <c r="AE364" s="241"/>
      <c r="AF364" s="221" t="str">
        <f ca="1">_xll.DBRW(Server&amp;Cube1,$F$17,$F$18,$F$19,$F$16,$C$14,$F$15,$F$14,$F$20,AF$2,$AF$1,$C364)</f>
        <v/>
      </c>
      <c r="AG364" s="53"/>
      <c r="AH364" s="53"/>
      <c r="AI364" s="53"/>
      <c r="AJ364" s="53"/>
      <c r="AK364" s="53"/>
      <c r="AL364" s="53"/>
      <c r="AM364" s="53"/>
      <c r="AN364" s="53"/>
      <c r="AO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:53" s="9" customFormat="1" ht="24" customHeight="1" x14ac:dyDescent="0.35">
      <c r="A365" s="181" t="e">
        <f ca="1">IF($AT$35="YES",1,IF(_xll.ELCOMPN(Server&amp;$C$24,C365)&lt;&gt;0,1,IF(OR(B365=$AZ$35,B365="ALL"),1,0)))</f>
        <v>#VALUE!</v>
      </c>
      <c r="B365" s="163" t="str">
        <f t="shared" si="20"/>
        <v>GS</v>
      </c>
      <c r="C365" s="158" t="s">
        <v>420</v>
      </c>
      <c r="E365" s="268" t="str">
        <f ca="1">_xll.DBRA(Server&amp;$C$24,$C365,$F$21)</f>
        <v>Téléphonie mobile (SG)</v>
      </c>
      <c r="F365" s="268"/>
      <c r="G365" s="268"/>
      <c r="H365" s="40"/>
      <c r="I365" s="221" t="str">
        <f ca="1">_xll.DBRW(Server&amp;Cube1,$F$17,$F$18,$F$19,$F$16,$C$14,$F$15,$F$14,$F$20,I$2,I$1,$C365)</f>
        <v/>
      </c>
      <c r="J365" s="221" t="str">
        <f ca="1">_xll.DBRW(Server&amp;Cube1,$F$17,$F$18,$F$19,$F$16,$C$14,$F$15,$F$14,$F$20,J$2,J$1,$C365)</f>
        <v/>
      </c>
      <c r="K365" s="221" t="e">
        <f ca="1">_xll.DBRW(Server&amp;Cube1,$F$17,$F$18,$F$19,$F$16,$C$14,$F$15,$F$14,$F$20,I$2,I$1,$C365) -_xll.DBRW(Server&amp;Cube1,$F$17,$F$18,$F$19,$F$16,$C$14,$F$15,$F$14,$F$20,K$2,I$1,$C365)</f>
        <v>#VALUE!</v>
      </c>
      <c r="L365" s="221" t="e">
        <f t="shared" ca="1" si="19"/>
        <v>#VALUE!</v>
      </c>
      <c r="M365" s="221" t="e">
        <f t="shared" ca="1" si="18"/>
        <v>#VALUE!</v>
      </c>
      <c r="N365" s="226"/>
      <c r="O365" s="221" t="str">
        <f ca="1">_xll.DBRW(Server&amp;Cube1,$F$17,$F$18,$F$19,$F$16,$C$14,$F$15,$F$14,$F$20,O$2,O$1,$C365)</f>
        <v/>
      </c>
      <c r="P365" s="226"/>
      <c r="Q365" s="240" t="str">
        <f ca="1">IF(_xll.ELCOMPN(Server&amp;$C$24,C365)=0,"YES","NO")</f>
        <v>YES</v>
      </c>
      <c r="R365" s="241">
        <v>0</v>
      </c>
      <c r="S365" s="226"/>
      <c r="T365" s="227" t="str">
        <f ca="1">_xll.DBRW(Server&amp;Cube1,$F$17,$F$18,$F$19,$F$16,$C$14,$F$15,$F$14,$F$20,T$2,$T$1,$C365)</f>
        <v/>
      </c>
      <c r="U365" s="227" t="str">
        <f ca="1">_xll.DBRW(Server&amp;Cube1,$F$17,$F$18,$F$19,$F$16,$C$14,$F$15,$F$14,$F$20,U$2,$U$1,$C365)</f>
        <v/>
      </c>
      <c r="V365" s="227" t="str">
        <f ca="1">_xll.DBRW(Server&amp;Cube1,$F$17,$F$18,$F$19,$F$16,$C$14,$F$15,$F$14,$F$20,V$2,V$1,$C365)</f>
        <v/>
      </c>
      <c r="W365" s="227" t="str">
        <f ca="1">_xll.DBRW(Server&amp;Cube1,$F$17,$F$18,$F$19,$F$16,$C$14,$F$15,$F$14,$F$20,W$2,W$1,$C365)</f>
        <v/>
      </c>
      <c r="X365" s="227" t="str">
        <f ca="1">_xll.DBRW(Server&amp;Cube1,$F$17,$F$18,$F$19,$F$16,$C$14,$F$15,$F$14,$F$20,X$2,X$1,$C365)</f>
        <v/>
      </c>
      <c r="Y365" s="227" t="str">
        <f ca="1">_xll.DBRW(Server&amp;Cube1,$F$17,$F$18,$F$19,$F$16,$C$14,$F$15,$F$14,$F$20,Y$2,Y$1,$C365)</f>
        <v/>
      </c>
      <c r="Z365" s="241"/>
      <c r="AA365" s="241"/>
      <c r="AB365" s="241"/>
      <c r="AC365" s="241"/>
      <c r="AD365" s="241"/>
      <c r="AE365" s="241"/>
      <c r="AF365" s="221" t="str">
        <f ca="1">_xll.DBRW(Server&amp;Cube1,$F$17,$F$18,$F$19,$F$16,$C$14,$F$15,$F$14,$F$20,AF$2,$AF$1,$C365)</f>
        <v/>
      </c>
      <c r="AG365" s="53"/>
      <c r="AH365" s="53"/>
      <c r="AI365" s="53"/>
      <c r="AJ365" s="53"/>
      <c r="AK365" s="53"/>
      <c r="AL365" s="53"/>
      <c r="AM365" s="53"/>
      <c r="AN365" s="53"/>
      <c r="AO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:53" s="9" customFormat="1" ht="24" customHeight="1" x14ac:dyDescent="0.35">
      <c r="A366" s="181" t="e">
        <f ca="1">IF($AT$35="YES",1,IF(_xll.ELCOMPN(Server&amp;$C$24,C366)&lt;&gt;0,1,IF(OR(B366=$AZ$35,B366="ALL"),1,0)))</f>
        <v>#VALUE!</v>
      </c>
      <c r="B366" s="163" t="str">
        <f t="shared" si="20"/>
        <v>RD</v>
      </c>
      <c r="C366" s="158" t="s">
        <v>421</v>
      </c>
      <c r="E366" s="268" t="str">
        <f ca="1">_xll.DBRA(Server&amp;$C$24,$C366,$F$21)</f>
        <v>Téléphonie mobile (RD)</v>
      </c>
      <c r="F366" s="268"/>
      <c r="G366" s="268"/>
      <c r="H366" s="40"/>
      <c r="I366" s="221" t="str">
        <f ca="1">_xll.DBRW(Server&amp;Cube1,$F$17,$F$18,$F$19,$F$16,$C$14,$F$15,$F$14,$F$20,I$2,I$1,$C366)</f>
        <v/>
      </c>
      <c r="J366" s="221" t="str">
        <f ca="1">_xll.DBRW(Server&amp;Cube1,$F$17,$F$18,$F$19,$F$16,$C$14,$F$15,$F$14,$F$20,J$2,J$1,$C366)</f>
        <v/>
      </c>
      <c r="K366" s="221" t="e">
        <f ca="1">_xll.DBRW(Server&amp;Cube1,$F$17,$F$18,$F$19,$F$16,$C$14,$F$15,$F$14,$F$20,I$2,I$1,$C366) -_xll.DBRW(Server&amp;Cube1,$F$17,$F$18,$F$19,$F$16,$C$14,$F$15,$F$14,$F$20,K$2,I$1,$C366)</f>
        <v>#VALUE!</v>
      </c>
      <c r="L366" s="221" t="e">
        <f t="shared" ca="1" si="19"/>
        <v>#VALUE!</v>
      </c>
      <c r="M366" s="221" t="e">
        <f t="shared" ca="1" si="18"/>
        <v>#VALUE!</v>
      </c>
      <c r="N366" s="226"/>
      <c r="O366" s="221" t="str">
        <f ca="1">_xll.DBRW(Server&amp;Cube1,$F$17,$F$18,$F$19,$F$16,$C$14,$F$15,$F$14,$F$20,O$2,O$1,$C366)</f>
        <v/>
      </c>
      <c r="P366" s="226"/>
      <c r="Q366" s="240" t="str">
        <f ca="1">IF(_xll.ELCOMPN(Server&amp;$C$24,C366)=0,"YES","NO")</f>
        <v>YES</v>
      </c>
      <c r="R366" s="241">
        <v>0</v>
      </c>
      <c r="S366" s="226"/>
      <c r="T366" s="227" t="str">
        <f ca="1">_xll.DBRW(Server&amp;Cube1,$F$17,$F$18,$F$19,$F$16,$C$14,$F$15,$F$14,$F$20,T$2,$T$1,$C366)</f>
        <v/>
      </c>
      <c r="U366" s="227" t="str">
        <f ca="1">_xll.DBRW(Server&amp;Cube1,$F$17,$F$18,$F$19,$F$16,$C$14,$F$15,$F$14,$F$20,U$2,$U$1,$C366)</f>
        <v/>
      </c>
      <c r="V366" s="227" t="str">
        <f ca="1">_xll.DBRW(Server&amp;Cube1,$F$17,$F$18,$F$19,$F$16,$C$14,$F$15,$F$14,$F$20,V$2,V$1,$C366)</f>
        <v/>
      </c>
      <c r="W366" s="227" t="str">
        <f ca="1">_xll.DBRW(Server&amp;Cube1,$F$17,$F$18,$F$19,$F$16,$C$14,$F$15,$F$14,$F$20,W$2,W$1,$C366)</f>
        <v/>
      </c>
      <c r="X366" s="227" t="str">
        <f ca="1">_xll.DBRW(Server&amp;Cube1,$F$17,$F$18,$F$19,$F$16,$C$14,$F$15,$F$14,$F$20,X$2,X$1,$C366)</f>
        <v/>
      </c>
      <c r="Y366" s="227" t="str">
        <f ca="1">_xll.DBRW(Server&amp;Cube1,$F$17,$F$18,$F$19,$F$16,$C$14,$F$15,$F$14,$F$20,Y$2,Y$1,$C366)</f>
        <v/>
      </c>
      <c r="Z366" s="241"/>
      <c r="AA366" s="241"/>
      <c r="AB366" s="241"/>
      <c r="AC366" s="241"/>
      <c r="AD366" s="241"/>
      <c r="AE366" s="241"/>
      <c r="AF366" s="221" t="str">
        <f ca="1">_xll.DBRW(Server&amp;Cube1,$F$17,$F$18,$F$19,$F$16,$C$14,$F$15,$F$14,$F$20,AF$2,$AF$1,$C366)</f>
        <v/>
      </c>
      <c r="AG366" s="53"/>
      <c r="AH366" s="53"/>
      <c r="AI366" s="53"/>
      <c r="AJ366" s="53"/>
      <c r="AK366" s="53"/>
      <c r="AL366" s="53"/>
      <c r="AM366" s="53"/>
      <c r="AN366" s="53"/>
      <c r="AO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:53" s="9" customFormat="1" ht="24" customHeight="1" x14ac:dyDescent="0.35">
      <c r="A367" s="181">
        <f ca="1">IF($AT$35="YES",1,IF(_xll.ELCOMPN(Server&amp;$C$24,C367)&lt;&gt;0,1,IF(OR(B367=$AZ$35,B367="ALL"),1,0)))</f>
        <v>1</v>
      </c>
      <c r="B367" s="163" t="str">
        <f t="shared" si="20"/>
        <v>im</v>
      </c>
      <c r="C367" s="119" t="s">
        <v>118</v>
      </c>
      <c r="E367" s="269" t="str">
        <f ca="1">_xll.DBRA(Server&amp;$C$24,$C367,$F$21)</f>
        <v>Autres impôts et taxes</v>
      </c>
      <c r="F367" s="269"/>
      <c r="G367" s="269"/>
      <c r="H367" s="40"/>
      <c r="I367" s="220" t="str">
        <f ca="1">_xll.DBRW(Server&amp;Cube1,$F$17,$F$18,$F$19,$F$16,$C$14,$F$15,$F$14,$F$20,I$2,I$1,$C367)</f>
        <v/>
      </c>
      <c r="J367" s="220" t="str">
        <f ca="1">_xll.DBRW(Server&amp;Cube1,$F$17,$F$18,$F$19,$F$16,$C$14,$F$15,$F$14,$F$20,J$2,J$1,$C367)</f>
        <v/>
      </c>
      <c r="K367" s="220" t="e">
        <f ca="1">_xll.DBRW(Server&amp;Cube1,$F$17,$F$18,$F$19,$F$16,$C$14,$F$15,$F$14,$F$20,I$2,I$1,$C367) -_xll.DBRW(Server&amp;Cube1,$F$17,$F$18,$F$19,$F$16,$C$14,$F$15,$F$14,$F$20,K$2,I$1,$C367)</f>
        <v>#VALUE!</v>
      </c>
      <c r="L367" s="220" t="e">
        <f t="shared" ca="1" si="19"/>
        <v>#VALUE!</v>
      </c>
      <c r="M367" s="220" t="e">
        <f t="shared" ca="1" si="18"/>
        <v>#VALUE!</v>
      </c>
      <c r="N367" s="229"/>
      <c r="O367" s="228" t="str">
        <f ca="1">_xll.DBRW(Server&amp;Cube1,$F$17,$F$18,$F$19,$F$16,$C$14,$F$15,$F$14,$F$20,O$2,O$1,$C367)</f>
        <v/>
      </c>
      <c r="P367" s="229"/>
      <c r="Q367" s="240" t="str">
        <f ca="1">IF(_xll.ELCOMPN(Server&amp;$C$24,C367)=0,"YES","NO")</f>
        <v>NO</v>
      </c>
      <c r="R367" s="228"/>
      <c r="S367" s="229"/>
      <c r="T367" s="231" t="str">
        <f ca="1">_xll.DBRW(Server&amp;Cube1,$F$17,$F$18,$F$19,$F$16,$C$14,$F$15,$F$14,$F$20,T$2,$T$1,$C367)</f>
        <v/>
      </c>
      <c r="U367" s="231" t="str">
        <f ca="1">_xll.DBRW(Server&amp;Cube1,$F$17,$F$18,$F$19,$F$16,$C$14,$F$15,$F$14,$F$20,U$2,$U$1,$C367)</f>
        <v/>
      </c>
      <c r="V367" s="231" t="str">
        <f ca="1">_xll.DBRW(Server&amp;Cube1,$F$17,$F$18,$F$19,$F$16,$C$14,$F$15,$F$14,$F$20,V$2,V$1,$C367)</f>
        <v/>
      </c>
      <c r="W367" s="231" t="str">
        <f ca="1">_xll.DBRW(Server&amp;Cube1,$F$17,$F$18,$F$19,$F$16,$C$14,$F$15,$F$14,$F$20,W$2,W$1,$C367)</f>
        <v/>
      </c>
      <c r="X367" s="228" t="str">
        <f ca="1">_xll.DBRW(Server&amp;Cube1,$F$17,$F$18,$F$19,$F$16,$C$14,$F$15,$F$14,$F$20,X$2,X$1,$C367)</f>
        <v/>
      </c>
      <c r="Y367" s="228" t="str">
        <f ca="1">_xll.DBRW(Server&amp;Cube1,$F$17,$F$18,$F$19,$F$16,$C$14,$F$15,$F$14,$F$20,Y$2,Y$1,$C367)</f>
        <v/>
      </c>
      <c r="Z367" s="228" t="str">
        <f ca="1">_xll.DBRW(Server&amp;Cube1,$F$17,$F$18,$F$19,$F$16,$C$14,$F$15,$F$14,$F$20,Z$2,Z$1,$C367)</f>
        <v/>
      </c>
      <c r="AA367" s="228" t="str">
        <f ca="1">_xll.DBRW(Server&amp;Cube1,$F$17,$F$18,$F$19,$F$16,$C$14,$F$15,$F$14,$F$20,AA$2,AA$1,$C367)</f>
        <v/>
      </c>
      <c r="AB367" s="228" t="str">
        <f ca="1">_xll.DBRW(Server&amp;Cube1,$F$17,$F$18,$F$19,$F$16,$C$14,$F$15,$F$14,$F$20,AB$2,AB$1,$C367)</f>
        <v/>
      </c>
      <c r="AC367" s="228" t="str">
        <f ca="1">_xll.DBRW(Server&amp;Cube1,$F$17,$F$18,$F$19,$F$16,$C$14,$F$15,$F$14,$F$20,AC$2,AC$1,$C367)</f>
        <v/>
      </c>
      <c r="AD367" s="228" t="str">
        <f ca="1">_xll.DBRW(Server&amp;Cube1,$F$17,$F$18,$F$19,$F$16,$C$14,$F$15,$F$14,$F$20,AD$2,AD$1,$C367)</f>
        <v/>
      </c>
      <c r="AE367" s="228" t="str">
        <f ca="1">_xll.DBRW(Server&amp;Cube1,$F$17,$F$18,$F$19,$F$16,$C$14,$F$15,$F$14,$F$20,AE$2,AE$1,$C367)</f>
        <v/>
      </c>
      <c r="AF367" s="228" t="str">
        <f ca="1">_xll.DBRW(Server&amp;Cube1,$F$17,$F$18,$F$19,$F$16,$C$14,$F$15,$F$14,$F$20,AF$2,$AF$1,$C367)</f>
        <v/>
      </c>
      <c r="AG367" s="53"/>
      <c r="AH367" s="53"/>
      <c r="AI367" s="53"/>
      <c r="AJ367" s="53"/>
      <c r="AK367" s="53"/>
      <c r="AL367" s="53"/>
      <c r="AM367" s="53"/>
      <c r="AN367" s="53"/>
      <c r="AO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:53" s="9" customFormat="1" ht="24" customHeight="1" x14ac:dyDescent="0.35">
      <c r="A368" s="181">
        <f ca="1">IF($AT$35="YES",1,IF(_xll.ELCOMPN(Server&amp;$C$24,C368)&lt;&gt;0,1,IF(OR(B368=$AZ$35,B368="ALL"),1,0)))</f>
        <v>1</v>
      </c>
      <c r="B368" s="163" t="str">
        <f t="shared" si="20"/>
        <v>CV</v>
      </c>
      <c r="C368" s="117" t="s">
        <v>119</v>
      </c>
      <c r="E368" s="270" t="str">
        <f ca="1">_xll.DBRA(Server&amp;$C$24,$C368,$F$21)</f>
        <v>CET - CVAE</v>
      </c>
      <c r="F368" s="270"/>
      <c r="G368" s="270"/>
      <c r="H368" s="40"/>
      <c r="I368" s="221" t="str">
        <f ca="1">_xll.DBRW(Server&amp;Cube1,$F$17,$F$18,$F$19,$F$16,$C$14,$F$15,$F$14,$F$20,I$2,I$1,$C368)</f>
        <v/>
      </c>
      <c r="J368" s="221" t="str">
        <f ca="1">_xll.DBRW(Server&amp;Cube1,$F$17,$F$18,$F$19,$F$16,$C$14,$F$15,$F$14,$F$20,J$2,J$1,$C368)</f>
        <v/>
      </c>
      <c r="K368" s="221" t="e">
        <f ca="1">_xll.DBRW(Server&amp;Cube1,$F$17,$F$18,$F$19,$F$16,$C$14,$F$15,$F$14,$F$20,I$2,I$1,$C368) -_xll.DBRW(Server&amp;Cube1,$F$17,$F$18,$F$19,$F$16,$C$14,$F$15,$F$14,$F$20,K$2,I$1,$C368)</f>
        <v>#VALUE!</v>
      </c>
      <c r="L368" s="221" t="e">
        <f t="shared" ca="1" si="19"/>
        <v>#VALUE!</v>
      </c>
      <c r="M368" s="221" t="e">
        <f t="shared" ca="1" si="18"/>
        <v>#VALUE!</v>
      </c>
      <c r="N368" s="229"/>
      <c r="O368" s="229" t="str">
        <f ca="1">_xll.DBRW(Server&amp;Cube1,$F$17,$F$18,$F$19,$F$16,$C$14,$F$15,$F$14,$F$20,O$2,O$1,$C368)</f>
        <v/>
      </c>
      <c r="P368" s="229"/>
      <c r="Q368" s="240" t="str">
        <f ca="1">IF(_xll.ELCOMPN(Server&amp;$C$24,C368)=0,"YES","NO")</f>
        <v>NO</v>
      </c>
      <c r="R368" s="229"/>
      <c r="S368" s="229"/>
      <c r="T368" s="230" t="str">
        <f ca="1">_xll.DBRW(Server&amp;Cube1,$F$17,$F$18,$F$19,$F$16,$C$14,$F$15,$F$14,$F$20,T$2,$T$1,$C368)</f>
        <v/>
      </c>
      <c r="U368" s="230" t="str">
        <f ca="1">_xll.DBRW(Server&amp;Cube1,$F$17,$F$18,$F$19,$F$16,$C$14,$F$15,$F$14,$F$20,U$2,$U$1,$C368)</f>
        <v/>
      </c>
      <c r="V368" s="230" t="str">
        <f ca="1">_xll.DBRW(Server&amp;Cube1,$F$17,$F$18,$F$19,$F$16,$C$14,$F$15,$F$14,$F$20,V$2,V$1,$C368)</f>
        <v/>
      </c>
      <c r="W368" s="230" t="str">
        <f ca="1">_xll.DBRW(Server&amp;Cube1,$F$17,$F$18,$F$19,$F$16,$C$14,$F$15,$F$14,$F$20,W$2,W$1,$C368)</f>
        <v/>
      </c>
      <c r="X368" s="229" t="str">
        <f ca="1">_xll.DBRW(Server&amp;Cube1,$F$17,$F$18,$F$19,$F$16,$C$14,$F$15,$F$14,$F$20,X$2,X$1,$C368)</f>
        <v/>
      </c>
      <c r="Y368" s="229" t="str">
        <f ca="1">_xll.DBRW(Server&amp;Cube1,$F$17,$F$18,$F$19,$F$16,$C$14,$F$15,$F$14,$F$20,Y$2,Y$1,$C368)</f>
        <v/>
      </c>
      <c r="Z368" s="229" t="str">
        <f ca="1">_xll.DBRW(Server&amp;Cube1,$F$17,$F$18,$F$19,$F$16,$C$14,$F$15,$F$14,$F$20,Z$2,Z$1,$C368)</f>
        <v/>
      </c>
      <c r="AA368" s="229" t="str">
        <f ca="1">_xll.DBRW(Server&amp;Cube1,$F$17,$F$18,$F$19,$F$16,$C$14,$F$15,$F$14,$F$20,AA$2,AA$1,$C368)</f>
        <v/>
      </c>
      <c r="AB368" s="229" t="str">
        <f ca="1">_xll.DBRW(Server&amp;Cube1,$F$17,$F$18,$F$19,$F$16,$C$14,$F$15,$F$14,$F$20,AB$2,AB$1,$C368)</f>
        <v/>
      </c>
      <c r="AC368" s="229" t="str">
        <f ca="1">_xll.DBRW(Server&amp;Cube1,$F$17,$F$18,$F$19,$F$16,$C$14,$F$15,$F$14,$F$20,AC$2,AC$1,$C368)</f>
        <v/>
      </c>
      <c r="AD368" s="229" t="str">
        <f ca="1">_xll.DBRW(Server&amp;Cube1,$F$17,$F$18,$F$19,$F$16,$C$14,$F$15,$F$14,$F$20,AD$2,AD$1,$C368)</f>
        <v/>
      </c>
      <c r="AE368" s="229" t="str">
        <f ca="1">_xll.DBRW(Server&amp;Cube1,$F$17,$F$18,$F$19,$F$16,$C$14,$F$15,$F$14,$F$20,AE$2,AE$1,$C368)</f>
        <v/>
      </c>
      <c r="AF368" s="229" t="str">
        <f ca="1">_xll.DBRW(Server&amp;Cube1,$F$17,$F$18,$F$19,$F$16,$C$14,$F$15,$F$14,$F$20,AF$2,$AF$1,$C368)</f>
        <v/>
      </c>
      <c r="AG368" s="53"/>
      <c r="AH368" s="53"/>
      <c r="AI368" s="53"/>
      <c r="AJ368" s="53"/>
      <c r="AK368" s="53"/>
      <c r="AL368" s="53"/>
      <c r="AM368" s="53"/>
      <c r="AN368" s="53"/>
      <c r="AO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:53" s="9" customFormat="1" ht="24" customHeight="1" x14ac:dyDescent="0.35">
      <c r="A369" s="181" t="e">
        <f ca="1">IF($AT$35="YES",1,IF(_xll.ELCOMPN(Server&amp;$C$24,C369)&lt;&gt;0,1,IF(OR(B369=$AZ$35,B369="ALL"),1,0)))</f>
        <v>#VALUE!</v>
      </c>
      <c r="B369" s="163" t="str">
        <f t="shared" si="20"/>
        <v>DS</v>
      </c>
      <c r="C369" s="117" t="s">
        <v>422</v>
      </c>
      <c r="E369" s="268" t="str">
        <f ca="1">_xll.DBRA(Server&amp;$C$24,$C369,$F$21)</f>
        <v>CET - CVAE (SO)</v>
      </c>
      <c r="F369" s="268"/>
      <c r="G369" s="268"/>
      <c r="H369" s="40"/>
      <c r="I369" s="221" t="str">
        <f ca="1">_xll.DBRW(Server&amp;Cube1,$F$17,$F$18,$F$19,$F$16,$C$14,$F$15,$F$14,$F$20,I$2,I$1,$C369)</f>
        <v/>
      </c>
      <c r="J369" s="221" t="str">
        <f ca="1">_xll.DBRW(Server&amp;Cube1,$F$17,$F$18,$F$19,$F$16,$C$14,$F$15,$F$14,$F$20,J$2,J$1,$C369)</f>
        <v/>
      </c>
      <c r="K369" s="221" t="e">
        <f ca="1">_xll.DBRW(Server&amp;Cube1,$F$17,$F$18,$F$19,$F$16,$C$14,$F$15,$F$14,$F$20,I$2,I$1,$C369) -_xll.DBRW(Server&amp;Cube1,$F$17,$F$18,$F$19,$F$16,$C$14,$F$15,$F$14,$F$20,K$2,I$1,$C369)</f>
        <v>#VALUE!</v>
      </c>
      <c r="L369" s="221" t="e">
        <f t="shared" ca="1" si="19"/>
        <v>#VALUE!</v>
      </c>
      <c r="M369" s="221" t="e">
        <f t="shared" ca="1" si="18"/>
        <v>#VALUE!</v>
      </c>
      <c r="N369" s="226"/>
      <c r="O369" s="221" t="str">
        <f ca="1">_xll.DBRW(Server&amp;Cube1,$F$17,$F$18,$F$19,$F$16,$C$14,$F$15,$F$14,$F$20,O$2,O$1,$C369)</f>
        <v/>
      </c>
      <c r="P369" s="226"/>
      <c r="Q369" s="240" t="str">
        <f ca="1">IF(_xll.ELCOMPN(Server&amp;$C$24,C369)=0,"YES","NO")</f>
        <v>YES</v>
      </c>
      <c r="R369" s="241">
        <v>0</v>
      </c>
      <c r="S369" s="226"/>
      <c r="T369" s="227" t="str">
        <f ca="1">_xll.DBRW(Server&amp;Cube1,$F$17,$F$18,$F$19,$F$16,$C$14,$F$15,$F$14,$F$20,T$2,$T$1,$C369)</f>
        <v/>
      </c>
      <c r="U369" s="227" t="str">
        <f ca="1">_xll.DBRW(Server&amp;Cube1,$F$17,$F$18,$F$19,$F$16,$C$14,$F$15,$F$14,$F$20,U$2,$U$1,$C369)</f>
        <v/>
      </c>
      <c r="V369" s="227" t="str">
        <f ca="1">_xll.DBRW(Server&amp;Cube1,$F$17,$F$18,$F$19,$F$16,$C$14,$F$15,$F$14,$F$20,V$2,V$1,$C369)</f>
        <v/>
      </c>
      <c r="W369" s="227" t="str">
        <f ca="1">_xll.DBRW(Server&amp;Cube1,$F$17,$F$18,$F$19,$F$16,$C$14,$F$15,$F$14,$F$20,W$2,W$1,$C369)</f>
        <v/>
      </c>
      <c r="X369" s="227" t="str">
        <f ca="1">_xll.DBRW(Server&amp;Cube1,$F$17,$F$18,$F$19,$F$16,$C$14,$F$15,$F$14,$F$20,X$2,X$1,$C369)</f>
        <v/>
      </c>
      <c r="Y369" s="227" t="str">
        <f ca="1">_xll.DBRW(Server&amp;Cube1,$F$17,$F$18,$F$19,$F$16,$C$14,$F$15,$F$14,$F$20,Y$2,Y$1,$C369)</f>
        <v/>
      </c>
      <c r="Z369" s="241"/>
      <c r="AA369" s="241"/>
      <c r="AB369" s="241"/>
      <c r="AC369" s="241"/>
      <c r="AD369" s="241"/>
      <c r="AE369" s="241"/>
      <c r="AF369" s="221" t="str">
        <f ca="1">_xll.DBRW(Server&amp;Cube1,$F$17,$F$18,$F$19,$F$16,$C$14,$F$15,$F$14,$F$20,AF$2,$AF$1,$C369)</f>
        <v/>
      </c>
      <c r="AG369" s="53"/>
      <c r="AH369" s="53"/>
      <c r="AI369" s="53"/>
      <c r="AJ369" s="53"/>
      <c r="AK369" s="53"/>
      <c r="AL369" s="53"/>
      <c r="AM369" s="53"/>
      <c r="AN369" s="53"/>
      <c r="AO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:53" s="9" customFormat="1" ht="24" customHeight="1" x14ac:dyDescent="0.35">
      <c r="A370" s="181" t="e">
        <f ca="1">IF($AT$35="YES",1,IF(_xll.ELCOMPN(Server&amp;$C$24,C370)&lt;&gt;0,1,IF(OR(B370=$AZ$35,B370="ALL"),1,0)))</f>
        <v>#VALUE!</v>
      </c>
      <c r="B370" s="163" t="str">
        <f t="shared" si="20"/>
        <v>BD</v>
      </c>
      <c r="C370" s="117" t="s">
        <v>423</v>
      </c>
      <c r="E370" s="268" t="str">
        <f ca="1">_xll.DBRA(Server&amp;$C$24,$C370,$F$21)</f>
        <v>CET - CVAE (DC)</v>
      </c>
      <c r="F370" s="268"/>
      <c r="G370" s="268"/>
      <c r="H370" s="40"/>
      <c r="I370" s="221" t="str">
        <f ca="1">_xll.DBRW(Server&amp;Cube1,$F$17,$F$18,$F$19,$F$16,$C$14,$F$15,$F$14,$F$20,I$2,I$1,$C370)</f>
        <v/>
      </c>
      <c r="J370" s="221" t="str">
        <f ca="1">_xll.DBRW(Server&amp;Cube1,$F$17,$F$18,$F$19,$F$16,$C$14,$F$15,$F$14,$F$20,J$2,J$1,$C370)</f>
        <v/>
      </c>
      <c r="K370" s="221" t="e">
        <f ca="1">_xll.DBRW(Server&amp;Cube1,$F$17,$F$18,$F$19,$F$16,$C$14,$F$15,$F$14,$F$20,I$2,I$1,$C370) -_xll.DBRW(Server&amp;Cube1,$F$17,$F$18,$F$19,$F$16,$C$14,$F$15,$F$14,$F$20,K$2,I$1,$C370)</f>
        <v>#VALUE!</v>
      </c>
      <c r="L370" s="221" t="e">
        <f t="shared" ca="1" si="19"/>
        <v>#VALUE!</v>
      </c>
      <c r="M370" s="221" t="e">
        <f t="shared" ca="1" si="18"/>
        <v>#VALUE!</v>
      </c>
      <c r="N370" s="226"/>
      <c r="O370" s="221" t="str">
        <f ca="1">_xll.DBRW(Server&amp;Cube1,$F$17,$F$18,$F$19,$F$16,$C$14,$F$15,$F$14,$F$20,O$2,O$1,$C370)</f>
        <v/>
      </c>
      <c r="P370" s="226"/>
      <c r="Q370" s="240" t="str">
        <f ca="1">IF(_xll.ELCOMPN(Server&amp;$C$24,C370)=0,"YES","NO")</f>
        <v>YES</v>
      </c>
      <c r="R370" s="241">
        <v>0</v>
      </c>
      <c r="S370" s="226"/>
      <c r="T370" s="227" t="str">
        <f ca="1">_xll.DBRW(Server&amp;Cube1,$F$17,$F$18,$F$19,$F$16,$C$14,$F$15,$F$14,$F$20,T$2,$T$1,$C370)</f>
        <v/>
      </c>
      <c r="U370" s="227" t="str">
        <f ca="1">_xll.DBRW(Server&amp;Cube1,$F$17,$F$18,$F$19,$F$16,$C$14,$F$15,$F$14,$F$20,U$2,$U$1,$C370)</f>
        <v/>
      </c>
      <c r="V370" s="227" t="str">
        <f ca="1">_xll.DBRW(Server&amp;Cube1,$F$17,$F$18,$F$19,$F$16,$C$14,$F$15,$F$14,$F$20,V$2,V$1,$C370)</f>
        <v/>
      </c>
      <c r="W370" s="227" t="str">
        <f ca="1">_xll.DBRW(Server&amp;Cube1,$F$17,$F$18,$F$19,$F$16,$C$14,$F$15,$F$14,$F$20,W$2,W$1,$C370)</f>
        <v/>
      </c>
      <c r="X370" s="227" t="str">
        <f ca="1">_xll.DBRW(Server&amp;Cube1,$F$17,$F$18,$F$19,$F$16,$C$14,$F$15,$F$14,$F$20,X$2,X$1,$C370)</f>
        <v/>
      </c>
      <c r="Y370" s="227" t="str">
        <f ca="1">_xll.DBRW(Server&amp;Cube1,$F$17,$F$18,$F$19,$F$16,$C$14,$F$15,$F$14,$F$20,Y$2,Y$1,$C370)</f>
        <v/>
      </c>
      <c r="Z370" s="241"/>
      <c r="AA370" s="241"/>
      <c r="AB370" s="241"/>
      <c r="AC370" s="241"/>
      <c r="AD370" s="241"/>
      <c r="AE370" s="241"/>
      <c r="AF370" s="221" t="str">
        <f ca="1">_xll.DBRW(Server&amp;Cube1,$F$17,$F$18,$F$19,$F$16,$C$14,$F$15,$F$14,$F$20,AF$2,$AF$1,$C370)</f>
        <v/>
      </c>
      <c r="AG370" s="53"/>
      <c r="AH370" s="53"/>
      <c r="AI370" s="53"/>
      <c r="AJ370" s="53"/>
      <c r="AK370" s="53"/>
      <c r="AL370" s="53"/>
      <c r="AM370" s="53"/>
      <c r="AN370" s="53"/>
      <c r="AO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:53" s="9" customFormat="1" ht="24" customHeight="1" x14ac:dyDescent="0.35">
      <c r="A371" s="181" t="e">
        <f ca="1">IF($AT$35="YES",1,IF(_xll.ELCOMPN(Server&amp;$C$24,C371)&lt;&gt;0,1,IF(OR(B371=$AZ$35,B371="ALL"),1,0)))</f>
        <v>#VALUE!</v>
      </c>
      <c r="B371" s="163" t="str">
        <f t="shared" si="20"/>
        <v>FI</v>
      </c>
      <c r="C371" s="117" t="s">
        <v>424</v>
      </c>
      <c r="E371" s="268" t="str">
        <f ca="1">_xll.DBRA(Server&amp;$C$24,$C371,$F$21)</f>
        <v>CET - CVAE (DF)</v>
      </c>
      <c r="F371" s="268"/>
      <c r="G371" s="268"/>
      <c r="H371" s="40"/>
      <c r="I371" s="221" t="str">
        <f ca="1">_xll.DBRW(Server&amp;Cube1,$F$17,$F$18,$F$19,$F$16,$C$14,$F$15,$F$14,$F$20,I$2,I$1,$C371)</f>
        <v/>
      </c>
      <c r="J371" s="221" t="str">
        <f ca="1">_xll.DBRW(Server&amp;Cube1,$F$17,$F$18,$F$19,$F$16,$C$14,$F$15,$F$14,$F$20,J$2,J$1,$C371)</f>
        <v/>
      </c>
      <c r="K371" s="221" t="e">
        <f ca="1">_xll.DBRW(Server&amp;Cube1,$F$17,$F$18,$F$19,$F$16,$C$14,$F$15,$F$14,$F$20,I$2,I$1,$C371) -_xll.DBRW(Server&amp;Cube1,$F$17,$F$18,$F$19,$F$16,$C$14,$F$15,$F$14,$F$20,K$2,I$1,$C371)</f>
        <v>#VALUE!</v>
      </c>
      <c r="L371" s="221" t="e">
        <f t="shared" ca="1" si="19"/>
        <v>#VALUE!</v>
      </c>
      <c r="M371" s="221" t="e">
        <f t="shared" ca="1" si="18"/>
        <v>#VALUE!</v>
      </c>
      <c r="N371" s="226"/>
      <c r="O371" s="221" t="str">
        <f ca="1">_xll.DBRW(Server&amp;Cube1,$F$17,$F$18,$F$19,$F$16,$C$14,$F$15,$F$14,$F$20,O$2,O$1,$C371)</f>
        <v/>
      </c>
      <c r="P371" s="226"/>
      <c r="Q371" s="240" t="str">
        <f ca="1">IF(_xll.ELCOMPN(Server&amp;$C$24,C371)=0,"YES","NO")</f>
        <v>YES</v>
      </c>
      <c r="R371" s="241">
        <v>0</v>
      </c>
      <c r="S371" s="226"/>
      <c r="T371" s="227" t="str">
        <f ca="1">_xll.DBRW(Server&amp;Cube1,$F$17,$F$18,$F$19,$F$16,$C$14,$F$15,$F$14,$F$20,T$2,$T$1,$C371)</f>
        <v/>
      </c>
      <c r="U371" s="227" t="str">
        <f ca="1">_xll.DBRW(Server&amp;Cube1,$F$17,$F$18,$F$19,$F$16,$C$14,$F$15,$F$14,$F$20,U$2,$U$1,$C371)</f>
        <v/>
      </c>
      <c r="V371" s="227" t="str">
        <f ca="1">_xll.DBRW(Server&amp;Cube1,$F$17,$F$18,$F$19,$F$16,$C$14,$F$15,$F$14,$F$20,V$2,V$1,$C371)</f>
        <v/>
      </c>
      <c r="W371" s="227" t="str">
        <f ca="1">_xll.DBRW(Server&amp;Cube1,$F$17,$F$18,$F$19,$F$16,$C$14,$F$15,$F$14,$F$20,W$2,W$1,$C371)</f>
        <v/>
      </c>
      <c r="X371" s="227" t="str">
        <f ca="1">_xll.DBRW(Server&amp;Cube1,$F$17,$F$18,$F$19,$F$16,$C$14,$F$15,$F$14,$F$20,X$2,X$1,$C371)</f>
        <v/>
      </c>
      <c r="Y371" s="227" t="str">
        <f ca="1">_xll.DBRW(Server&amp;Cube1,$F$17,$F$18,$F$19,$F$16,$C$14,$F$15,$F$14,$F$20,Y$2,Y$1,$C371)</f>
        <v/>
      </c>
      <c r="Z371" s="241"/>
      <c r="AA371" s="241"/>
      <c r="AB371" s="241"/>
      <c r="AC371" s="241"/>
      <c r="AD371" s="241"/>
      <c r="AE371" s="241"/>
      <c r="AF371" s="221" t="str">
        <f ca="1">_xll.DBRW(Server&amp;Cube1,$F$17,$F$18,$F$19,$F$16,$C$14,$F$15,$F$14,$F$20,AF$2,$AF$1,$C371)</f>
        <v/>
      </c>
      <c r="AG371" s="53"/>
      <c r="AH371" s="53"/>
      <c r="AI371" s="53"/>
      <c r="AJ371" s="53"/>
      <c r="AK371" s="53"/>
      <c r="AL371" s="53"/>
      <c r="AM371" s="53"/>
      <c r="AN371" s="53"/>
      <c r="AO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:53" s="9" customFormat="1" ht="24" customHeight="1" x14ac:dyDescent="0.35">
      <c r="A372" s="181" t="e">
        <f ca="1">IF($AT$35="YES",1,IF(_xll.ELCOMPN(Server&amp;$C$24,C372)&lt;&gt;0,1,IF(OR(B372=$AZ$35,B372="ALL"),1,0)))</f>
        <v>#VALUE!</v>
      </c>
      <c r="B372" s="163" t="str">
        <f t="shared" si="20"/>
        <v>IT</v>
      </c>
      <c r="C372" s="117" t="s">
        <v>425</v>
      </c>
      <c r="E372" s="268" t="str">
        <f ca="1">_xll.DBRA(Server&amp;$C$24,$C372,$F$21)</f>
        <v>CET - CVAE (IT)</v>
      </c>
      <c r="F372" s="268"/>
      <c r="G372" s="268"/>
      <c r="H372" s="40"/>
      <c r="I372" s="221" t="str">
        <f ca="1">_xll.DBRW(Server&amp;Cube1,$F$17,$F$18,$F$19,$F$16,$C$14,$F$15,$F$14,$F$20,I$2,I$1,$C372)</f>
        <v/>
      </c>
      <c r="J372" s="221" t="str">
        <f ca="1">_xll.DBRW(Server&amp;Cube1,$F$17,$F$18,$F$19,$F$16,$C$14,$F$15,$F$14,$F$20,J$2,J$1,$C372)</f>
        <v/>
      </c>
      <c r="K372" s="221" t="e">
        <f ca="1">_xll.DBRW(Server&amp;Cube1,$F$17,$F$18,$F$19,$F$16,$C$14,$F$15,$F$14,$F$20,I$2,I$1,$C372) -_xll.DBRW(Server&amp;Cube1,$F$17,$F$18,$F$19,$F$16,$C$14,$F$15,$F$14,$F$20,K$2,I$1,$C372)</f>
        <v>#VALUE!</v>
      </c>
      <c r="L372" s="221" t="e">
        <f t="shared" ca="1" si="19"/>
        <v>#VALUE!</v>
      </c>
      <c r="M372" s="221" t="e">
        <f t="shared" ca="1" si="18"/>
        <v>#VALUE!</v>
      </c>
      <c r="N372" s="226"/>
      <c r="O372" s="221" t="str">
        <f ca="1">_xll.DBRW(Server&amp;Cube1,$F$17,$F$18,$F$19,$F$16,$C$14,$F$15,$F$14,$F$20,O$2,O$1,$C372)</f>
        <v/>
      </c>
      <c r="P372" s="226"/>
      <c r="Q372" s="240" t="str">
        <f ca="1">IF(_xll.ELCOMPN(Server&amp;$C$24,C372)=0,"YES","NO")</f>
        <v>YES</v>
      </c>
      <c r="R372" s="241">
        <v>0</v>
      </c>
      <c r="S372" s="226"/>
      <c r="T372" s="227" t="str">
        <f ca="1">_xll.DBRW(Server&amp;Cube1,$F$17,$F$18,$F$19,$F$16,$C$14,$F$15,$F$14,$F$20,T$2,$T$1,$C372)</f>
        <v/>
      </c>
      <c r="U372" s="227" t="str">
        <f ca="1">_xll.DBRW(Server&amp;Cube1,$F$17,$F$18,$F$19,$F$16,$C$14,$F$15,$F$14,$F$20,U$2,$U$1,$C372)</f>
        <v/>
      </c>
      <c r="V372" s="227" t="str">
        <f ca="1">_xll.DBRW(Server&amp;Cube1,$F$17,$F$18,$F$19,$F$16,$C$14,$F$15,$F$14,$F$20,V$2,V$1,$C372)</f>
        <v/>
      </c>
      <c r="W372" s="227" t="str">
        <f ca="1">_xll.DBRW(Server&amp;Cube1,$F$17,$F$18,$F$19,$F$16,$C$14,$F$15,$F$14,$F$20,W$2,W$1,$C372)</f>
        <v/>
      </c>
      <c r="X372" s="227" t="str">
        <f ca="1">_xll.DBRW(Server&amp;Cube1,$F$17,$F$18,$F$19,$F$16,$C$14,$F$15,$F$14,$F$20,X$2,X$1,$C372)</f>
        <v/>
      </c>
      <c r="Y372" s="227" t="str">
        <f ca="1">_xll.DBRW(Server&amp;Cube1,$F$17,$F$18,$F$19,$F$16,$C$14,$F$15,$F$14,$F$20,Y$2,Y$1,$C372)</f>
        <v/>
      </c>
      <c r="Z372" s="241"/>
      <c r="AA372" s="241"/>
      <c r="AB372" s="241"/>
      <c r="AC372" s="241"/>
      <c r="AD372" s="241"/>
      <c r="AE372" s="241"/>
      <c r="AF372" s="221" t="str">
        <f ca="1">_xll.DBRW(Server&amp;Cube1,$F$17,$F$18,$F$19,$F$16,$C$14,$F$15,$F$14,$F$20,AF$2,$AF$1,$C372)</f>
        <v/>
      </c>
      <c r="AG372" s="53"/>
      <c r="AH372" s="53"/>
      <c r="AI372" s="53"/>
      <c r="AJ372" s="53"/>
      <c r="AK372" s="53"/>
      <c r="AL372" s="53"/>
      <c r="AM372" s="53"/>
      <c r="AN372" s="53"/>
      <c r="AO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:53" s="9" customFormat="1" ht="24" customHeight="1" x14ac:dyDescent="0.35">
      <c r="A373" s="181" t="e">
        <f ca="1">IF($AT$35="YES",1,IF(_xll.ELCOMPN(Server&amp;$C$24,C373)&lt;&gt;0,1,IF(OR(B373=$AZ$35,B373="ALL"),1,0)))</f>
        <v>#VALUE!</v>
      </c>
      <c r="B373" s="163" t="str">
        <f t="shared" si="20"/>
        <v>HR</v>
      </c>
      <c r="C373" s="117" t="s">
        <v>426</v>
      </c>
      <c r="E373" s="268" t="str">
        <f ca="1">_xll.DBRA(Server&amp;$C$24,$C373,$F$21)</f>
        <v>CET - CVAE (RH)</v>
      </c>
      <c r="F373" s="268"/>
      <c r="G373" s="268"/>
      <c r="H373" s="40"/>
      <c r="I373" s="221" t="str">
        <f ca="1">_xll.DBRW(Server&amp;Cube1,$F$17,$F$18,$F$19,$F$16,$C$14,$F$15,$F$14,$F$20,I$2,I$1,$C373)</f>
        <v/>
      </c>
      <c r="J373" s="221" t="str">
        <f ca="1">_xll.DBRW(Server&amp;Cube1,$F$17,$F$18,$F$19,$F$16,$C$14,$F$15,$F$14,$F$20,J$2,J$1,$C373)</f>
        <v/>
      </c>
      <c r="K373" s="221" t="e">
        <f ca="1">_xll.DBRW(Server&amp;Cube1,$F$17,$F$18,$F$19,$F$16,$C$14,$F$15,$F$14,$F$20,I$2,I$1,$C373) -_xll.DBRW(Server&amp;Cube1,$F$17,$F$18,$F$19,$F$16,$C$14,$F$15,$F$14,$F$20,K$2,I$1,$C373)</f>
        <v>#VALUE!</v>
      </c>
      <c r="L373" s="221" t="e">
        <f t="shared" ca="1" si="19"/>
        <v>#VALUE!</v>
      </c>
      <c r="M373" s="221" t="e">
        <f t="shared" ca="1" si="18"/>
        <v>#VALUE!</v>
      </c>
      <c r="N373" s="226"/>
      <c r="O373" s="221" t="str">
        <f ca="1">_xll.DBRW(Server&amp;Cube1,$F$17,$F$18,$F$19,$F$16,$C$14,$F$15,$F$14,$F$20,O$2,O$1,$C373)</f>
        <v/>
      </c>
      <c r="P373" s="226"/>
      <c r="Q373" s="240" t="str">
        <f ca="1">IF(_xll.ELCOMPN(Server&amp;$C$24,C373)=0,"YES","NO")</f>
        <v>YES</v>
      </c>
      <c r="R373" s="241">
        <v>0</v>
      </c>
      <c r="S373" s="226"/>
      <c r="T373" s="227" t="str">
        <f ca="1">_xll.DBRW(Server&amp;Cube1,$F$17,$F$18,$F$19,$F$16,$C$14,$F$15,$F$14,$F$20,T$2,$T$1,$C373)</f>
        <v/>
      </c>
      <c r="U373" s="227" t="str">
        <f ca="1">_xll.DBRW(Server&amp;Cube1,$F$17,$F$18,$F$19,$F$16,$C$14,$F$15,$F$14,$F$20,U$2,$U$1,$C373)</f>
        <v/>
      </c>
      <c r="V373" s="227" t="str">
        <f ca="1">_xll.DBRW(Server&amp;Cube1,$F$17,$F$18,$F$19,$F$16,$C$14,$F$15,$F$14,$F$20,V$2,V$1,$C373)</f>
        <v/>
      </c>
      <c r="W373" s="227" t="str">
        <f ca="1">_xll.DBRW(Server&amp;Cube1,$F$17,$F$18,$F$19,$F$16,$C$14,$F$15,$F$14,$F$20,W$2,W$1,$C373)</f>
        <v/>
      </c>
      <c r="X373" s="227" t="str">
        <f ca="1">_xll.DBRW(Server&amp;Cube1,$F$17,$F$18,$F$19,$F$16,$C$14,$F$15,$F$14,$F$20,X$2,X$1,$C373)</f>
        <v/>
      </c>
      <c r="Y373" s="227" t="str">
        <f ca="1">_xll.DBRW(Server&amp;Cube1,$F$17,$F$18,$F$19,$F$16,$C$14,$F$15,$F$14,$F$20,Y$2,Y$1,$C373)</f>
        <v/>
      </c>
      <c r="Z373" s="241"/>
      <c r="AA373" s="241"/>
      <c r="AB373" s="241"/>
      <c r="AC373" s="241"/>
      <c r="AD373" s="241"/>
      <c r="AE373" s="241"/>
      <c r="AF373" s="221" t="str">
        <f ca="1">_xll.DBRW(Server&amp;Cube1,$F$17,$F$18,$F$19,$F$16,$C$14,$F$15,$F$14,$F$20,AF$2,$AF$1,$C373)</f>
        <v/>
      </c>
      <c r="AG373" s="53"/>
      <c r="AH373" s="53"/>
      <c r="AI373" s="53"/>
      <c r="AJ373" s="53"/>
      <c r="AK373" s="53"/>
      <c r="AL373" s="53"/>
      <c r="AM373" s="53"/>
      <c r="AN373" s="53"/>
      <c r="AO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:53" s="9" customFormat="1" ht="24" customHeight="1" x14ac:dyDescent="0.35">
      <c r="A374" s="181" t="e">
        <f ca="1">IF($AT$35="YES",1,IF(_xll.ELCOMPN(Server&amp;$C$24,C374)&lt;&gt;0,1,IF(OR(B374=$AZ$35,B374="ALL"),1,0)))</f>
        <v>#VALUE!</v>
      </c>
      <c r="B374" s="163" t="str">
        <f t="shared" si="20"/>
        <v>GM</v>
      </c>
      <c r="C374" s="117" t="s">
        <v>427</v>
      </c>
      <c r="E374" s="268" t="str">
        <f ca="1">_xll.DBRA(Server&amp;$C$24,$C374,$F$21)</f>
        <v>CET - CVAE (DG)</v>
      </c>
      <c r="F374" s="268"/>
      <c r="G374" s="268"/>
      <c r="H374" s="40"/>
      <c r="I374" s="221" t="str">
        <f ca="1">_xll.DBRW(Server&amp;Cube1,$F$17,$F$18,$F$19,$F$16,$C$14,$F$15,$F$14,$F$20,I$2,I$1,$C374)</f>
        <v/>
      </c>
      <c r="J374" s="221" t="str">
        <f ca="1">_xll.DBRW(Server&amp;Cube1,$F$17,$F$18,$F$19,$F$16,$C$14,$F$15,$F$14,$F$20,J$2,J$1,$C374)</f>
        <v/>
      </c>
      <c r="K374" s="221" t="e">
        <f ca="1">_xll.DBRW(Server&amp;Cube1,$F$17,$F$18,$F$19,$F$16,$C$14,$F$15,$F$14,$F$20,I$2,I$1,$C374) -_xll.DBRW(Server&amp;Cube1,$F$17,$F$18,$F$19,$F$16,$C$14,$F$15,$F$14,$F$20,K$2,I$1,$C374)</f>
        <v>#VALUE!</v>
      </c>
      <c r="L374" s="221" t="e">
        <f t="shared" ca="1" si="19"/>
        <v>#VALUE!</v>
      </c>
      <c r="M374" s="221" t="e">
        <f t="shared" ca="1" si="18"/>
        <v>#VALUE!</v>
      </c>
      <c r="N374" s="226"/>
      <c r="O374" s="221" t="str">
        <f ca="1">_xll.DBRW(Server&amp;Cube1,$F$17,$F$18,$F$19,$F$16,$C$14,$F$15,$F$14,$F$20,O$2,O$1,$C374)</f>
        <v/>
      </c>
      <c r="P374" s="226"/>
      <c r="Q374" s="240" t="str">
        <f ca="1">IF(_xll.ELCOMPN(Server&amp;$C$24,C374)=0,"YES","NO")</f>
        <v>YES</v>
      </c>
      <c r="R374" s="241">
        <v>0</v>
      </c>
      <c r="S374" s="226"/>
      <c r="T374" s="227" t="str">
        <f ca="1">_xll.DBRW(Server&amp;Cube1,$F$17,$F$18,$F$19,$F$16,$C$14,$F$15,$F$14,$F$20,T$2,$T$1,$C374)</f>
        <v/>
      </c>
      <c r="U374" s="227" t="str">
        <f ca="1">_xll.DBRW(Server&amp;Cube1,$F$17,$F$18,$F$19,$F$16,$C$14,$F$15,$F$14,$F$20,U$2,$U$1,$C374)</f>
        <v/>
      </c>
      <c r="V374" s="227" t="str">
        <f ca="1">_xll.DBRW(Server&amp;Cube1,$F$17,$F$18,$F$19,$F$16,$C$14,$F$15,$F$14,$F$20,V$2,V$1,$C374)</f>
        <v/>
      </c>
      <c r="W374" s="227" t="str">
        <f ca="1">_xll.DBRW(Server&amp;Cube1,$F$17,$F$18,$F$19,$F$16,$C$14,$F$15,$F$14,$F$20,W$2,W$1,$C374)</f>
        <v/>
      </c>
      <c r="X374" s="227" t="str">
        <f ca="1">_xll.DBRW(Server&amp;Cube1,$F$17,$F$18,$F$19,$F$16,$C$14,$F$15,$F$14,$F$20,X$2,X$1,$C374)</f>
        <v/>
      </c>
      <c r="Y374" s="227" t="str">
        <f ca="1">_xll.DBRW(Server&amp;Cube1,$F$17,$F$18,$F$19,$F$16,$C$14,$F$15,$F$14,$F$20,Y$2,Y$1,$C374)</f>
        <v/>
      </c>
      <c r="Z374" s="241"/>
      <c r="AA374" s="241"/>
      <c r="AB374" s="241"/>
      <c r="AC374" s="241"/>
      <c r="AD374" s="241"/>
      <c r="AE374" s="241"/>
      <c r="AF374" s="221" t="str">
        <f ca="1">_xll.DBRW(Server&amp;Cube1,$F$17,$F$18,$F$19,$F$16,$C$14,$F$15,$F$14,$F$20,AF$2,$AF$1,$C374)</f>
        <v/>
      </c>
      <c r="AG374" s="53"/>
      <c r="AH374" s="53"/>
      <c r="AI374" s="53"/>
      <c r="AJ374" s="53"/>
      <c r="AK374" s="53"/>
      <c r="AL374" s="53"/>
      <c r="AM374" s="53"/>
      <c r="AN374" s="53"/>
      <c r="AO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:53" s="9" customFormat="1" ht="24" customHeight="1" x14ac:dyDescent="0.35">
      <c r="A375" s="181" t="e">
        <f ca="1">IF($AT$35="YES",1,IF(_xll.ELCOMPN(Server&amp;$C$24,C375)&lt;&gt;0,1,IF(OR(B375=$AZ$35,B375="ALL"),1,0)))</f>
        <v>#VALUE!</v>
      </c>
      <c r="B375" s="163" t="str">
        <f t="shared" si="20"/>
        <v>IA</v>
      </c>
      <c r="C375" s="117" t="s">
        <v>428</v>
      </c>
      <c r="E375" s="268" t="str">
        <f ca="1">_xll.DBRA(Server&amp;$C$24,$C375,$F$21)</f>
        <v>CET - CVAE (AI)</v>
      </c>
      <c r="F375" s="268"/>
      <c r="G375" s="268"/>
      <c r="H375" s="40"/>
      <c r="I375" s="221" t="str">
        <f ca="1">_xll.DBRW(Server&amp;Cube1,$F$17,$F$18,$F$19,$F$16,$C$14,$F$15,$F$14,$F$20,I$2,I$1,$C375)</f>
        <v/>
      </c>
      <c r="J375" s="221" t="str">
        <f ca="1">_xll.DBRW(Server&amp;Cube1,$F$17,$F$18,$F$19,$F$16,$C$14,$F$15,$F$14,$F$20,J$2,J$1,$C375)</f>
        <v/>
      </c>
      <c r="K375" s="221" t="e">
        <f ca="1">_xll.DBRW(Server&amp;Cube1,$F$17,$F$18,$F$19,$F$16,$C$14,$F$15,$F$14,$F$20,I$2,I$1,$C375) -_xll.DBRW(Server&amp;Cube1,$F$17,$F$18,$F$19,$F$16,$C$14,$F$15,$F$14,$F$20,K$2,I$1,$C375)</f>
        <v>#VALUE!</v>
      </c>
      <c r="L375" s="221" t="e">
        <f t="shared" ca="1" si="19"/>
        <v>#VALUE!</v>
      </c>
      <c r="M375" s="221" t="e">
        <f t="shared" ca="1" si="18"/>
        <v>#VALUE!</v>
      </c>
      <c r="N375" s="226"/>
      <c r="O375" s="221" t="str">
        <f ca="1">_xll.DBRW(Server&amp;Cube1,$F$17,$F$18,$F$19,$F$16,$C$14,$F$15,$F$14,$F$20,O$2,O$1,$C375)</f>
        <v/>
      </c>
      <c r="P375" s="226"/>
      <c r="Q375" s="240" t="str">
        <f ca="1">IF(_xll.ELCOMPN(Server&amp;$C$24,C375)=0,"YES","NO")</f>
        <v>YES</v>
      </c>
      <c r="R375" s="241">
        <v>0</v>
      </c>
      <c r="S375" s="226"/>
      <c r="T375" s="227" t="str">
        <f ca="1">_xll.DBRW(Server&amp;Cube1,$F$17,$F$18,$F$19,$F$16,$C$14,$F$15,$F$14,$F$20,T$2,$T$1,$C375)</f>
        <v/>
      </c>
      <c r="U375" s="227" t="str">
        <f ca="1">_xll.DBRW(Server&amp;Cube1,$F$17,$F$18,$F$19,$F$16,$C$14,$F$15,$F$14,$F$20,U$2,$U$1,$C375)</f>
        <v/>
      </c>
      <c r="V375" s="227" t="str">
        <f ca="1">_xll.DBRW(Server&amp;Cube1,$F$17,$F$18,$F$19,$F$16,$C$14,$F$15,$F$14,$F$20,V$2,V$1,$C375)</f>
        <v/>
      </c>
      <c r="W375" s="227" t="str">
        <f ca="1">_xll.DBRW(Server&amp;Cube1,$F$17,$F$18,$F$19,$F$16,$C$14,$F$15,$F$14,$F$20,W$2,W$1,$C375)</f>
        <v/>
      </c>
      <c r="X375" s="227" t="str">
        <f ca="1">_xll.DBRW(Server&amp;Cube1,$F$17,$F$18,$F$19,$F$16,$C$14,$F$15,$F$14,$F$20,X$2,X$1,$C375)</f>
        <v/>
      </c>
      <c r="Y375" s="227" t="str">
        <f ca="1">_xll.DBRW(Server&amp;Cube1,$F$17,$F$18,$F$19,$F$16,$C$14,$F$15,$F$14,$F$20,Y$2,Y$1,$C375)</f>
        <v/>
      </c>
      <c r="Z375" s="241"/>
      <c r="AA375" s="241"/>
      <c r="AB375" s="241"/>
      <c r="AC375" s="241"/>
      <c r="AD375" s="241"/>
      <c r="AE375" s="241"/>
      <c r="AF375" s="221" t="str">
        <f ca="1">_xll.DBRW(Server&amp;Cube1,$F$17,$F$18,$F$19,$F$16,$C$14,$F$15,$F$14,$F$20,AF$2,$AF$1,$C375)</f>
        <v/>
      </c>
      <c r="AG375" s="53"/>
      <c r="AH375" s="53"/>
      <c r="AI375" s="53"/>
      <c r="AJ375" s="53"/>
      <c r="AK375" s="53"/>
      <c r="AL375" s="53"/>
      <c r="AM375" s="53"/>
      <c r="AN375" s="53"/>
      <c r="AO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:53" s="9" customFormat="1" ht="24" customHeight="1" x14ac:dyDescent="0.35">
      <c r="A376" s="181" t="e">
        <f ca="1">IF($AT$35="YES",1,IF(_xll.ELCOMPN(Server&amp;$C$24,C376)&lt;&gt;0,1,IF(OR(B376=$AZ$35,B376="ALL"),1,0)))</f>
        <v>#VALUE!</v>
      </c>
      <c r="B376" s="163" t="str">
        <f t="shared" si="20"/>
        <v>LE</v>
      </c>
      <c r="C376" s="117" t="s">
        <v>429</v>
      </c>
      <c r="E376" s="268" t="str">
        <f ca="1">_xll.DBRA(Server&amp;$C$24,$C376,$F$21)</f>
        <v>CET - CVAE (JU)</v>
      </c>
      <c r="F376" s="268"/>
      <c r="G376" s="268"/>
      <c r="H376" s="40"/>
      <c r="I376" s="221" t="str">
        <f ca="1">_xll.DBRW(Server&amp;Cube1,$F$17,$F$18,$F$19,$F$16,$C$14,$F$15,$F$14,$F$20,I$2,I$1,$C376)</f>
        <v/>
      </c>
      <c r="J376" s="221" t="str">
        <f ca="1">_xll.DBRW(Server&amp;Cube1,$F$17,$F$18,$F$19,$F$16,$C$14,$F$15,$F$14,$F$20,J$2,J$1,$C376)</f>
        <v/>
      </c>
      <c r="K376" s="221" t="e">
        <f ca="1">_xll.DBRW(Server&amp;Cube1,$F$17,$F$18,$F$19,$F$16,$C$14,$F$15,$F$14,$F$20,I$2,I$1,$C376) -_xll.DBRW(Server&amp;Cube1,$F$17,$F$18,$F$19,$F$16,$C$14,$F$15,$F$14,$F$20,K$2,I$1,$C376)</f>
        <v>#VALUE!</v>
      </c>
      <c r="L376" s="221" t="e">
        <f t="shared" ca="1" si="19"/>
        <v>#VALUE!</v>
      </c>
      <c r="M376" s="221" t="e">
        <f t="shared" ca="1" si="18"/>
        <v>#VALUE!</v>
      </c>
      <c r="N376" s="226"/>
      <c r="O376" s="221" t="str">
        <f ca="1">_xll.DBRW(Server&amp;Cube1,$F$17,$F$18,$F$19,$F$16,$C$14,$F$15,$F$14,$F$20,O$2,O$1,$C376)</f>
        <v/>
      </c>
      <c r="P376" s="226"/>
      <c r="Q376" s="240" t="str">
        <f ca="1">IF(_xll.ELCOMPN(Server&amp;$C$24,C376)=0,"YES","NO")</f>
        <v>YES</v>
      </c>
      <c r="R376" s="241">
        <v>0</v>
      </c>
      <c r="S376" s="226"/>
      <c r="T376" s="227" t="str">
        <f ca="1">_xll.DBRW(Server&amp;Cube1,$F$17,$F$18,$F$19,$F$16,$C$14,$F$15,$F$14,$F$20,T$2,$T$1,$C376)</f>
        <v/>
      </c>
      <c r="U376" s="227" t="str">
        <f ca="1">_xll.DBRW(Server&amp;Cube1,$F$17,$F$18,$F$19,$F$16,$C$14,$F$15,$F$14,$F$20,U$2,$U$1,$C376)</f>
        <v/>
      </c>
      <c r="V376" s="227" t="str">
        <f ca="1">_xll.DBRW(Server&amp;Cube1,$F$17,$F$18,$F$19,$F$16,$C$14,$F$15,$F$14,$F$20,V$2,V$1,$C376)</f>
        <v/>
      </c>
      <c r="W376" s="227" t="str">
        <f ca="1">_xll.DBRW(Server&amp;Cube1,$F$17,$F$18,$F$19,$F$16,$C$14,$F$15,$F$14,$F$20,W$2,W$1,$C376)</f>
        <v/>
      </c>
      <c r="X376" s="227" t="str">
        <f ca="1">_xll.DBRW(Server&amp;Cube1,$F$17,$F$18,$F$19,$F$16,$C$14,$F$15,$F$14,$F$20,X$2,X$1,$C376)</f>
        <v/>
      </c>
      <c r="Y376" s="227" t="str">
        <f ca="1">_xll.DBRW(Server&amp;Cube1,$F$17,$F$18,$F$19,$F$16,$C$14,$F$15,$F$14,$F$20,Y$2,Y$1,$C376)</f>
        <v/>
      </c>
      <c r="Z376" s="241"/>
      <c r="AA376" s="241"/>
      <c r="AB376" s="241"/>
      <c r="AC376" s="241"/>
      <c r="AD376" s="241"/>
      <c r="AE376" s="241"/>
      <c r="AF376" s="221" t="str">
        <f ca="1">_xll.DBRW(Server&amp;Cube1,$F$17,$F$18,$F$19,$F$16,$C$14,$F$15,$F$14,$F$20,AF$2,$AF$1,$C376)</f>
        <v/>
      </c>
      <c r="AG376" s="53"/>
      <c r="AH376" s="53"/>
      <c r="AI376" s="53"/>
      <c r="AJ376" s="53"/>
      <c r="AK376" s="53"/>
      <c r="AL376" s="53"/>
      <c r="AM376" s="53"/>
      <c r="AN376" s="53"/>
      <c r="AO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:53" s="9" customFormat="1" ht="24" customHeight="1" x14ac:dyDescent="0.35">
      <c r="A377" s="181" t="e">
        <f ca="1">IF($AT$35="YES",1,IF(_xll.ELCOMPN(Server&amp;$C$24,C377)&lt;&gt;0,1,IF(OR(B377=$AZ$35,B377="ALL"),1,0)))</f>
        <v>#VALUE!</v>
      </c>
      <c r="B377" s="163" t="str">
        <f t="shared" si="20"/>
        <v>RM</v>
      </c>
      <c r="C377" s="117" t="s">
        <v>430</v>
      </c>
      <c r="E377" s="268" t="str">
        <f ca="1">_xll.DBRA(Server&amp;$C$24,$C377,$F$21)</f>
        <v>CET - CVAE (GR)</v>
      </c>
      <c r="F377" s="268"/>
      <c r="G377" s="268"/>
      <c r="H377" s="40"/>
      <c r="I377" s="221" t="str">
        <f ca="1">_xll.DBRW(Server&amp;Cube1,$F$17,$F$18,$F$19,$F$16,$C$14,$F$15,$F$14,$F$20,I$2,I$1,$C377)</f>
        <v/>
      </c>
      <c r="J377" s="221" t="str">
        <f ca="1">_xll.DBRW(Server&amp;Cube1,$F$17,$F$18,$F$19,$F$16,$C$14,$F$15,$F$14,$F$20,J$2,J$1,$C377)</f>
        <v/>
      </c>
      <c r="K377" s="221" t="e">
        <f ca="1">_xll.DBRW(Server&amp;Cube1,$F$17,$F$18,$F$19,$F$16,$C$14,$F$15,$F$14,$F$20,I$2,I$1,$C377) -_xll.DBRW(Server&amp;Cube1,$F$17,$F$18,$F$19,$F$16,$C$14,$F$15,$F$14,$F$20,K$2,I$1,$C377)</f>
        <v>#VALUE!</v>
      </c>
      <c r="L377" s="221" t="e">
        <f t="shared" ca="1" si="19"/>
        <v>#VALUE!</v>
      </c>
      <c r="M377" s="221" t="e">
        <f t="shared" ca="1" si="18"/>
        <v>#VALUE!</v>
      </c>
      <c r="N377" s="226"/>
      <c r="O377" s="221" t="str">
        <f ca="1">_xll.DBRW(Server&amp;Cube1,$F$17,$F$18,$F$19,$F$16,$C$14,$F$15,$F$14,$F$20,O$2,O$1,$C377)</f>
        <v/>
      </c>
      <c r="P377" s="226"/>
      <c r="Q377" s="240" t="str">
        <f ca="1">IF(_xll.ELCOMPN(Server&amp;$C$24,C377)=0,"YES","NO")</f>
        <v>YES</v>
      </c>
      <c r="R377" s="241">
        <v>0</v>
      </c>
      <c r="S377" s="226"/>
      <c r="T377" s="227" t="str">
        <f ca="1">_xll.DBRW(Server&amp;Cube1,$F$17,$F$18,$F$19,$F$16,$C$14,$F$15,$F$14,$F$20,T$2,$T$1,$C377)</f>
        <v/>
      </c>
      <c r="U377" s="227" t="str">
        <f ca="1">_xll.DBRW(Server&amp;Cube1,$F$17,$F$18,$F$19,$F$16,$C$14,$F$15,$F$14,$F$20,U$2,$U$1,$C377)</f>
        <v/>
      </c>
      <c r="V377" s="227" t="str">
        <f ca="1">_xll.DBRW(Server&amp;Cube1,$F$17,$F$18,$F$19,$F$16,$C$14,$F$15,$F$14,$F$20,V$2,V$1,$C377)</f>
        <v/>
      </c>
      <c r="W377" s="227" t="str">
        <f ca="1">_xll.DBRW(Server&amp;Cube1,$F$17,$F$18,$F$19,$F$16,$C$14,$F$15,$F$14,$F$20,W$2,W$1,$C377)</f>
        <v/>
      </c>
      <c r="X377" s="227" t="str">
        <f ca="1">_xll.DBRW(Server&amp;Cube1,$F$17,$F$18,$F$19,$F$16,$C$14,$F$15,$F$14,$F$20,X$2,X$1,$C377)</f>
        <v/>
      </c>
      <c r="Y377" s="227" t="str">
        <f ca="1">_xll.DBRW(Server&amp;Cube1,$F$17,$F$18,$F$19,$F$16,$C$14,$F$15,$F$14,$F$20,Y$2,Y$1,$C377)</f>
        <v/>
      </c>
      <c r="Z377" s="241"/>
      <c r="AA377" s="241"/>
      <c r="AB377" s="241"/>
      <c r="AC377" s="241"/>
      <c r="AD377" s="241"/>
      <c r="AE377" s="241"/>
      <c r="AF377" s="221" t="str">
        <f ca="1">_xll.DBRW(Server&amp;Cube1,$F$17,$F$18,$F$19,$F$16,$C$14,$F$15,$F$14,$F$20,AF$2,$AF$1,$C377)</f>
        <v/>
      </c>
      <c r="AG377" s="53"/>
      <c r="AH377" s="53"/>
      <c r="AI377" s="53"/>
      <c r="AJ377" s="53"/>
      <c r="AK377" s="53"/>
      <c r="AL377" s="53"/>
      <c r="AM377" s="53"/>
      <c r="AN377" s="53"/>
      <c r="AO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:53" s="9" customFormat="1" ht="24" customHeight="1" x14ac:dyDescent="0.35">
      <c r="A378" s="181" t="e">
        <f ca="1">IF($AT$35="YES",1,IF(_xll.ELCOMPN(Server&amp;$C$24,C378)&lt;&gt;0,1,IF(OR(B378=$AZ$35,B378="ALL"),1,0)))</f>
        <v>#VALUE!</v>
      </c>
      <c r="B378" s="163" t="str">
        <f t="shared" si="20"/>
        <v>PU</v>
      </c>
      <c r="C378" s="117" t="s">
        <v>431</v>
      </c>
      <c r="E378" s="268" t="str">
        <f ca="1">_xll.DBRA(Server&amp;$C$24,$C378,$F$21)</f>
        <v>CET - CVAE (AC)</v>
      </c>
      <c r="F378" s="268"/>
      <c r="G378" s="268"/>
      <c r="H378" s="40"/>
      <c r="I378" s="221" t="str">
        <f ca="1">_xll.DBRW(Server&amp;Cube1,$F$17,$F$18,$F$19,$F$16,$C$14,$F$15,$F$14,$F$20,I$2,I$1,$C378)</f>
        <v/>
      </c>
      <c r="J378" s="221" t="str">
        <f ca="1">_xll.DBRW(Server&amp;Cube1,$F$17,$F$18,$F$19,$F$16,$C$14,$F$15,$F$14,$F$20,J$2,J$1,$C378)</f>
        <v/>
      </c>
      <c r="K378" s="221" t="e">
        <f ca="1">_xll.DBRW(Server&amp;Cube1,$F$17,$F$18,$F$19,$F$16,$C$14,$F$15,$F$14,$F$20,I$2,I$1,$C378) -_xll.DBRW(Server&amp;Cube1,$F$17,$F$18,$F$19,$F$16,$C$14,$F$15,$F$14,$F$20,K$2,I$1,$C378)</f>
        <v>#VALUE!</v>
      </c>
      <c r="L378" s="221" t="e">
        <f t="shared" ca="1" si="19"/>
        <v>#VALUE!</v>
      </c>
      <c r="M378" s="221" t="e">
        <f t="shared" ca="1" si="18"/>
        <v>#VALUE!</v>
      </c>
      <c r="N378" s="226"/>
      <c r="O378" s="221" t="str">
        <f ca="1">_xll.DBRW(Server&amp;Cube1,$F$17,$F$18,$F$19,$F$16,$C$14,$F$15,$F$14,$F$20,O$2,O$1,$C378)</f>
        <v/>
      </c>
      <c r="P378" s="226"/>
      <c r="Q378" s="240" t="str">
        <f ca="1">IF(_xll.ELCOMPN(Server&amp;$C$24,C378)=0,"YES","NO")</f>
        <v>YES</v>
      </c>
      <c r="R378" s="241">
        <v>0</v>
      </c>
      <c r="S378" s="226"/>
      <c r="T378" s="227" t="str">
        <f ca="1">_xll.DBRW(Server&amp;Cube1,$F$17,$F$18,$F$19,$F$16,$C$14,$F$15,$F$14,$F$20,T$2,$T$1,$C378)</f>
        <v/>
      </c>
      <c r="U378" s="227" t="str">
        <f ca="1">_xll.DBRW(Server&amp;Cube1,$F$17,$F$18,$F$19,$F$16,$C$14,$F$15,$F$14,$F$20,U$2,$U$1,$C378)</f>
        <v/>
      </c>
      <c r="V378" s="227" t="str">
        <f ca="1">_xll.DBRW(Server&amp;Cube1,$F$17,$F$18,$F$19,$F$16,$C$14,$F$15,$F$14,$F$20,V$2,V$1,$C378)</f>
        <v/>
      </c>
      <c r="W378" s="227" t="str">
        <f ca="1">_xll.DBRW(Server&amp;Cube1,$F$17,$F$18,$F$19,$F$16,$C$14,$F$15,$F$14,$F$20,W$2,W$1,$C378)</f>
        <v/>
      </c>
      <c r="X378" s="227" t="str">
        <f ca="1">_xll.DBRW(Server&amp;Cube1,$F$17,$F$18,$F$19,$F$16,$C$14,$F$15,$F$14,$F$20,X$2,X$1,$C378)</f>
        <v/>
      </c>
      <c r="Y378" s="227" t="str">
        <f ca="1">_xll.DBRW(Server&amp;Cube1,$F$17,$F$18,$F$19,$F$16,$C$14,$F$15,$F$14,$F$20,Y$2,Y$1,$C378)</f>
        <v/>
      </c>
      <c r="Z378" s="241"/>
      <c r="AA378" s="241"/>
      <c r="AB378" s="241"/>
      <c r="AC378" s="241"/>
      <c r="AD378" s="241"/>
      <c r="AE378" s="241"/>
      <c r="AF378" s="221" t="str">
        <f ca="1">_xll.DBRW(Server&amp;Cube1,$F$17,$F$18,$F$19,$F$16,$C$14,$F$15,$F$14,$F$20,AF$2,$AF$1,$C378)</f>
        <v/>
      </c>
      <c r="AG378" s="53"/>
      <c r="AH378" s="53"/>
      <c r="AI378" s="53"/>
      <c r="AJ378" s="53"/>
      <c r="AK378" s="53"/>
      <c r="AL378" s="53"/>
      <c r="AM378" s="53"/>
      <c r="AN378" s="53"/>
      <c r="AO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:53" s="9" customFormat="1" ht="24" customHeight="1" x14ac:dyDescent="0.35">
      <c r="A379" s="181" t="e">
        <f ca="1">IF($AT$35="YES",1,IF(_xll.ELCOMPN(Server&amp;$C$24,C379)&lt;&gt;0,1,IF(OR(B379=$AZ$35,B379="ALL"),1,0)))</f>
        <v>#VALUE!</v>
      </c>
      <c r="B379" s="163" t="str">
        <f t="shared" si="20"/>
        <v>CO</v>
      </c>
      <c r="C379" s="117" t="s">
        <v>432</v>
      </c>
      <c r="E379" s="268" t="str">
        <f ca="1">_xll.DBRA(Server&amp;$C$24,$C379,$F$21)</f>
        <v>CET - CVAE (CO)</v>
      </c>
      <c r="F379" s="268"/>
      <c r="G379" s="268"/>
      <c r="H379" s="40"/>
      <c r="I379" s="221" t="str">
        <f ca="1">_xll.DBRW(Server&amp;Cube1,$F$17,$F$18,$F$19,$F$16,$C$14,$F$15,$F$14,$F$20,I$2,I$1,$C379)</f>
        <v/>
      </c>
      <c r="J379" s="221" t="str">
        <f ca="1">_xll.DBRW(Server&amp;Cube1,$F$17,$F$18,$F$19,$F$16,$C$14,$F$15,$F$14,$F$20,J$2,J$1,$C379)</f>
        <v/>
      </c>
      <c r="K379" s="221" t="e">
        <f ca="1">_xll.DBRW(Server&amp;Cube1,$F$17,$F$18,$F$19,$F$16,$C$14,$F$15,$F$14,$F$20,I$2,I$1,$C379) -_xll.DBRW(Server&amp;Cube1,$F$17,$F$18,$F$19,$F$16,$C$14,$F$15,$F$14,$F$20,K$2,I$1,$C379)</f>
        <v>#VALUE!</v>
      </c>
      <c r="L379" s="221" t="e">
        <f t="shared" ca="1" si="19"/>
        <v>#VALUE!</v>
      </c>
      <c r="M379" s="221" t="e">
        <f t="shared" ca="1" si="18"/>
        <v>#VALUE!</v>
      </c>
      <c r="N379" s="226"/>
      <c r="O379" s="221" t="str">
        <f ca="1">_xll.DBRW(Server&amp;Cube1,$F$17,$F$18,$F$19,$F$16,$C$14,$F$15,$F$14,$F$20,O$2,O$1,$C379)</f>
        <v/>
      </c>
      <c r="P379" s="226"/>
      <c r="Q379" s="240" t="str">
        <f ca="1">IF(_xll.ELCOMPN(Server&amp;$C$24,C379)=0,"YES","NO")</f>
        <v>YES</v>
      </c>
      <c r="R379" s="241">
        <v>0</v>
      </c>
      <c r="S379" s="226"/>
      <c r="T379" s="227" t="str">
        <f ca="1">_xll.DBRW(Server&amp;Cube1,$F$17,$F$18,$F$19,$F$16,$C$14,$F$15,$F$14,$F$20,T$2,$T$1,$C379)</f>
        <v/>
      </c>
      <c r="U379" s="227" t="str">
        <f ca="1">_xll.DBRW(Server&amp;Cube1,$F$17,$F$18,$F$19,$F$16,$C$14,$F$15,$F$14,$F$20,U$2,$U$1,$C379)</f>
        <v/>
      </c>
      <c r="V379" s="227" t="str">
        <f ca="1">_xll.DBRW(Server&amp;Cube1,$F$17,$F$18,$F$19,$F$16,$C$14,$F$15,$F$14,$F$20,V$2,V$1,$C379)</f>
        <v/>
      </c>
      <c r="W379" s="227" t="str">
        <f ca="1">_xll.DBRW(Server&amp;Cube1,$F$17,$F$18,$F$19,$F$16,$C$14,$F$15,$F$14,$F$20,W$2,W$1,$C379)</f>
        <v/>
      </c>
      <c r="X379" s="227" t="str">
        <f ca="1">_xll.DBRW(Server&amp;Cube1,$F$17,$F$18,$F$19,$F$16,$C$14,$F$15,$F$14,$F$20,X$2,X$1,$C379)</f>
        <v/>
      </c>
      <c r="Y379" s="227" t="str">
        <f ca="1">_xll.DBRW(Server&amp;Cube1,$F$17,$F$18,$F$19,$F$16,$C$14,$F$15,$F$14,$F$20,Y$2,Y$1,$C379)</f>
        <v/>
      </c>
      <c r="Z379" s="241"/>
      <c r="AA379" s="241"/>
      <c r="AB379" s="241"/>
      <c r="AC379" s="241"/>
      <c r="AD379" s="241"/>
      <c r="AE379" s="241"/>
      <c r="AF379" s="221" t="str">
        <f ca="1">_xll.DBRW(Server&amp;Cube1,$F$17,$F$18,$F$19,$F$16,$C$14,$F$15,$F$14,$F$20,AF$2,$AF$1,$C379)</f>
        <v/>
      </c>
      <c r="AG379" s="53"/>
      <c r="AH379" s="53"/>
      <c r="AI379" s="53"/>
      <c r="AJ379" s="53"/>
      <c r="AK379" s="53"/>
      <c r="AL379" s="53"/>
      <c r="AM379" s="53"/>
      <c r="AN379" s="53"/>
      <c r="AO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:53" s="9" customFormat="1" ht="24" customHeight="1" x14ac:dyDescent="0.35">
      <c r="A380" s="181" t="e">
        <f ca="1">IF($AT$35="YES",1,IF(_xll.ELCOMPN(Server&amp;$C$24,C380)&lt;&gt;0,1,IF(OR(B380=$AZ$35,B380="ALL"),1,0)))</f>
        <v>#VALUE!</v>
      </c>
      <c r="B380" s="163" t="str">
        <f t="shared" si="20"/>
        <v>GS</v>
      </c>
      <c r="C380" s="117" t="s">
        <v>433</v>
      </c>
      <c r="E380" s="268" t="str">
        <f ca="1">_xll.DBRA(Server&amp;$C$24,$C380,$F$21)</f>
        <v>CET - CVAE (SG)</v>
      </c>
      <c r="F380" s="268"/>
      <c r="G380" s="268"/>
      <c r="H380" s="40"/>
      <c r="I380" s="221" t="str">
        <f ca="1">_xll.DBRW(Server&amp;Cube1,$F$17,$F$18,$F$19,$F$16,$C$14,$F$15,$F$14,$F$20,I$2,I$1,$C380)</f>
        <v/>
      </c>
      <c r="J380" s="221" t="str">
        <f ca="1">_xll.DBRW(Server&amp;Cube1,$F$17,$F$18,$F$19,$F$16,$C$14,$F$15,$F$14,$F$20,J$2,J$1,$C380)</f>
        <v/>
      </c>
      <c r="K380" s="221" t="e">
        <f ca="1">_xll.DBRW(Server&amp;Cube1,$F$17,$F$18,$F$19,$F$16,$C$14,$F$15,$F$14,$F$20,I$2,I$1,$C380) -_xll.DBRW(Server&amp;Cube1,$F$17,$F$18,$F$19,$F$16,$C$14,$F$15,$F$14,$F$20,K$2,I$1,$C380)</f>
        <v>#VALUE!</v>
      </c>
      <c r="L380" s="221" t="e">
        <f t="shared" ca="1" si="19"/>
        <v>#VALUE!</v>
      </c>
      <c r="M380" s="221" t="e">
        <f t="shared" ca="1" si="18"/>
        <v>#VALUE!</v>
      </c>
      <c r="N380" s="226"/>
      <c r="O380" s="221" t="str">
        <f ca="1">_xll.DBRW(Server&amp;Cube1,$F$17,$F$18,$F$19,$F$16,$C$14,$F$15,$F$14,$F$20,O$2,O$1,$C380)</f>
        <v/>
      </c>
      <c r="P380" s="226"/>
      <c r="Q380" s="240" t="str">
        <f ca="1">IF(_xll.ELCOMPN(Server&amp;$C$24,C380)=0,"YES","NO")</f>
        <v>YES</v>
      </c>
      <c r="R380" s="241">
        <v>0</v>
      </c>
      <c r="S380" s="226"/>
      <c r="T380" s="227" t="str">
        <f ca="1">_xll.DBRW(Server&amp;Cube1,$F$17,$F$18,$F$19,$F$16,$C$14,$F$15,$F$14,$F$20,T$2,$T$1,$C380)</f>
        <v/>
      </c>
      <c r="U380" s="227" t="str">
        <f ca="1">_xll.DBRW(Server&amp;Cube1,$F$17,$F$18,$F$19,$F$16,$C$14,$F$15,$F$14,$F$20,U$2,$U$1,$C380)</f>
        <v/>
      </c>
      <c r="V380" s="227" t="str">
        <f ca="1">_xll.DBRW(Server&amp;Cube1,$F$17,$F$18,$F$19,$F$16,$C$14,$F$15,$F$14,$F$20,V$2,V$1,$C380)</f>
        <v/>
      </c>
      <c r="W380" s="227" t="str">
        <f ca="1">_xll.DBRW(Server&amp;Cube1,$F$17,$F$18,$F$19,$F$16,$C$14,$F$15,$F$14,$F$20,W$2,W$1,$C380)</f>
        <v/>
      </c>
      <c r="X380" s="227" t="str">
        <f ca="1">_xll.DBRW(Server&amp;Cube1,$F$17,$F$18,$F$19,$F$16,$C$14,$F$15,$F$14,$F$20,X$2,X$1,$C380)</f>
        <v/>
      </c>
      <c r="Y380" s="227" t="str">
        <f ca="1">_xll.DBRW(Server&amp;Cube1,$F$17,$F$18,$F$19,$F$16,$C$14,$F$15,$F$14,$F$20,Y$2,Y$1,$C380)</f>
        <v/>
      </c>
      <c r="Z380" s="241"/>
      <c r="AA380" s="241"/>
      <c r="AB380" s="241"/>
      <c r="AC380" s="241"/>
      <c r="AD380" s="241"/>
      <c r="AE380" s="241"/>
      <c r="AF380" s="221" t="str">
        <f ca="1">_xll.DBRW(Server&amp;Cube1,$F$17,$F$18,$F$19,$F$16,$C$14,$F$15,$F$14,$F$20,AF$2,$AF$1,$C380)</f>
        <v/>
      </c>
      <c r="AG380" s="53"/>
      <c r="AH380" s="53"/>
      <c r="AI380" s="53"/>
      <c r="AJ380" s="53"/>
      <c r="AK380" s="53"/>
      <c r="AL380" s="53"/>
      <c r="AM380" s="53"/>
      <c r="AN380" s="53"/>
      <c r="AO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:53" s="9" customFormat="1" ht="24" customHeight="1" x14ac:dyDescent="0.35">
      <c r="A381" s="181" t="e">
        <f ca="1">IF($AT$35="YES",1,IF(_xll.ELCOMPN(Server&amp;$C$24,C381)&lt;&gt;0,1,IF(OR(B381=$AZ$35,B381="ALL"),1,0)))</f>
        <v>#VALUE!</v>
      </c>
      <c r="B381" s="163" t="str">
        <f t="shared" si="20"/>
        <v>RD</v>
      </c>
      <c r="C381" s="117" t="s">
        <v>434</v>
      </c>
      <c r="E381" s="268" t="str">
        <f ca="1">_xll.DBRA(Server&amp;$C$24,$C381,$F$21)</f>
        <v>CET - CVAE (RD)</v>
      </c>
      <c r="F381" s="268"/>
      <c r="G381" s="268"/>
      <c r="H381" s="40"/>
      <c r="I381" s="221" t="str">
        <f ca="1">_xll.DBRW(Server&amp;Cube1,$F$17,$F$18,$F$19,$F$16,$C$14,$F$15,$F$14,$F$20,I$2,I$1,$C381)</f>
        <v/>
      </c>
      <c r="J381" s="221" t="str">
        <f ca="1">_xll.DBRW(Server&amp;Cube1,$F$17,$F$18,$F$19,$F$16,$C$14,$F$15,$F$14,$F$20,J$2,J$1,$C381)</f>
        <v/>
      </c>
      <c r="K381" s="221" t="e">
        <f ca="1">_xll.DBRW(Server&amp;Cube1,$F$17,$F$18,$F$19,$F$16,$C$14,$F$15,$F$14,$F$20,I$2,I$1,$C381) -_xll.DBRW(Server&amp;Cube1,$F$17,$F$18,$F$19,$F$16,$C$14,$F$15,$F$14,$F$20,K$2,I$1,$C381)</f>
        <v>#VALUE!</v>
      </c>
      <c r="L381" s="221" t="e">
        <f t="shared" ca="1" si="19"/>
        <v>#VALUE!</v>
      </c>
      <c r="M381" s="221" t="e">
        <f t="shared" ca="1" si="18"/>
        <v>#VALUE!</v>
      </c>
      <c r="N381" s="226"/>
      <c r="O381" s="221" t="str">
        <f ca="1">_xll.DBRW(Server&amp;Cube1,$F$17,$F$18,$F$19,$F$16,$C$14,$F$15,$F$14,$F$20,O$2,O$1,$C381)</f>
        <v/>
      </c>
      <c r="P381" s="226"/>
      <c r="Q381" s="240" t="str">
        <f ca="1">IF(_xll.ELCOMPN(Server&amp;$C$24,C381)=0,"YES","NO")</f>
        <v>YES</v>
      </c>
      <c r="R381" s="241">
        <v>0</v>
      </c>
      <c r="S381" s="226"/>
      <c r="T381" s="227" t="str">
        <f ca="1">_xll.DBRW(Server&amp;Cube1,$F$17,$F$18,$F$19,$F$16,$C$14,$F$15,$F$14,$F$20,T$2,$T$1,$C381)</f>
        <v/>
      </c>
      <c r="U381" s="227" t="str">
        <f ca="1">_xll.DBRW(Server&amp;Cube1,$F$17,$F$18,$F$19,$F$16,$C$14,$F$15,$F$14,$F$20,U$2,$U$1,$C381)</f>
        <v/>
      </c>
      <c r="V381" s="227" t="str">
        <f ca="1">_xll.DBRW(Server&amp;Cube1,$F$17,$F$18,$F$19,$F$16,$C$14,$F$15,$F$14,$F$20,V$2,V$1,$C381)</f>
        <v/>
      </c>
      <c r="W381" s="227" t="str">
        <f ca="1">_xll.DBRW(Server&amp;Cube1,$F$17,$F$18,$F$19,$F$16,$C$14,$F$15,$F$14,$F$20,W$2,W$1,$C381)</f>
        <v/>
      </c>
      <c r="X381" s="227" t="str">
        <f ca="1">_xll.DBRW(Server&amp;Cube1,$F$17,$F$18,$F$19,$F$16,$C$14,$F$15,$F$14,$F$20,X$2,X$1,$C381)</f>
        <v/>
      </c>
      <c r="Y381" s="227" t="str">
        <f ca="1">_xll.DBRW(Server&amp;Cube1,$F$17,$F$18,$F$19,$F$16,$C$14,$F$15,$F$14,$F$20,Y$2,Y$1,$C381)</f>
        <v/>
      </c>
      <c r="Z381" s="241"/>
      <c r="AA381" s="241"/>
      <c r="AB381" s="241"/>
      <c r="AC381" s="241"/>
      <c r="AD381" s="241"/>
      <c r="AE381" s="241"/>
      <c r="AF381" s="221" t="str">
        <f ca="1">_xll.DBRW(Server&amp;Cube1,$F$17,$F$18,$F$19,$F$16,$C$14,$F$15,$F$14,$F$20,AF$2,$AF$1,$C381)</f>
        <v/>
      </c>
      <c r="AG381" s="53"/>
      <c r="AH381" s="53"/>
      <c r="AI381" s="53"/>
      <c r="AJ381" s="53"/>
      <c r="AK381" s="53"/>
      <c r="AL381" s="53"/>
      <c r="AM381" s="53"/>
      <c r="AN381" s="53"/>
      <c r="AO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:53" s="9" customFormat="1" ht="24" customHeight="1" x14ac:dyDescent="0.35">
      <c r="A382" s="181">
        <f ca="1">IF($AT$35="YES",1,IF(_xll.ELCOMPN(Server&amp;$C$24,C382)&lt;&gt;0,1,IF(OR(B382=$AZ$35,B382="ALL"),1,0)))</f>
        <v>1</v>
      </c>
      <c r="B382" s="163" t="str">
        <f t="shared" si="20"/>
        <v>ta</v>
      </c>
      <c r="C382" s="117" t="s">
        <v>120</v>
      </c>
      <c r="E382" s="270" t="str">
        <f ca="1">_xll.DBRA(Server&amp;$C$24,$C382,$F$21)</f>
        <v>Impôts et taxes divers</v>
      </c>
      <c r="F382" s="270"/>
      <c r="G382" s="270"/>
      <c r="H382" s="40"/>
      <c r="I382" s="221" t="str">
        <f ca="1">_xll.DBRW(Server&amp;Cube1,$F$17,$F$18,$F$19,$F$16,$C$14,$F$15,$F$14,$F$20,I$2,I$1,$C382)</f>
        <v/>
      </c>
      <c r="J382" s="221" t="str">
        <f ca="1">_xll.DBRW(Server&amp;Cube1,$F$17,$F$18,$F$19,$F$16,$C$14,$F$15,$F$14,$F$20,J$2,J$1,$C382)</f>
        <v/>
      </c>
      <c r="K382" s="221" t="e">
        <f ca="1">_xll.DBRW(Server&amp;Cube1,$F$17,$F$18,$F$19,$F$16,$C$14,$F$15,$F$14,$F$20,I$2,I$1,$C382) -_xll.DBRW(Server&amp;Cube1,$F$17,$F$18,$F$19,$F$16,$C$14,$F$15,$F$14,$F$20,K$2,I$1,$C382)</f>
        <v>#VALUE!</v>
      </c>
      <c r="L382" s="221" t="e">
        <f t="shared" ca="1" si="19"/>
        <v>#VALUE!</v>
      </c>
      <c r="M382" s="221" t="e">
        <f t="shared" ca="1" si="18"/>
        <v>#VALUE!</v>
      </c>
      <c r="N382" s="229"/>
      <c r="O382" s="229" t="str">
        <f ca="1">_xll.DBRW(Server&amp;Cube1,$F$17,$F$18,$F$19,$F$16,$C$14,$F$15,$F$14,$F$20,O$2,O$1,$C382)</f>
        <v/>
      </c>
      <c r="P382" s="229"/>
      <c r="Q382" s="240" t="str">
        <f ca="1">IF(_xll.ELCOMPN(Server&amp;$C$24,C382)=0,"YES","NO")</f>
        <v>NO</v>
      </c>
      <c r="R382" s="229"/>
      <c r="S382" s="229"/>
      <c r="T382" s="230" t="str">
        <f ca="1">_xll.DBRW(Server&amp;Cube1,$F$17,$F$18,$F$19,$F$16,$C$14,$F$15,$F$14,$F$20,T$2,$T$1,$C382)</f>
        <v/>
      </c>
      <c r="U382" s="230" t="str">
        <f ca="1">_xll.DBRW(Server&amp;Cube1,$F$17,$F$18,$F$19,$F$16,$C$14,$F$15,$F$14,$F$20,U$2,$U$1,$C382)</f>
        <v/>
      </c>
      <c r="V382" s="230" t="str">
        <f ca="1">_xll.DBRW(Server&amp;Cube1,$F$17,$F$18,$F$19,$F$16,$C$14,$F$15,$F$14,$F$20,V$2,V$1,$C382)</f>
        <v/>
      </c>
      <c r="W382" s="230" t="str">
        <f ca="1">_xll.DBRW(Server&amp;Cube1,$F$17,$F$18,$F$19,$F$16,$C$14,$F$15,$F$14,$F$20,W$2,W$1,$C382)</f>
        <v/>
      </c>
      <c r="X382" s="229" t="str">
        <f ca="1">_xll.DBRW(Server&amp;Cube1,$F$17,$F$18,$F$19,$F$16,$C$14,$F$15,$F$14,$F$20,X$2,X$1,$C382)</f>
        <v/>
      </c>
      <c r="Y382" s="229" t="str">
        <f ca="1">_xll.DBRW(Server&amp;Cube1,$F$17,$F$18,$F$19,$F$16,$C$14,$F$15,$F$14,$F$20,Y$2,Y$1,$C382)</f>
        <v/>
      </c>
      <c r="Z382" s="229" t="str">
        <f ca="1">_xll.DBRW(Server&amp;Cube1,$F$17,$F$18,$F$19,$F$16,$C$14,$F$15,$F$14,$F$20,Z$2,Z$1,$C382)</f>
        <v/>
      </c>
      <c r="AA382" s="229" t="str">
        <f ca="1">_xll.DBRW(Server&amp;Cube1,$F$17,$F$18,$F$19,$F$16,$C$14,$F$15,$F$14,$F$20,AA$2,AA$1,$C382)</f>
        <v/>
      </c>
      <c r="AB382" s="229" t="str">
        <f ca="1">_xll.DBRW(Server&amp;Cube1,$F$17,$F$18,$F$19,$F$16,$C$14,$F$15,$F$14,$F$20,AB$2,AB$1,$C382)</f>
        <v/>
      </c>
      <c r="AC382" s="229" t="str">
        <f ca="1">_xll.DBRW(Server&amp;Cube1,$F$17,$F$18,$F$19,$F$16,$C$14,$F$15,$F$14,$F$20,AC$2,AC$1,$C382)</f>
        <v/>
      </c>
      <c r="AD382" s="229" t="str">
        <f ca="1">_xll.DBRW(Server&amp;Cube1,$F$17,$F$18,$F$19,$F$16,$C$14,$F$15,$F$14,$F$20,AD$2,AD$1,$C382)</f>
        <v/>
      </c>
      <c r="AE382" s="229" t="str">
        <f ca="1">_xll.DBRW(Server&amp;Cube1,$F$17,$F$18,$F$19,$F$16,$C$14,$F$15,$F$14,$F$20,AE$2,AE$1,$C382)</f>
        <v/>
      </c>
      <c r="AF382" s="229" t="str">
        <f ca="1">_xll.DBRW(Server&amp;Cube1,$F$17,$F$18,$F$19,$F$16,$C$14,$F$15,$F$14,$F$20,AF$2,$AF$1,$C382)</f>
        <v/>
      </c>
      <c r="AG382" s="53"/>
      <c r="AH382" s="53"/>
      <c r="AI382" s="53"/>
      <c r="AJ382" s="53"/>
      <c r="AK382" s="53"/>
      <c r="AL382" s="53"/>
      <c r="AM382" s="53"/>
      <c r="AN382" s="53"/>
      <c r="AO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:53" s="9" customFormat="1" ht="24" customHeight="1" x14ac:dyDescent="0.35">
      <c r="A383" s="181" t="e">
        <f ca="1">IF($AT$35="YES",1,IF(_xll.ELCOMPN(Server&amp;$C$24,C383)&lt;&gt;0,1,IF(OR(B383=$AZ$35,B383="ALL"),1,0)))</f>
        <v>#VALUE!</v>
      </c>
      <c r="B383" s="163" t="str">
        <f t="shared" si="20"/>
        <v>DS</v>
      </c>
      <c r="C383" s="117" t="s">
        <v>435</v>
      </c>
      <c r="E383" s="268" t="str">
        <f ca="1">_xll.DBRA(Server&amp;$C$24,$C383,$F$21)</f>
        <v>Impôts et taxes divers (SO)</v>
      </c>
      <c r="F383" s="268"/>
      <c r="G383" s="268"/>
      <c r="H383" s="40"/>
      <c r="I383" s="221" t="str">
        <f ca="1">_xll.DBRW(Server&amp;Cube1,$F$17,$F$18,$F$19,$F$16,$C$14,$F$15,$F$14,$F$20,I$2,I$1,$C383)</f>
        <v/>
      </c>
      <c r="J383" s="221" t="str">
        <f ca="1">_xll.DBRW(Server&amp;Cube1,$F$17,$F$18,$F$19,$F$16,$C$14,$F$15,$F$14,$F$20,J$2,J$1,$C383)</f>
        <v/>
      </c>
      <c r="K383" s="221" t="e">
        <f ca="1">_xll.DBRW(Server&amp;Cube1,$F$17,$F$18,$F$19,$F$16,$C$14,$F$15,$F$14,$F$20,I$2,I$1,$C383) -_xll.DBRW(Server&amp;Cube1,$F$17,$F$18,$F$19,$F$16,$C$14,$F$15,$F$14,$F$20,K$2,I$1,$C383)</f>
        <v>#VALUE!</v>
      </c>
      <c r="L383" s="221" t="e">
        <f t="shared" ca="1" si="19"/>
        <v>#VALUE!</v>
      </c>
      <c r="M383" s="221" t="e">
        <f t="shared" ca="1" si="18"/>
        <v>#VALUE!</v>
      </c>
      <c r="N383" s="226"/>
      <c r="O383" s="221" t="str">
        <f ca="1">_xll.DBRW(Server&amp;Cube1,$F$17,$F$18,$F$19,$F$16,$C$14,$F$15,$F$14,$F$20,O$2,O$1,$C383)</f>
        <v/>
      </c>
      <c r="P383" s="226"/>
      <c r="Q383" s="240" t="str">
        <f ca="1">IF(_xll.ELCOMPN(Server&amp;$C$24,C383)=0,"YES","NO")</f>
        <v>YES</v>
      </c>
      <c r="R383" s="241">
        <v>0</v>
      </c>
      <c r="S383" s="226"/>
      <c r="T383" s="227" t="str">
        <f ca="1">_xll.DBRW(Server&amp;Cube1,$F$17,$F$18,$F$19,$F$16,$C$14,$F$15,$F$14,$F$20,T$2,$T$1,$C383)</f>
        <v/>
      </c>
      <c r="U383" s="227" t="str">
        <f ca="1">_xll.DBRW(Server&amp;Cube1,$F$17,$F$18,$F$19,$F$16,$C$14,$F$15,$F$14,$F$20,U$2,$U$1,$C383)</f>
        <v/>
      </c>
      <c r="V383" s="227" t="str">
        <f ca="1">_xll.DBRW(Server&amp;Cube1,$F$17,$F$18,$F$19,$F$16,$C$14,$F$15,$F$14,$F$20,V$2,V$1,$C383)</f>
        <v/>
      </c>
      <c r="W383" s="227" t="str">
        <f ca="1">_xll.DBRW(Server&amp;Cube1,$F$17,$F$18,$F$19,$F$16,$C$14,$F$15,$F$14,$F$20,W$2,W$1,$C383)</f>
        <v/>
      </c>
      <c r="X383" s="227" t="str">
        <f ca="1">_xll.DBRW(Server&amp;Cube1,$F$17,$F$18,$F$19,$F$16,$C$14,$F$15,$F$14,$F$20,X$2,X$1,$C383)</f>
        <v/>
      </c>
      <c r="Y383" s="227" t="str">
        <f ca="1">_xll.DBRW(Server&amp;Cube1,$F$17,$F$18,$F$19,$F$16,$C$14,$F$15,$F$14,$F$20,Y$2,Y$1,$C383)</f>
        <v/>
      </c>
      <c r="Z383" s="241"/>
      <c r="AA383" s="241"/>
      <c r="AB383" s="241"/>
      <c r="AC383" s="241"/>
      <c r="AD383" s="241"/>
      <c r="AE383" s="241"/>
      <c r="AF383" s="221" t="str">
        <f ca="1">_xll.DBRW(Server&amp;Cube1,$F$17,$F$18,$F$19,$F$16,$C$14,$F$15,$F$14,$F$20,AF$2,$AF$1,$C383)</f>
        <v/>
      </c>
      <c r="AG383" s="53"/>
      <c r="AH383" s="53"/>
      <c r="AI383" s="53"/>
      <c r="AJ383" s="53"/>
      <c r="AK383" s="53"/>
      <c r="AL383" s="53"/>
      <c r="AM383" s="53"/>
      <c r="AN383" s="53"/>
      <c r="AO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:53" s="9" customFormat="1" ht="24" customHeight="1" x14ac:dyDescent="0.35">
      <c r="A384" s="181" t="e">
        <f ca="1">IF($AT$35="YES",1,IF(_xll.ELCOMPN(Server&amp;$C$24,C384)&lt;&gt;0,1,IF(OR(B384=$AZ$35,B384="ALL"),1,0)))</f>
        <v>#VALUE!</v>
      </c>
      <c r="B384" s="163" t="str">
        <f t="shared" si="20"/>
        <v>BD</v>
      </c>
      <c r="C384" s="117" t="s">
        <v>436</v>
      </c>
      <c r="E384" s="268" t="str">
        <f ca="1">_xll.DBRA(Server&amp;$C$24,$C384,$F$21)</f>
        <v>Impôts et taxes divers (DC)</v>
      </c>
      <c r="F384" s="268"/>
      <c r="G384" s="268"/>
      <c r="H384" s="40"/>
      <c r="I384" s="221" t="str">
        <f ca="1">_xll.DBRW(Server&amp;Cube1,$F$17,$F$18,$F$19,$F$16,$C$14,$F$15,$F$14,$F$20,I$2,I$1,$C384)</f>
        <v/>
      </c>
      <c r="J384" s="221" t="str">
        <f ca="1">_xll.DBRW(Server&amp;Cube1,$F$17,$F$18,$F$19,$F$16,$C$14,$F$15,$F$14,$F$20,J$2,J$1,$C384)</f>
        <v/>
      </c>
      <c r="K384" s="221" t="e">
        <f ca="1">_xll.DBRW(Server&amp;Cube1,$F$17,$F$18,$F$19,$F$16,$C$14,$F$15,$F$14,$F$20,I$2,I$1,$C384) -_xll.DBRW(Server&amp;Cube1,$F$17,$F$18,$F$19,$F$16,$C$14,$F$15,$F$14,$F$20,K$2,I$1,$C384)</f>
        <v>#VALUE!</v>
      </c>
      <c r="L384" s="221" t="e">
        <f t="shared" ca="1" si="19"/>
        <v>#VALUE!</v>
      </c>
      <c r="M384" s="221" t="e">
        <f t="shared" ca="1" si="18"/>
        <v>#VALUE!</v>
      </c>
      <c r="N384" s="226"/>
      <c r="O384" s="221" t="str">
        <f ca="1">_xll.DBRW(Server&amp;Cube1,$F$17,$F$18,$F$19,$F$16,$C$14,$F$15,$F$14,$F$20,O$2,O$1,$C384)</f>
        <v/>
      </c>
      <c r="P384" s="226"/>
      <c r="Q384" s="240" t="str">
        <f ca="1">IF(_xll.ELCOMPN(Server&amp;$C$24,C384)=0,"YES","NO")</f>
        <v>YES</v>
      </c>
      <c r="R384" s="241">
        <v>0</v>
      </c>
      <c r="S384" s="226"/>
      <c r="T384" s="227" t="str">
        <f ca="1">_xll.DBRW(Server&amp;Cube1,$F$17,$F$18,$F$19,$F$16,$C$14,$F$15,$F$14,$F$20,T$2,$T$1,$C384)</f>
        <v/>
      </c>
      <c r="U384" s="227" t="str">
        <f ca="1">_xll.DBRW(Server&amp;Cube1,$F$17,$F$18,$F$19,$F$16,$C$14,$F$15,$F$14,$F$20,U$2,$U$1,$C384)</f>
        <v/>
      </c>
      <c r="V384" s="227" t="str">
        <f ca="1">_xll.DBRW(Server&amp;Cube1,$F$17,$F$18,$F$19,$F$16,$C$14,$F$15,$F$14,$F$20,V$2,V$1,$C384)</f>
        <v/>
      </c>
      <c r="W384" s="227" t="str">
        <f ca="1">_xll.DBRW(Server&amp;Cube1,$F$17,$F$18,$F$19,$F$16,$C$14,$F$15,$F$14,$F$20,W$2,W$1,$C384)</f>
        <v/>
      </c>
      <c r="X384" s="227" t="str">
        <f ca="1">_xll.DBRW(Server&amp;Cube1,$F$17,$F$18,$F$19,$F$16,$C$14,$F$15,$F$14,$F$20,X$2,X$1,$C384)</f>
        <v/>
      </c>
      <c r="Y384" s="227" t="str">
        <f ca="1">_xll.DBRW(Server&amp;Cube1,$F$17,$F$18,$F$19,$F$16,$C$14,$F$15,$F$14,$F$20,Y$2,Y$1,$C384)</f>
        <v/>
      </c>
      <c r="Z384" s="241"/>
      <c r="AA384" s="241"/>
      <c r="AB384" s="241"/>
      <c r="AC384" s="241"/>
      <c r="AD384" s="241"/>
      <c r="AE384" s="241"/>
      <c r="AF384" s="221" t="str">
        <f ca="1">_xll.DBRW(Server&amp;Cube1,$F$17,$F$18,$F$19,$F$16,$C$14,$F$15,$F$14,$F$20,AF$2,$AF$1,$C384)</f>
        <v/>
      </c>
      <c r="AG384" s="53"/>
      <c r="AH384" s="53"/>
      <c r="AI384" s="53"/>
      <c r="AJ384" s="53"/>
      <c r="AK384" s="53"/>
      <c r="AL384" s="53"/>
      <c r="AM384" s="53"/>
      <c r="AN384" s="53"/>
      <c r="AO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:53" s="9" customFormat="1" ht="24" customHeight="1" x14ac:dyDescent="0.35">
      <c r="A385" s="181" t="e">
        <f ca="1">IF($AT$35="YES",1,IF(_xll.ELCOMPN(Server&amp;$C$24,C385)&lt;&gt;0,1,IF(OR(B385=$AZ$35,B385="ALL"),1,0)))</f>
        <v>#VALUE!</v>
      </c>
      <c r="B385" s="163" t="str">
        <f t="shared" si="20"/>
        <v>FI</v>
      </c>
      <c r="C385" s="117" t="s">
        <v>437</v>
      </c>
      <c r="E385" s="268" t="str">
        <f ca="1">_xll.DBRA(Server&amp;$C$24,$C385,$F$21)</f>
        <v>Impôts et taxes divers (DF)</v>
      </c>
      <c r="F385" s="268"/>
      <c r="G385" s="268"/>
      <c r="H385" s="40"/>
      <c r="I385" s="221" t="str">
        <f ca="1">_xll.DBRW(Server&amp;Cube1,$F$17,$F$18,$F$19,$F$16,$C$14,$F$15,$F$14,$F$20,I$2,I$1,$C385)</f>
        <v/>
      </c>
      <c r="J385" s="221" t="str">
        <f ca="1">_xll.DBRW(Server&amp;Cube1,$F$17,$F$18,$F$19,$F$16,$C$14,$F$15,$F$14,$F$20,J$2,J$1,$C385)</f>
        <v/>
      </c>
      <c r="K385" s="221" t="e">
        <f ca="1">_xll.DBRW(Server&amp;Cube1,$F$17,$F$18,$F$19,$F$16,$C$14,$F$15,$F$14,$F$20,I$2,I$1,$C385) -_xll.DBRW(Server&amp;Cube1,$F$17,$F$18,$F$19,$F$16,$C$14,$F$15,$F$14,$F$20,K$2,I$1,$C385)</f>
        <v>#VALUE!</v>
      </c>
      <c r="L385" s="221" t="e">
        <f t="shared" ca="1" si="19"/>
        <v>#VALUE!</v>
      </c>
      <c r="M385" s="221" t="e">
        <f t="shared" ca="1" si="18"/>
        <v>#VALUE!</v>
      </c>
      <c r="N385" s="226"/>
      <c r="O385" s="221" t="str">
        <f ca="1">_xll.DBRW(Server&amp;Cube1,$F$17,$F$18,$F$19,$F$16,$C$14,$F$15,$F$14,$F$20,O$2,O$1,$C385)</f>
        <v/>
      </c>
      <c r="P385" s="226"/>
      <c r="Q385" s="240" t="str">
        <f ca="1">IF(_xll.ELCOMPN(Server&amp;$C$24,C385)=0,"YES","NO")</f>
        <v>YES</v>
      </c>
      <c r="R385" s="241">
        <v>0</v>
      </c>
      <c r="S385" s="226"/>
      <c r="T385" s="227" t="str">
        <f ca="1">_xll.DBRW(Server&amp;Cube1,$F$17,$F$18,$F$19,$F$16,$C$14,$F$15,$F$14,$F$20,T$2,$T$1,$C385)</f>
        <v/>
      </c>
      <c r="U385" s="227" t="str">
        <f ca="1">_xll.DBRW(Server&amp;Cube1,$F$17,$F$18,$F$19,$F$16,$C$14,$F$15,$F$14,$F$20,U$2,$U$1,$C385)</f>
        <v/>
      </c>
      <c r="V385" s="227" t="str">
        <f ca="1">_xll.DBRW(Server&amp;Cube1,$F$17,$F$18,$F$19,$F$16,$C$14,$F$15,$F$14,$F$20,V$2,V$1,$C385)</f>
        <v/>
      </c>
      <c r="W385" s="227" t="str">
        <f ca="1">_xll.DBRW(Server&amp;Cube1,$F$17,$F$18,$F$19,$F$16,$C$14,$F$15,$F$14,$F$20,W$2,W$1,$C385)</f>
        <v/>
      </c>
      <c r="X385" s="227" t="str">
        <f ca="1">_xll.DBRW(Server&amp;Cube1,$F$17,$F$18,$F$19,$F$16,$C$14,$F$15,$F$14,$F$20,X$2,X$1,$C385)</f>
        <v/>
      </c>
      <c r="Y385" s="227" t="str">
        <f ca="1">_xll.DBRW(Server&amp;Cube1,$F$17,$F$18,$F$19,$F$16,$C$14,$F$15,$F$14,$F$20,Y$2,Y$1,$C385)</f>
        <v/>
      </c>
      <c r="Z385" s="241"/>
      <c r="AA385" s="241"/>
      <c r="AB385" s="241"/>
      <c r="AC385" s="241"/>
      <c r="AD385" s="241"/>
      <c r="AE385" s="241"/>
      <c r="AF385" s="221" t="str">
        <f ca="1">_xll.DBRW(Server&amp;Cube1,$F$17,$F$18,$F$19,$F$16,$C$14,$F$15,$F$14,$F$20,AF$2,$AF$1,$C385)</f>
        <v/>
      </c>
      <c r="AG385" s="53"/>
      <c r="AH385" s="53"/>
      <c r="AI385" s="53"/>
      <c r="AJ385" s="53"/>
      <c r="AK385" s="53"/>
      <c r="AL385" s="53"/>
      <c r="AM385" s="53"/>
      <c r="AN385" s="53"/>
      <c r="AO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:53" s="9" customFormat="1" ht="24" customHeight="1" x14ac:dyDescent="0.35">
      <c r="A386" s="181" t="e">
        <f ca="1">IF($AT$35="YES",1,IF(_xll.ELCOMPN(Server&amp;$C$24,C386)&lt;&gt;0,1,IF(OR(B386=$AZ$35,B386="ALL"),1,0)))</f>
        <v>#VALUE!</v>
      </c>
      <c r="B386" s="163" t="str">
        <f t="shared" si="20"/>
        <v>IT</v>
      </c>
      <c r="C386" s="117" t="s">
        <v>438</v>
      </c>
      <c r="E386" s="268" t="str">
        <f ca="1">_xll.DBRA(Server&amp;$C$24,$C386,$F$21)</f>
        <v>Impôts et taxes divers (IT)</v>
      </c>
      <c r="F386" s="268"/>
      <c r="G386" s="268"/>
      <c r="H386" s="40"/>
      <c r="I386" s="221" t="str">
        <f ca="1">_xll.DBRW(Server&amp;Cube1,$F$17,$F$18,$F$19,$F$16,$C$14,$F$15,$F$14,$F$20,I$2,I$1,$C386)</f>
        <v/>
      </c>
      <c r="J386" s="221" t="str">
        <f ca="1">_xll.DBRW(Server&amp;Cube1,$F$17,$F$18,$F$19,$F$16,$C$14,$F$15,$F$14,$F$20,J$2,J$1,$C386)</f>
        <v/>
      </c>
      <c r="K386" s="221" t="e">
        <f ca="1">_xll.DBRW(Server&amp;Cube1,$F$17,$F$18,$F$19,$F$16,$C$14,$F$15,$F$14,$F$20,I$2,I$1,$C386) -_xll.DBRW(Server&amp;Cube1,$F$17,$F$18,$F$19,$F$16,$C$14,$F$15,$F$14,$F$20,K$2,I$1,$C386)</f>
        <v>#VALUE!</v>
      </c>
      <c r="L386" s="221" t="e">
        <f t="shared" ca="1" si="19"/>
        <v>#VALUE!</v>
      </c>
      <c r="M386" s="221" t="e">
        <f t="shared" ca="1" si="18"/>
        <v>#VALUE!</v>
      </c>
      <c r="N386" s="226"/>
      <c r="O386" s="221" t="str">
        <f ca="1">_xll.DBRW(Server&amp;Cube1,$F$17,$F$18,$F$19,$F$16,$C$14,$F$15,$F$14,$F$20,O$2,O$1,$C386)</f>
        <v/>
      </c>
      <c r="P386" s="226"/>
      <c r="Q386" s="240" t="str">
        <f ca="1">IF(_xll.ELCOMPN(Server&amp;$C$24,C386)=0,"YES","NO")</f>
        <v>YES</v>
      </c>
      <c r="R386" s="241">
        <v>0</v>
      </c>
      <c r="S386" s="226"/>
      <c r="T386" s="227" t="str">
        <f ca="1">_xll.DBRW(Server&amp;Cube1,$F$17,$F$18,$F$19,$F$16,$C$14,$F$15,$F$14,$F$20,T$2,$T$1,$C386)</f>
        <v/>
      </c>
      <c r="U386" s="227" t="str">
        <f ca="1">_xll.DBRW(Server&amp;Cube1,$F$17,$F$18,$F$19,$F$16,$C$14,$F$15,$F$14,$F$20,U$2,$U$1,$C386)</f>
        <v/>
      </c>
      <c r="V386" s="227" t="str">
        <f ca="1">_xll.DBRW(Server&amp;Cube1,$F$17,$F$18,$F$19,$F$16,$C$14,$F$15,$F$14,$F$20,V$2,V$1,$C386)</f>
        <v/>
      </c>
      <c r="W386" s="227" t="str">
        <f ca="1">_xll.DBRW(Server&amp;Cube1,$F$17,$F$18,$F$19,$F$16,$C$14,$F$15,$F$14,$F$20,W$2,W$1,$C386)</f>
        <v/>
      </c>
      <c r="X386" s="227" t="str">
        <f ca="1">_xll.DBRW(Server&amp;Cube1,$F$17,$F$18,$F$19,$F$16,$C$14,$F$15,$F$14,$F$20,X$2,X$1,$C386)</f>
        <v/>
      </c>
      <c r="Y386" s="227" t="str">
        <f ca="1">_xll.DBRW(Server&amp;Cube1,$F$17,$F$18,$F$19,$F$16,$C$14,$F$15,$F$14,$F$20,Y$2,Y$1,$C386)</f>
        <v/>
      </c>
      <c r="Z386" s="241"/>
      <c r="AA386" s="241"/>
      <c r="AB386" s="241"/>
      <c r="AC386" s="241"/>
      <c r="AD386" s="241"/>
      <c r="AE386" s="241"/>
      <c r="AF386" s="221" t="str">
        <f ca="1">_xll.DBRW(Server&amp;Cube1,$F$17,$F$18,$F$19,$F$16,$C$14,$F$15,$F$14,$F$20,AF$2,$AF$1,$C386)</f>
        <v/>
      </c>
      <c r="AG386" s="53"/>
      <c r="AH386" s="53"/>
      <c r="AI386" s="53"/>
      <c r="AJ386" s="53"/>
      <c r="AK386" s="53"/>
      <c r="AL386" s="53"/>
      <c r="AM386" s="53"/>
      <c r="AN386" s="53"/>
      <c r="AO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:53" s="9" customFormat="1" ht="24" customHeight="1" x14ac:dyDescent="0.35">
      <c r="A387" s="181" t="e">
        <f ca="1">IF($AT$35="YES",1,IF(_xll.ELCOMPN(Server&amp;$C$24,C387)&lt;&gt;0,1,IF(OR(B387=$AZ$35,B387="ALL"),1,0)))</f>
        <v>#VALUE!</v>
      </c>
      <c r="B387" s="163" t="str">
        <f t="shared" si="20"/>
        <v>HR</v>
      </c>
      <c r="C387" s="117" t="s">
        <v>439</v>
      </c>
      <c r="E387" s="268" t="str">
        <f ca="1">_xll.DBRA(Server&amp;$C$24,$C387,$F$21)</f>
        <v>Impôts et taxes divers (RH)</v>
      </c>
      <c r="F387" s="268"/>
      <c r="G387" s="268"/>
      <c r="H387" s="40"/>
      <c r="I387" s="221" t="str">
        <f ca="1">_xll.DBRW(Server&amp;Cube1,$F$17,$F$18,$F$19,$F$16,$C$14,$F$15,$F$14,$F$20,I$2,I$1,$C387)</f>
        <v/>
      </c>
      <c r="J387" s="221" t="str">
        <f ca="1">_xll.DBRW(Server&amp;Cube1,$F$17,$F$18,$F$19,$F$16,$C$14,$F$15,$F$14,$F$20,J$2,J$1,$C387)</f>
        <v/>
      </c>
      <c r="K387" s="221" t="e">
        <f ca="1">_xll.DBRW(Server&amp;Cube1,$F$17,$F$18,$F$19,$F$16,$C$14,$F$15,$F$14,$F$20,I$2,I$1,$C387) -_xll.DBRW(Server&amp;Cube1,$F$17,$F$18,$F$19,$F$16,$C$14,$F$15,$F$14,$F$20,K$2,I$1,$C387)</f>
        <v>#VALUE!</v>
      </c>
      <c r="L387" s="221" t="e">
        <f t="shared" ca="1" si="19"/>
        <v>#VALUE!</v>
      </c>
      <c r="M387" s="221" t="e">
        <f t="shared" ca="1" si="18"/>
        <v>#VALUE!</v>
      </c>
      <c r="N387" s="226"/>
      <c r="O387" s="221" t="str">
        <f ca="1">_xll.DBRW(Server&amp;Cube1,$F$17,$F$18,$F$19,$F$16,$C$14,$F$15,$F$14,$F$20,O$2,O$1,$C387)</f>
        <v/>
      </c>
      <c r="P387" s="226"/>
      <c r="Q387" s="240" t="str">
        <f ca="1">IF(_xll.ELCOMPN(Server&amp;$C$24,C387)=0,"YES","NO")</f>
        <v>YES</v>
      </c>
      <c r="R387" s="241">
        <v>0</v>
      </c>
      <c r="S387" s="226"/>
      <c r="T387" s="227" t="str">
        <f ca="1">_xll.DBRW(Server&amp;Cube1,$F$17,$F$18,$F$19,$F$16,$C$14,$F$15,$F$14,$F$20,T$2,$T$1,$C387)</f>
        <v/>
      </c>
      <c r="U387" s="227" t="str">
        <f ca="1">_xll.DBRW(Server&amp;Cube1,$F$17,$F$18,$F$19,$F$16,$C$14,$F$15,$F$14,$F$20,U$2,$U$1,$C387)</f>
        <v/>
      </c>
      <c r="V387" s="227" t="str">
        <f ca="1">_xll.DBRW(Server&amp;Cube1,$F$17,$F$18,$F$19,$F$16,$C$14,$F$15,$F$14,$F$20,V$2,V$1,$C387)</f>
        <v/>
      </c>
      <c r="W387" s="227" t="str">
        <f ca="1">_xll.DBRW(Server&amp;Cube1,$F$17,$F$18,$F$19,$F$16,$C$14,$F$15,$F$14,$F$20,W$2,W$1,$C387)</f>
        <v/>
      </c>
      <c r="X387" s="227" t="str">
        <f ca="1">_xll.DBRW(Server&amp;Cube1,$F$17,$F$18,$F$19,$F$16,$C$14,$F$15,$F$14,$F$20,X$2,X$1,$C387)</f>
        <v/>
      </c>
      <c r="Y387" s="227" t="str">
        <f ca="1">_xll.DBRW(Server&amp;Cube1,$F$17,$F$18,$F$19,$F$16,$C$14,$F$15,$F$14,$F$20,Y$2,Y$1,$C387)</f>
        <v/>
      </c>
      <c r="Z387" s="241"/>
      <c r="AA387" s="241"/>
      <c r="AB387" s="241"/>
      <c r="AC387" s="241"/>
      <c r="AD387" s="241"/>
      <c r="AE387" s="241"/>
      <c r="AF387" s="221" t="str">
        <f ca="1">_xll.DBRW(Server&amp;Cube1,$F$17,$F$18,$F$19,$F$16,$C$14,$F$15,$F$14,$F$20,AF$2,$AF$1,$C387)</f>
        <v/>
      </c>
      <c r="AG387" s="53"/>
      <c r="AH387" s="53"/>
      <c r="AI387" s="53"/>
      <c r="AJ387" s="53"/>
      <c r="AK387" s="53"/>
      <c r="AL387" s="53"/>
      <c r="AM387" s="53"/>
      <c r="AN387" s="53"/>
      <c r="AO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:53" s="9" customFormat="1" ht="24" customHeight="1" x14ac:dyDescent="0.35">
      <c r="A388" s="181" t="e">
        <f ca="1">IF($AT$35="YES",1,IF(_xll.ELCOMPN(Server&amp;$C$24,C388)&lt;&gt;0,1,IF(OR(B388=$AZ$35,B388="ALL"),1,0)))</f>
        <v>#VALUE!</v>
      </c>
      <c r="B388" s="163" t="str">
        <f t="shared" si="20"/>
        <v>GM</v>
      </c>
      <c r="C388" s="117" t="s">
        <v>440</v>
      </c>
      <c r="E388" s="268" t="str">
        <f ca="1">_xll.DBRA(Server&amp;$C$24,$C388,$F$21)</f>
        <v>Impôts et taxes divers (DG)</v>
      </c>
      <c r="F388" s="268"/>
      <c r="G388" s="268"/>
      <c r="H388" s="40"/>
      <c r="I388" s="221" t="str">
        <f ca="1">_xll.DBRW(Server&amp;Cube1,$F$17,$F$18,$F$19,$F$16,$C$14,$F$15,$F$14,$F$20,I$2,I$1,$C388)</f>
        <v/>
      </c>
      <c r="J388" s="221" t="str">
        <f ca="1">_xll.DBRW(Server&amp;Cube1,$F$17,$F$18,$F$19,$F$16,$C$14,$F$15,$F$14,$F$20,J$2,J$1,$C388)</f>
        <v/>
      </c>
      <c r="K388" s="221" t="e">
        <f ca="1">_xll.DBRW(Server&amp;Cube1,$F$17,$F$18,$F$19,$F$16,$C$14,$F$15,$F$14,$F$20,I$2,I$1,$C388) -_xll.DBRW(Server&amp;Cube1,$F$17,$F$18,$F$19,$F$16,$C$14,$F$15,$F$14,$F$20,K$2,I$1,$C388)</f>
        <v>#VALUE!</v>
      </c>
      <c r="L388" s="221" t="e">
        <f t="shared" ca="1" si="19"/>
        <v>#VALUE!</v>
      </c>
      <c r="M388" s="221" t="e">
        <f t="shared" ca="1" si="18"/>
        <v>#VALUE!</v>
      </c>
      <c r="N388" s="226"/>
      <c r="O388" s="221" t="str">
        <f ca="1">_xll.DBRW(Server&amp;Cube1,$F$17,$F$18,$F$19,$F$16,$C$14,$F$15,$F$14,$F$20,O$2,O$1,$C388)</f>
        <v/>
      </c>
      <c r="P388" s="226"/>
      <c r="Q388" s="240" t="str">
        <f ca="1">IF(_xll.ELCOMPN(Server&amp;$C$24,C388)=0,"YES","NO")</f>
        <v>YES</v>
      </c>
      <c r="R388" s="241">
        <v>0</v>
      </c>
      <c r="S388" s="226"/>
      <c r="T388" s="227" t="str">
        <f ca="1">_xll.DBRW(Server&amp;Cube1,$F$17,$F$18,$F$19,$F$16,$C$14,$F$15,$F$14,$F$20,T$2,$T$1,$C388)</f>
        <v/>
      </c>
      <c r="U388" s="227" t="str">
        <f ca="1">_xll.DBRW(Server&amp;Cube1,$F$17,$F$18,$F$19,$F$16,$C$14,$F$15,$F$14,$F$20,U$2,$U$1,$C388)</f>
        <v/>
      </c>
      <c r="V388" s="227" t="str">
        <f ca="1">_xll.DBRW(Server&amp;Cube1,$F$17,$F$18,$F$19,$F$16,$C$14,$F$15,$F$14,$F$20,V$2,V$1,$C388)</f>
        <v/>
      </c>
      <c r="W388" s="227" t="str">
        <f ca="1">_xll.DBRW(Server&amp;Cube1,$F$17,$F$18,$F$19,$F$16,$C$14,$F$15,$F$14,$F$20,W$2,W$1,$C388)</f>
        <v/>
      </c>
      <c r="X388" s="227" t="str">
        <f ca="1">_xll.DBRW(Server&amp;Cube1,$F$17,$F$18,$F$19,$F$16,$C$14,$F$15,$F$14,$F$20,X$2,X$1,$C388)</f>
        <v/>
      </c>
      <c r="Y388" s="227" t="str">
        <f ca="1">_xll.DBRW(Server&amp;Cube1,$F$17,$F$18,$F$19,$F$16,$C$14,$F$15,$F$14,$F$20,Y$2,Y$1,$C388)</f>
        <v/>
      </c>
      <c r="Z388" s="241"/>
      <c r="AA388" s="241"/>
      <c r="AB388" s="241"/>
      <c r="AC388" s="241"/>
      <c r="AD388" s="241"/>
      <c r="AE388" s="241"/>
      <c r="AF388" s="221" t="str">
        <f ca="1">_xll.DBRW(Server&amp;Cube1,$F$17,$F$18,$F$19,$F$16,$C$14,$F$15,$F$14,$F$20,AF$2,$AF$1,$C388)</f>
        <v/>
      </c>
      <c r="AG388" s="53"/>
      <c r="AH388" s="53"/>
      <c r="AI388" s="53"/>
      <c r="AJ388" s="53"/>
      <c r="AK388" s="53"/>
      <c r="AL388" s="53"/>
      <c r="AM388" s="53"/>
      <c r="AN388" s="53"/>
      <c r="AO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:53" s="9" customFormat="1" ht="24" customHeight="1" x14ac:dyDescent="0.35">
      <c r="A389" s="181" t="e">
        <f ca="1">IF($AT$35="YES",1,IF(_xll.ELCOMPN(Server&amp;$C$24,C389)&lt;&gt;0,1,IF(OR(B389=$AZ$35,B389="ALL"),1,0)))</f>
        <v>#VALUE!</v>
      </c>
      <c r="B389" s="163" t="str">
        <f t="shared" si="20"/>
        <v>IA</v>
      </c>
      <c r="C389" s="117" t="s">
        <v>441</v>
      </c>
      <c r="E389" s="268" t="str">
        <f ca="1">_xll.DBRA(Server&amp;$C$24,$C389,$F$21)</f>
        <v>Impôts et taxes divers (AI)</v>
      </c>
      <c r="F389" s="268"/>
      <c r="G389" s="268"/>
      <c r="H389" s="40"/>
      <c r="I389" s="221" t="str">
        <f ca="1">_xll.DBRW(Server&amp;Cube1,$F$17,$F$18,$F$19,$F$16,$C$14,$F$15,$F$14,$F$20,I$2,I$1,$C389)</f>
        <v/>
      </c>
      <c r="J389" s="221" t="str">
        <f ca="1">_xll.DBRW(Server&amp;Cube1,$F$17,$F$18,$F$19,$F$16,$C$14,$F$15,$F$14,$F$20,J$2,J$1,$C389)</f>
        <v/>
      </c>
      <c r="K389" s="221" t="e">
        <f ca="1">_xll.DBRW(Server&amp;Cube1,$F$17,$F$18,$F$19,$F$16,$C$14,$F$15,$F$14,$F$20,I$2,I$1,$C389) -_xll.DBRW(Server&amp;Cube1,$F$17,$F$18,$F$19,$F$16,$C$14,$F$15,$F$14,$F$20,K$2,I$1,$C389)</f>
        <v>#VALUE!</v>
      </c>
      <c r="L389" s="221" t="e">
        <f t="shared" ca="1" si="19"/>
        <v>#VALUE!</v>
      </c>
      <c r="M389" s="221" t="e">
        <f t="shared" ca="1" si="18"/>
        <v>#VALUE!</v>
      </c>
      <c r="N389" s="226"/>
      <c r="O389" s="221" t="str">
        <f ca="1">_xll.DBRW(Server&amp;Cube1,$F$17,$F$18,$F$19,$F$16,$C$14,$F$15,$F$14,$F$20,O$2,O$1,$C389)</f>
        <v/>
      </c>
      <c r="P389" s="226"/>
      <c r="Q389" s="240" t="str">
        <f ca="1">IF(_xll.ELCOMPN(Server&amp;$C$24,C389)=0,"YES","NO")</f>
        <v>YES</v>
      </c>
      <c r="R389" s="241">
        <v>0</v>
      </c>
      <c r="S389" s="226"/>
      <c r="T389" s="227" t="str">
        <f ca="1">_xll.DBRW(Server&amp;Cube1,$F$17,$F$18,$F$19,$F$16,$C$14,$F$15,$F$14,$F$20,T$2,$T$1,$C389)</f>
        <v/>
      </c>
      <c r="U389" s="227" t="str">
        <f ca="1">_xll.DBRW(Server&amp;Cube1,$F$17,$F$18,$F$19,$F$16,$C$14,$F$15,$F$14,$F$20,U$2,$U$1,$C389)</f>
        <v/>
      </c>
      <c r="V389" s="227" t="str">
        <f ca="1">_xll.DBRW(Server&amp;Cube1,$F$17,$F$18,$F$19,$F$16,$C$14,$F$15,$F$14,$F$20,V$2,V$1,$C389)</f>
        <v/>
      </c>
      <c r="W389" s="227" t="str">
        <f ca="1">_xll.DBRW(Server&amp;Cube1,$F$17,$F$18,$F$19,$F$16,$C$14,$F$15,$F$14,$F$20,W$2,W$1,$C389)</f>
        <v/>
      </c>
      <c r="X389" s="227" t="str">
        <f ca="1">_xll.DBRW(Server&amp;Cube1,$F$17,$F$18,$F$19,$F$16,$C$14,$F$15,$F$14,$F$20,X$2,X$1,$C389)</f>
        <v/>
      </c>
      <c r="Y389" s="227" t="str">
        <f ca="1">_xll.DBRW(Server&amp;Cube1,$F$17,$F$18,$F$19,$F$16,$C$14,$F$15,$F$14,$F$20,Y$2,Y$1,$C389)</f>
        <v/>
      </c>
      <c r="Z389" s="241"/>
      <c r="AA389" s="241"/>
      <c r="AB389" s="241"/>
      <c r="AC389" s="241"/>
      <c r="AD389" s="241"/>
      <c r="AE389" s="241"/>
      <c r="AF389" s="221" t="str">
        <f ca="1">_xll.DBRW(Server&amp;Cube1,$F$17,$F$18,$F$19,$F$16,$C$14,$F$15,$F$14,$F$20,AF$2,$AF$1,$C389)</f>
        <v/>
      </c>
      <c r="AG389" s="53"/>
      <c r="AH389" s="53"/>
      <c r="AI389" s="53"/>
      <c r="AJ389" s="53"/>
      <c r="AK389" s="53"/>
      <c r="AL389" s="53"/>
      <c r="AM389" s="53"/>
      <c r="AN389" s="53"/>
      <c r="AO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:53" s="9" customFormat="1" ht="24" customHeight="1" x14ac:dyDescent="0.35">
      <c r="A390" s="181" t="e">
        <f ca="1">IF($AT$35="YES",1,IF(_xll.ELCOMPN(Server&amp;$C$24,C390)&lt;&gt;0,1,IF(OR(B390=$AZ$35,B390="ALL"),1,0)))</f>
        <v>#VALUE!</v>
      </c>
      <c r="B390" s="163" t="str">
        <f t="shared" si="20"/>
        <v>LE</v>
      </c>
      <c r="C390" s="117" t="s">
        <v>442</v>
      </c>
      <c r="E390" s="268" t="str">
        <f ca="1">_xll.DBRA(Server&amp;$C$24,$C390,$F$21)</f>
        <v>Impôts et taxes divers (JU)</v>
      </c>
      <c r="F390" s="268"/>
      <c r="G390" s="268"/>
      <c r="H390" s="40"/>
      <c r="I390" s="221" t="str">
        <f ca="1">_xll.DBRW(Server&amp;Cube1,$F$17,$F$18,$F$19,$F$16,$C$14,$F$15,$F$14,$F$20,I$2,I$1,$C390)</f>
        <v/>
      </c>
      <c r="J390" s="221" t="str">
        <f ca="1">_xll.DBRW(Server&amp;Cube1,$F$17,$F$18,$F$19,$F$16,$C$14,$F$15,$F$14,$F$20,J$2,J$1,$C390)</f>
        <v/>
      </c>
      <c r="K390" s="221" t="e">
        <f ca="1">_xll.DBRW(Server&amp;Cube1,$F$17,$F$18,$F$19,$F$16,$C$14,$F$15,$F$14,$F$20,I$2,I$1,$C390) -_xll.DBRW(Server&amp;Cube1,$F$17,$F$18,$F$19,$F$16,$C$14,$F$15,$F$14,$F$20,K$2,I$1,$C390)</f>
        <v>#VALUE!</v>
      </c>
      <c r="L390" s="221" t="e">
        <f t="shared" ca="1" si="19"/>
        <v>#VALUE!</v>
      </c>
      <c r="M390" s="221" t="e">
        <f t="shared" ca="1" si="18"/>
        <v>#VALUE!</v>
      </c>
      <c r="N390" s="226"/>
      <c r="O390" s="221" t="str">
        <f ca="1">_xll.DBRW(Server&amp;Cube1,$F$17,$F$18,$F$19,$F$16,$C$14,$F$15,$F$14,$F$20,O$2,O$1,$C390)</f>
        <v/>
      </c>
      <c r="P390" s="226"/>
      <c r="Q390" s="240" t="str">
        <f ca="1">IF(_xll.ELCOMPN(Server&amp;$C$24,C390)=0,"YES","NO")</f>
        <v>YES</v>
      </c>
      <c r="R390" s="241">
        <v>0</v>
      </c>
      <c r="S390" s="226"/>
      <c r="T390" s="227" t="str">
        <f ca="1">_xll.DBRW(Server&amp;Cube1,$F$17,$F$18,$F$19,$F$16,$C$14,$F$15,$F$14,$F$20,T$2,$T$1,$C390)</f>
        <v/>
      </c>
      <c r="U390" s="227" t="str">
        <f ca="1">_xll.DBRW(Server&amp;Cube1,$F$17,$F$18,$F$19,$F$16,$C$14,$F$15,$F$14,$F$20,U$2,$U$1,$C390)</f>
        <v/>
      </c>
      <c r="V390" s="227" t="str">
        <f ca="1">_xll.DBRW(Server&amp;Cube1,$F$17,$F$18,$F$19,$F$16,$C$14,$F$15,$F$14,$F$20,V$2,V$1,$C390)</f>
        <v/>
      </c>
      <c r="W390" s="227" t="str">
        <f ca="1">_xll.DBRW(Server&amp;Cube1,$F$17,$F$18,$F$19,$F$16,$C$14,$F$15,$F$14,$F$20,W$2,W$1,$C390)</f>
        <v/>
      </c>
      <c r="X390" s="227" t="str">
        <f ca="1">_xll.DBRW(Server&amp;Cube1,$F$17,$F$18,$F$19,$F$16,$C$14,$F$15,$F$14,$F$20,X$2,X$1,$C390)</f>
        <v/>
      </c>
      <c r="Y390" s="227" t="str">
        <f ca="1">_xll.DBRW(Server&amp;Cube1,$F$17,$F$18,$F$19,$F$16,$C$14,$F$15,$F$14,$F$20,Y$2,Y$1,$C390)</f>
        <v/>
      </c>
      <c r="Z390" s="241"/>
      <c r="AA390" s="241"/>
      <c r="AB390" s="241"/>
      <c r="AC390" s="241"/>
      <c r="AD390" s="241"/>
      <c r="AE390" s="241"/>
      <c r="AF390" s="221" t="str">
        <f ca="1">_xll.DBRW(Server&amp;Cube1,$F$17,$F$18,$F$19,$F$16,$C$14,$F$15,$F$14,$F$20,AF$2,$AF$1,$C390)</f>
        <v/>
      </c>
      <c r="AG390" s="53"/>
      <c r="AH390" s="53"/>
      <c r="AI390" s="53"/>
      <c r="AJ390" s="53"/>
      <c r="AK390" s="53"/>
      <c r="AL390" s="53"/>
      <c r="AM390" s="53"/>
      <c r="AN390" s="53"/>
      <c r="AO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:53" s="9" customFormat="1" ht="24" customHeight="1" x14ac:dyDescent="0.35">
      <c r="A391" s="181" t="e">
        <f ca="1">IF($AT$35="YES",1,IF(_xll.ELCOMPN(Server&amp;$C$24,C391)&lt;&gt;0,1,IF(OR(B391=$AZ$35,B391="ALL"),1,0)))</f>
        <v>#VALUE!</v>
      </c>
      <c r="B391" s="163" t="str">
        <f t="shared" si="20"/>
        <v>RM</v>
      </c>
      <c r="C391" s="117" t="s">
        <v>443</v>
      </c>
      <c r="E391" s="268" t="str">
        <f ca="1">_xll.DBRA(Server&amp;$C$24,$C391,$F$21)</f>
        <v>Impôts et taxes divers (GR)</v>
      </c>
      <c r="F391" s="268"/>
      <c r="G391" s="268"/>
      <c r="H391" s="40"/>
      <c r="I391" s="221" t="str">
        <f ca="1">_xll.DBRW(Server&amp;Cube1,$F$17,$F$18,$F$19,$F$16,$C$14,$F$15,$F$14,$F$20,I$2,I$1,$C391)</f>
        <v/>
      </c>
      <c r="J391" s="221" t="str">
        <f ca="1">_xll.DBRW(Server&amp;Cube1,$F$17,$F$18,$F$19,$F$16,$C$14,$F$15,$F$14,$F$20,J$2,J$1,$C391)</f>
        <v/>
      </c>
      <c r="K391" s="221" t="e">
        <f ca="1">_xll.DBRW(Server&amp;Cube1,$F$17,$F$18,$F$19,$F$16,$C$14,$F$15,$F$14,$F$20,I$2,I$1,$C391) -_xll.DBRW(Server&amp;Cube1,$F$17,$F$18,$F$19,$F$16,$C$14,$F$15,$F$14,$F$20,K$2,I$1,$C391)</f>
        <v>#VALUE!</v>
      </c>
      <c r="L391" s="221" t="e">
        <f t="shared" ca="1" si="19"/>
        <v>#VALUE!</v>
      </c>
      <c r="M391" s="221" t="e">
        <f t="shared" ca="1" si="18"/>
        <v>#VALUE!</v>
      </c>
      <c r="N391" s="226"/>
      <c r="O391" s="221" t="str">
        <f ca="1">_xll.DBRW(Server&amp;Cube1,$F$17,$F$18,$F$19,$F$16,$C$14,$F$15,$F$14,$F$20,O$2,O$1,$C391)</f>
        <v/>
      </c>
      <c r="P391" s="226"/>
      <c r="Q391" s="240" t="str">
        <f ca="1">IF(_xll.ELCOMPN(Server&amp;$C$24,C391)=0,"YES","NO")</f>
        <v>YES</v>
      </c>
      <c r="R391" s="241">
        <v>0</v>
      </c>
      <c r="S391" s="226"/>
      <c r="T391" s="227" t="str">
        <f ca="1">_xll.DBRW(Server&amp;Cube1,$F$17,$F$18,$F$19,$F$16,$C$14,$F$15,$F$14,$F$20,T$2,$T$1,$C391)</f>
        <v/>
      </c>
      <c r="U391" s="227" t="str">
        <f ca="1">_xll.DBRW(Server&amp;Cube1,$F$17,$F$18,$F$19,$F$16,$C$14,$F$15,$F$14,$F$20,U$2,$U$1,$C391)</f>
        <v/>
      </c>
      <c r="V391" s="227" t="str">
        <f ca="1">_xll.DBRW(Server&amp;Cube1,$F$17,$F$18,$F$19,$F$16,$C$14,$F$15,$F$14,$F$20,V$2,V$1,$C391)</f>
        <v/>
      </c>
      <c r="W391" s="227" t="str">
        <f ca="1">_xll.DBRW(Server&amp;Cube1,$F$17,$F$18,$F$19,$F$16,$C$14,$F$15,$F$14,$F$20,W$2,W$1,$C391)</f>
        <v/>
      </c>
      <c r="X391" s="227" t="str">
        <f ca="1">_xll.DBRW(Server&amp;Cube1,$F$17,$F$18,$F$19,$F$16,$C$14,$F$15,$F$14,$F$20,X$2,X$1,$C391)</f>
        <v/>
      </c>
      <c r="Y391" s="227" t="str">
        <f ca="1">_xll.DBRW(Server&amp;Cube1,$F$17,$F$18,$F$19,$F$16,$C$14,$F$15,$F$14,$F$20,Y$2,Y$1,$C391)</f>
        <v/>
      </c>
      <c r="Z391" s="241"/>
      <c r="AA391" s="241"/>
      <c r="AB391" s="241"/>
      <c r="AC391" s="241"/>
      <c r="AD391" s="241"/>
      <c r="AE391" s="241"/>
      <c r="AF391" s="221" t="str">
        <f ca="1">_xll.DBRW(Server&amp;Cube1,$F$17,$F$18,$F$19,$F$16,$C$14,$F$15,$F$14,$F$20,AF$2,$AF$1,$C391)</f>
        <v/>
      </c>
      <c r="AG391" s="53"/>
      <c r="AH391" s="53"/>
      <c r="AI391" s="53"/>
      <c r="AJ391" s="53"/>
      <c r="AK391" s="53"/>
      <c r="AL391" s="53"/>
      <c r="AM391" s="53"/>
      <c r="AN391" s="53"/>
      <c r="AO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:53" s="9" customFormat="1" ht="24" customHeight="1" x14ac:dyDescent="0.35">
      <c r="A392" s="181" t="e">
        <f ca="1">IF($AT$35="YES",1,IF(_xll.ELCOMPN(Server&amp;$C$24,C392)&lt;&gt;0,1,IF(OR(B392=$AZ$35,B392="ALL"),1,0)))</f>
        <v>#VALUE!</v>
      </c>
      <c r="B392" s="163" t="str">
        <f t="shared" si="20"/>
        <v>PU</v>
      </c>
      <c r="C392" s="117" t="s">
        <v>444</v>
      </c>
      <c r="E392" s="268" t="str">
        <f ca="1">_xll.DBRA(Server&amp;$C$24,$C392,$F$21)</f>
        <v>Impôts et taxes divers (AC)</v>
      </c>
      <c r="F392" s="268"/>
      <c r="G392" s="268"/>
      <c r="H392" s="40"/>
      <c r="I392" s="221" t="str">
        <f ca="1">_xll.DBRW(Server&amp;Cube1,$F$17,$F$18,$F$19,$F$16,$C$14,$F$15,$F$14,$F$20,I$2,I$1,$C392)</f>
        <v/>
      </c>
      <c r="J392" s="221" t="str">
        <f ca="1">_xll.DBRW(Server&amp;Cube1,$F$17,$F$18,$F$19,$F$16,$C$14,$F$15,$F$14,$F$20,J$2,J$1,$C392)</f>
        <v/>
      </c>
      <c r="K392" s="221" t="e">
        <f ca="1">_xll.DBRW(Server&amp;Cube1,$F$17,$F$18,$F$19,$F$16,$C$14,$F$15,$F$14,$F$20,I$2,I$1,$C392) -_xll.DBRW(Server&amp;Cube1,$F$17,$F$18,$F$19,$F$16,$C$14,$F$15,$F$14,$F$20,K$2,I$1,$C392)</f>
        <v>#VALUE!</v>
      </c>
      <c r="L392" s="221" t="e">
        <f t="shared" ca="1" si="19"/>
        <v>#VALUE!</v>
      </c>
      <c r="M392" s="221" t="e">
        <f t="shared" ca="1" si="18"/>
        <v>#VALUE!</v>
      </c>
      <c r="N392" s="226"/>
      <c r="O392" s="221" t="str">
        <f ca="1">_xll.DBRW(Server&amp;Cube1,$F$17,$F$18,$F$19,$F$16,$C$14,$F$15,$F$14,$F$20,O$2,O$1,$C392)</f>
        <v/>
      </c>
      <c r="P392" s="226"/>
      <c r="Q392" s="240" t="str">
        <f ca="1">IF(_xll.ELCOMPN(Server&amp;$C$24,C392)=0,"YES","NO")</f>
        <v>YES</v>
      </c>
      <c r="R392" s="241">
        <v>0</v>
      </c>
      <c r="S392" s="226"/>
      <c r="T392" s="227" t="str">
        <f ca="1">_xll.DBRW(Server&amp;Cube1,$F$17,$F$18,$F$19,$F$16,$C$14,$F$15,$F$14,$F$20,T$2,$T$1,$C392)</f>
        <v/>
      </c>
      <c r="U392" s="227" t="str">
        <f ca="1">_xll.DBRW(Server&amp;Cube1,$F$17,$F$18,$F$19,$F$16,$C$14,$F$15,$F$14,$F$20,U$2,$U$1,$C392)</f>
        <v/>
      </c>
      <c r="V392" s="227" t="str">
        <f ca="1">_xll.DBRW(Server&amp;Cube1,$F$17,$F$18,$F$19,$F$16,$C$14,$F$15,$F$14,$F$20,V$2,V$1,$C392)</f>
        <v/>
      </c>
      <c r="W392" s="227" t="str">
        <f ca="1">_xll.DBRW(Server&amp;Cube1,$F$17,$F$18,$F$19,$F$16,$C$14,$F$15,$F$14,$F$20,W$2,W$1,$C392)</f>
        <v/>
      </c>
      <c r="X392" s="227" t="str">
        <f ca="1">_xll.DBRW(Server&amp;Cube1,$F$17,$F$18,$F$19,$F$16,$C$14,$F$15,$F$14,$F$20,X$2,X$1,$C392)</f>
        <v/>
      </c>
      <c r="Y392" s="227" t="str">
        <f ca="1">_xll.DBRW(Server&amp;Cube1,$F$17,$F$18,$F$19,$F$16,$C$14,$F$15,$F$14,$F$20,Y$2,Y$1,$C392)</f>
        <v/>
      </c>
      <c r="Z392" s="241"/>
      <c r="AA392" s="241"/>
      <c r="AB392" s="241"/>
      <c r="AC392" s="241"/>
      <c r="AD392" s="241"/>
      <c r="AE392" s="241"/>
      <c r="AF392" s="221" t="str">
        <f ca="1">_xll.DBRW(Server&amp;Cube1,$F$17,$F$18,$F$19,$F$16,$C$14,$F$15,$F$14,$F$20,AF$2,$AF$1,$C392)</f>
        <v/>
      </c>
      <c r="AG392" s="53"/>
      <c r="AH392" s="53"/>
      <c r="AI392" s="53"/>
      <c r="AJ392" s="53"/>
      <c r="AK392" s="53"/>
      <c r="AL392" s="53"/>
      <c r="AM392" s="53"/>
      <c r="AN392" s="53"/>
      <c r="AO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:53" s="9" customFormat="1" ht="24" customHeight="1" x14ac:dyDescent="0.35">
      <c r="A393" s="181" t="e">
        <f ca="1">IF($AT$35="YES",1,IF(_xll.ELCOMPN(Server&amp;$C$24,C393)&lt;&gt;0,1,IF(OR(B393=$AZ$35,B393="ALL"),1,0)))</f>
        <v>#VALUE!</v>
      </c>
      <c r="B393" s="163" t="str">
        <f t="shared" si="20"/>
        <v>CO</v>
      </c>
      <c r="C393" s="117" t="s">
        <v>445</v>
      </c>
      <c r="E393" s="268" t="str">
        <f ca="1">_xll.DBRA(Server&amp;$C$24,$C393,$F$21)</f>
        <v>Impôts et taxes divers (CO)</v>
      </c>
      <c r="F393" s="268"/>
      <c r="G393" s="268"/>
      <c r="H393" s="40"/>
      <c r="I393" s="221" t="str">
        <f ca="1">_xll.DBRW(Server&amp;Cube1,$F$17,$F$18,$F$19,$F$16,$C$14,$F$15,$F$14,$F$20,I$2,I$1,$C393)</f>
        <v/>
      </c>
      <c r="J393" s="221" t="str">
        <f ca="1">_xll.DBRW(Server&amp;Cube1,$F$17,$F$18,$F$19,$F$16,$C$14,$F$15,$F$14,$F$20,J$2,J$1,$C393)</f>
        <v/>
      </c>
      <c r="K393" s="221" t="e">
        <f ca="1">_xll.DBRW(Server&amp;Cube1,$F$17,$F$18,$F$19,$F$16,$C$14,$F$15,$F$14,$F$20,I$2,I$1,$C393) -_xll.DBRW(Server&amp;Cube1,$F$17,$F$18,$F$19,$F$16,$C$14,$F$15,$F$14,$F$20,K$2,I$1,$C393)</f>
        <v>#VALUE!</v>
      </c>
      <c r="L393" s="221" t="e">
        <f t="shared" ca="1" si="19"/>
        <v>#VALUE!</v>
      </c>
      <c r="M393" s="221" t="e">
        <f t="shared" ca="1" si="18"/>
        <v>#VALUE!</v>
      </c>
      <c r="N393" s="226"/>
      <c r="O393" s="221" t="str">
        <f ca="1">_xll.DBRW(Server&amp;Cube1,$F$17,$F$18,$F$19,$F$16,$C$14,$F$15,$F$14,$F$20,O$2,O$1,$C393)</f>
        <v/>
      </c>
      <c r="P393" s="226"/>
      <c r="Q393" s="240" t="str">
        <f ca="1">IF(_xll.ELCOMPN(Server&amp;$C$24,C393)=0,"YES","NO")</f>
        <v>YES</v>
      </c>
      <c r="R393" s="241">
        <v>0</v>
      </c>
      <c r="S393" s="226"/>
      <c r="T393" s="227" t="str">
        <f ca="1">_xll.DBRW(Server&amp;Cube1,$F$17,$F$18,$F$19,$F$16,$C$14,$F$15,$F$14,$F$20,T$2,$T$1,$C393)</f>
        <v/>
      </c>
      <c r="U393" s="227" t="str">
        <f ca="1">_xll.DBRW(Server&amp;Cube1,$F$17,$F$18,$F$19,$F$16,$C$14,$F$15,$F$14,$F$20,U$2,$U$1,$C393)</f>
        <v/>
      </c>
      <c r="V393" s="227" t="str">
        <f ca="1">_xll.DBRW(Server&amp;Cube1,$F$17,$F$18,$F$19,$F$16,$C$14,$F$15,$F$14,$F$20,V$2,V$1,$C393)</f>
        <v/>
      </c>
      <c r="W393" s="227" t="str">
        <f ca="1">_xll.DBRW(Server&amp;Cube1,$F$17,$F$18,$F$19,$F$16,$C$14,$F$15,$F$14,$F$20,W$2,W$1,$C393)</f>
        <v/>
      </c>
      <c r="X393" s="227" t="str">
        <f ca="1">_xll.DBRW(Server&amp;Cube1,$F$17,$F$18,$F$19,$F$16,$C$14,$F$15,$F$14,$F$20,X$2,X$1,$C393)</f>
        <v/>
      </c>
      <c r="Y393" s="227" t="str">
        <f ca="1">_xll.DBRW(Server&amp;Cube1,$F$17,$F$18,$F$19,$F$16,$C$14,$F$15,$F$14,$F$20,Y$2,Y$1,$C393)</f>
        <v/>
      </c>
      <c r="Z393" s="241"/>
      <c r="AA393" s="241"/>
      <c r="AB393" s="241"/>
      <c r="AC393" s="241"/>
      <c r="AD393" s="241"/>
      <c r="AE393" s="241"/>
      <c r="AF393" s="221" t="str">
        <f ca="1">_xll.DBRW(Server&amp;Cube1,$F$17,$F$18,$F$19,$F$16,$C$14,$F$15,$F$14,$F$20,AF$2,$AF$1,$C393)</f>
        <v/>
      </c>
      <c r="AG393" s="53"/>
      <c r="AH393" s="53"/>
      <c r="AI393" s="53"/>
      <c r="AJ393" s="53"/>
      <c r="AK393" s="53"/>
      <c r="AL393" s="53"/>
      <c r="AM393" s="53"/>
      <c r="AN393" s="53"/>
      <c r="AO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:53" s="9" customFormat="1" ht="24" customHeight="1" x14ac:dyDescent="0.35">
      <c r="A394" s="181" t="e">
        <f ca="1">IF($AT$35="YES",1,IF(_xll.ELCOMPN(Server&amp;$C$24,C394)&lt;&gt;0,1,IF(OR(B394=$AZ$35,B394="ALL"),1,0)))</f>
        <v>#VALUE!</v>
      </c>
      <c r="B394" s="163" t="str">
        <f t="shared" si="20"/>
        <v>GS</v>
      </c>
      <c r="C394" s="117" t="s">
        <v>446</v>
      </c>
      <c r="E394" s="268" t="str">
        <f ca="1">_xll.DBRA(Server&amp;$C$24,$C394,$F$21)</f>
        <v>Impôts et taxes divers (SG)</v>
      </c>
      <c r="F394" s="268"/>
      <c r="G394" s="268"/>
      <c r="H394" s="40"/>
      <c r="I394" s="221" t="str">
        <f ca="1">_xll.DBRW(Server&amp;Cube1,$F$17,$F$18,$F$19,$F$16,$C$14,$F$15,$F$14,$F$20,I$2,I$1,$C394)</f>
        <v/>
      </c>
      <c r="J394" s="221" t="str">
        <f ca="1">_xll.DBRW(Server&amp;Cube1,$F$17,$F$18,$F$19,$F$16,$C$14,$F$15,$F$14,$F$20,J$2,J$1,$C394)</f>
        <v/>
      </c>
      <c r="K394" s="221" t="e">
        <f ca="1">_xll.DBRW(Server&amp;Cube1,$F$17,$F$18,$F$19,$F$16,$C$14,$F$15,$F$14,$F$20,I$2,I$1,$C394) -_xll.DBRW(Server&amp;Cube1,$F$17,$F$18,$F$19,$F$16,$C$14,$F$15,$F$14,$F$20,K$2,I$1,$C394)</f>
        <v>#VALUE!</v>
      </c>
      <c r="L394" s="221" t="e">
        <f t="shared" ca="1" si="19"/>
        <v>#VALUE!</v>
      </c>
      <c r="M394" s="221" t="e">
        <f t="shared" ca="1" si="18"/>
        <v>#VALUE!</v>
      </c>
      <c r="N394" s="226"/>
      <c r="O394" s="221" t="str">
        <f ca="1">_xll.DBRW(Server&amp;Cube1,$F$17,$F$18,$F$19,$F$16,$C$14,$F$15,$F$14,$F$20,O$2,O$1,$C394)</f>
        <v/>
      </c>
      <c r="P394" s="226"/>
      <c r="Q394" s="240" t="str">
        <f ca="1">IF(_xll.ELCOMPN(Server&amp;$C$24,C394)=0,"YES","NO")</f>
        <v>YES</v>
      </c>
      <c r="R394" s="241">
        <v>0</v>
      </c>
      <c r="S394" s="226"/>
      <c r="T394" s="227" t="str">
        <f ca="1">_xll.DBRW(Server&amp;Cube1,$F$17,$F$18,$F$19,$F$16,$C$14,$F$15,$F$14,$F$20,T$2,$T$1,$C394)</f>
        <v/>
      </c>
      <c r="U394" s="227" t="str">
        <f ca="1">_xll.DBRW(Server&amp;Cube1,$F$17,$F$18,$F$19,$F$16,$C$14,$F$15,$F$14,$F$20,U$2,$U$1,$C394)</f>
        <v/>
      </c>
      <c r="V394" s="227" t="str">
        <f ca="1">_xll.DBRW(Server&amp;Cube1,$F$17,$F$18,$F$19,$F$16,$C$14,$F$15,$F$14,$F$20,V$2,V$1,$C394)</f>
        <v/>
      </c>
      <c r="W394" s="227" t="str">
        <f ca="1">_xll.DBRW(Server&amp;Cube1,$F$17,$F$18,$F$19,$F$16,$C$14,$F$15,$F$14,$F$20,W$2,W$1,$C394)</f>
        <v/>
      </c>
      <c r="X394" s="227" t="str">
        <f ca="1">_xll.DBRW(Server&amp;Cube1,$F$17,$F$18,$F$19,$F$16,$C$14,$F$15,$F$14,$F$20,X$2,X$1,$C394)</f>
        <v/>
      </c>
      <c r="Y394" s="227" t="str">
        <f ca="1">_xll.DBRW(Server&amp;Cube1,$F$17,$F$18,$F$19,$F$16,$C$14,$F$15,$F$14,$F$20,Y$2,Y$1,$C394)</f>
        <v/>
      </c>
      <c r="Z394" s="241"/>
      <c r="AA394" s="241"/>
      <c r="AB394" s="241"/>
      <c r="AC394" s="241"/>
      <c r="AD394" s="241"/>
      <c r="AE394" s="241"/>
      <c r="AF394" s="221" t="str">
        <f ca="1">_xll.DBRW(Server&amp;Cube1,$F$17,$F$18,$F$19,$F$16,$C$14,$F$15,$F$14,$F$20,AF$2,$AF$1,$C394)</f>
        <v/>
      </c>
      <c r="AG394" s="53"/>
      <c r="AH394" s="53"/>
      <c r="AI394" s="53"/>
      <c r="AJ394" s="53"/>
      <c r="AK394" s="53"/>
      <c r="AL394" s="53"/>
      <c r="AM394" s="53"/>
      <c r="AN394" s="53"/>
      <c r="AO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:53" s="9" customFormat="1" ht="24" customHeight="1" x14ac:dyDescent="0.35">
      <c r="A395" s="181" t="e">
        <f ca="1">IF($AT$35="YES",1,IF(_xll.ELCOMPN(Server&amp;$C$24,C395)&lt;&gt;0,1,IF(OR(B395=$AZ$35,B395="ALL"),1,0)))</f>
        <v>#VALUE!</v>
      </c>
      <c r="B395" s="163" t="str">
        <f t="shared" si="20"/>
        <v>RD</v>
      </c>
      <c r="C395" s="117" t="s">
        <v>447</v>
      </c>
      <c r="E395" s="268" t="str">
        <f ca="1">_xll.DBRA(Server&amp;$C$24,$C395,$F$21)</f>
        <v>Impôts et taxes divers (RD)</v>
      </c>
      <c r="F395" s="268"/>
      <c r="G395" s="268"/>
      <c r="H395" s="40"/>
      <c r="I395" s="221" t="str">
        <f ca="1">_xll.DBRW(Server&amp;Cube1,$F$17,$F$18,$F$19,$F$16,$C$14,$F$15,$F$14,$F$20,I$2,I$1,$C395)</f>
        <v/>
      </c>
      <c r="J395" s="221" t="str">
        <f ca="1">_xll.DBRW(Server&amp;Cube1,$F$17,$F$18,$F$19,$F$16,$C$14,$F$15,$F$14,$F$20,J$2,J$1,$C395)</f>
        <v/>
      </c>
      <c r="K395" s="221" t="e">
        <f ca="1">_xll.DBRW(Server&amp;Cube1,$F$17,$F$18,$F$19,$F$16,$C$14,$F$15,$F$14,$F$20,I$2,I$1,$C395) -_xll.DBRW(Server&amp;Cube1,$F$17,$F$18,$F$19,$F$16,$C$14,$F$15,$F$14,$F$20,K$2,I$1,$C395)</f>
        <v>#VALUE!</v>
      </c>
      <c r="L395" s="221" t="e">
        <f t="shared" ca="1" si="19"/>
        <v>#VALUE!</v>
      </c>
      <c r="M395" s="221" t="e">
        <f t="shared" ca="1" si="18"/>
        <v>#VALUE!</v>
      </c>
      <c r="N395" s="226"/>
      <c r="O395" s="221" t="str">
        <f ca="1">_xll.DBRW(Server&amp;Cube1,$F$17,$F$18,$F$19,$F$16,$C$14,$F$15,$F$14,$F$20,O$2,O$1,$C395)</f>
        <v/>
      </c>
      <c r="P395" s="226"/>
      <c r="Q395" s="240" t="str">
        <f ca="1">IF(_xll.ELCOMPN(Server&amp;$C$24,C395)=0,"YES","NO")</f>
        <v>YES</v>
      </c>
      <c r="R395" s="241">
        <v>0</v>
      </c>
      <c r="S395" s="226"/>
      <c r="T395" s="227" t="str">
        <f ca="1">_xll.DBRW(Server&amp;Cube1,$F$17,$F$18,$F$19,$F$16,$C$14,$F$15,$F$14,$F$20,T$2,$T$1,$C395)</f>
        <v/>
      </c>
      <c r="U395" s="227" t="str">
        <f ca="1">_xll.DBRW(Server&amp;Cube1,$F$17,$F$18,$F$19,$F$16,$C$14,$F$15,$F$14,$F$20,U$2,$U$1,$C395)</f>
        <v/>
      </c>
      <c r="V395" s="227" t="str">
        <f ca="1">_xll.DBRW(Server&amp;Cube1,$F$17,$F$18,$F$19,$F$16,$C$14,$F$15,$F$14,$F$20,V$2,V$1,$C395)</f>
        <v/>
      </c>
      <c r="W395" s="227" t="str">
        <f ca="1">_xll.DBRW(Server&amp;Cube1,$F$17,$F$18,$F$19,$F$16,$C$14,$F$15,$F$14,$F$20,W$2,W$1,$C395)</f>
        <v/>
      </c>
      <c r="X395" s="227" t="str">
        <f ca="1">_xll.DBRW(Server&amp;Cube1,$F$17,$F$18,$F$19,$F$16,$C$14,$F$15,$F$14,$F$20,X$2,X$1,$C395)</f>
        <v/>
      </c>
      <c r="Y395" s="227" t="str">
        <f ca="1">_xll.DBRW(Server&amp;Cube1,$F$17,$F$18,$F$19,$F$16,$C$14,$F$15,$F$14,$F$20,Y$2,Y$1,$C395)</f>
        <v/>
      </c>
      <c r="Z395" s="241"/>
      <c r="AA395" s="241"/>
      <c r="AB395" s="241"/>
      <c r="AC395" s="241"/>
      <c r="AD395" s="241"/>
      <c r="AE395" s="241"/>
      <c r="AF395" s="221" t="str">
        <f ca="1">_xll.DBRW(Server&amp;Cube1,$F$17,$F$18,$F$19,$F$16,$C$14,$F$15,$F$14,$F$20,AF$2,$AF$1,$C395)</f>
        <v/>
      </c>
      <c r="AG395" s="53"/>
      <c r="AH395" s="53"/>
      <c r="AI395" s="53"/>
      <c r="AJ395" s="53"/>
      <c r="AK395" s="53"/>
      <c r="AL395" s="53"/>
      <c r="AM395" s="53"/>
      <c r="AN395" s="53"/>
      <c r="AO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:53" s="9" customFormat="1" ht="24" customHeight="1" x14ac:dyDescent="0.35">
      <c r="A396" s="181">
        <f ca="1">IF($AT$35="YES",1,IF(_xll.ELCOMPN(Server&amp;$C$24,C396)&lt;&gt;0,1,IF(OR(B396=$AZ$35,B396="ALL"),1,0)))</f>
        <v>1</v>
      </c>
      <c r="B396" s="181" t="s">
        <v>484</v>
      </c>
      <c r="C396" s="119" t="s">
        <v>121</v>
      </c>
      <c r="E396" s="269" t="str">
        <f ca="1">_xll.DBRA(Server&amp;$C$24,$C396,$F$21)</f>
        <v>Dotations amortissements et provisions exceptionnelles</v>
      </c>
      <c r="F396" s="269"/>
      <c r="G396" s="269"/>
      <c r="H396" s="40"/>
      <c r="I396" s="220" t="str">
        <f ca="1">_xll.DBRW(Server&amp;Cube1,$F$17,$F$18,$F$19,$F$16,$C$14,$F$15,$F$14,$F$20,I$2,I$1,$C396)</f>
        <v/>
      </c>
      <c r="J396" s="220" t="str">
        <f ca="1">_xll.DBRW(Server&amp;Cube1,$F$17,$F$18,$F$19,$F$16,$C$14,$F$15,$F$14,$F$20,J$2,J$1,$C396)</f>
        <v/>
      </c>
      <c r="K396" s="220" t="e">
        <f ca="1">_xll.DBRW(Server&amp;Cube1,$F$17,$F$18,$F$19,$F$16,$C$14,$F$15,$F$14,$F$20,I$2,I$1,$C396) -_xll.DBRW(Server&amp;Cube1,$F$17,$F$18,$F$19,$F$16,$C$14,$F$15,$F$14,$F$20,K$2,I$1,$C396)</f>
        <v>#VALUE!</v>
      </c>
      <c r="L396" s="220" t="e">
        <f t="shared" ca="1" si="19"/>
        <v>#VALUE!</v>
      </c>
      <c r="M396" s="220" t="e">
        <f t="shared" ca="1" si="18"/>
        <v>#VALUE!</v>
      </c>
      <c r="N396" s="229"/>
      <c r="O396" s="228" t="str">
        <f ca="1">_xll.DBRW(Server&amp;Cube1,$F$17,$F$18,$F$19,$F$16,$C$14,$F$15,$F$14,$F$20,O$2,O$1,$C396)</f>
        <v/>
      </c>
      <c r="P396" s="229"/>
      <c r="Q396" s="240" t="str">
        <f ca="1">IF(_xll.ELCOMPN(Server&amp;$C$24,C396)=0,"YES","NO")</f>
        <v>NO</v>
      </c>
      <c r="R396" s="228"/>
      <c r="S396" s="229"/>
      <c r="T396" s="231" t="str">
        <f ca="1">_xll.DBRW(Server&amp;Cube1,$F$17,$F$18,$F$19,$F$16,$C$14,$F$15,$F$14,$F$20,T$2,$T$1,$C396)</f>
        <v/>
      </c>
      <c r="U396" s="231" t="str">
        <f ca="1">_xll.DBRW(Server&amp;Cube1,$F$17,$F$18,$F$19,$F$16,$C$14,$F$15,$F$14,$F$20,U$2,$U$1,$C396)</f>
        <v/>
      </c>
      <c r="V396" s="231" t="str">
        <f ca="1">_xll.DBRW(Server&amp;Cube1,$F$17,$F$18,$F$19,$F$16,$C$14,$F$15,$F$14,$F$20,V$2,V$1,$C396)</f>
        <v/>
      </c>
      <c r="W396" s="231" t="str">
        <f ca="1">_xll.DBRW(Server&amp;Cube1,$F$17,$F$18,$F$19,$F$16,$C$14,$F$15,$F$14,$F$20,W$2,W$1,$C396)</f>
        <v/>
      </c>
      <c r="X396" s="228" t="str">
        <f ca="1">_xll.DBRW(Server&amp;Cube1,$F$17,$F$18,$F$19,$F$16,$C$14,$F$15,$F$14,$F$20,X$2,X$1,$C396)</f>
        <v/>
      </c>
      <c r="Y396" s="228" t="str">
        <f ca="1">_xll.DBRW(Server&amp;Cube1,$F$17,$F$18,$F$19,$F$16,$C$14,$F$15,$F$14,$F$20,Y$2,Y$1,$C396)</f>
        <v/>
      </c>
      <c r="Z396" s="228" t="str">
        <f ca="1">_xll.DBRW(Server&amp;Cube1,$F$17,$F$18,$F$19,$F$16,$C$14,$F$15,$F$14,$F$20,Z$2,Z$1,$C396)</f>
        <v/>
      </c>
      <c r="AA396" s="228" t="str">
        <f ca="1">_xll.DBRW(Server&amp;Cube1,$F$17,$F$18,$F$19,$F$16,$C$14,$F$15,$F$14,$F$20,AA$2,AA$1,$C396)</f>
        <v/>
      </c>
      <c r="AB396" s="228" t="str">
        <f ca="1">_xll.DBRW(Server&amp;Cube1,$F$17,$F$18,$F$19,$F$16,$C$14,$F$15,$F$14,$F$20,AB$2,AB$1,$C396)</f>
        <v/>
      </c>
      <c r="AC396" s="228" t="str">
        <f ca="1">_xll.DBRW(Server&amp;Cube1,$F$17,$F$18,$F$19,$F$16,$C$14,$F$15,$F$14,$F$20,AC$2,AC$1,$C396)</f>
        <v/>
      </c>
      <c r="AD396" s="228" t="str">
        <f ca="1">_xll.DBRW(Server&amp;Cube1,$F$17,$F$18,$F$19,$F$16,$C$14,$F$15,$F$14,$F$20,AD$2,AD$1,$C396)</f>
        <v/>
      </c>
      <c r="AE396" s="228" t="str">
        <f ca="1">_xll.DBRW(Server&amp;Cube1,$F$17,$F$18,$F$19,$F$16,$C$14,$F$15,$F$14,$F$20,AE$2,AE$1,$C396)</f>
        <v/>
      </c>
      <c r="AF396" s="228" t="str">
        <f ca="1">_xll.DBRW(Server&amp;Cube1,$F$17,$F$18,$F$19,$F$16,$C$14,$F$15,$F$14,$F$20,AF$2,$AF$1,$C396)</f>
        <v/>
      </c>
      <c r="AG396" s="53"/>
      <c r="AH396" s="53"/>
      <c r="AI396" s="53"/>
      <c r="AJ396" s="53"/>
      <c r="AK396" s="53"/>
      <c r="AL396" s="53"/>
      <c r="AM396" s="53"/>
      <c r="AN396" s="53"/>
      <c r="AO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:53" s="9" customFormat="1" ht="24" customHeight="1" x14ac:dyDescent="0.35">
      <c r="A397" s="181">
        <f ca="1">IF($AT$35="YES",1,IF(_xll.ELCOMPN(Server&amp;$C$24,C397)&lt;&gt;0,1,IF(OR(B397=$AZ$35,B397="ALL"),1,0)))</f>
        <v>1</v>
      </c>
      <c r="B397" s="181" t="s">
        <v>484</v>
      </c>
      <c r="C397" s="117" t="s">
        <v>122</v>
      </c>
      <c r="E397" s="270" t="str">
        <f ca="1">_xll.DBRA(Server&amp;$C$24,$C397,$F$21)</f>
        <v>Amortissements exceptionnels</v>
      </c>
      <c r="F397" s="270"/>
      <c r="G397" s="270"/>
      <c r="H397" s="40"/>
      <c r="I397" s="221" t="str">
        <f ca="1">_xll.DBRW(Server&amp;Cube1,$F$17,$F$18,$F$19,$F$16,$C$14,$F$15,$F$14,$F$20,I$2,I$1,$C397)</f>
        <v/>
      </c>
      <c r="J397" s="221" t="str">
        <f ca="1">_xll.DBRW(Server&amp;Cube1,$F$17,$F$18,$F$19,$F$16,$C$14,$F$15,$F$14,$F$20,J$2,J$1,$C397)</f>
        <v/>
      </c>
      <c r="K397" s="221" t="e">
        <f ca="1">_xll.DBRW(Server&amp;Cube1,$F$17,$F$18,$F$19,$F$16,$C$14,$F$15,$F$14,$F$20,I$2,I$1,$C397) -_xll.DBRW(Server&amp;Cube1,$F$17,$F$18,$F$19,$F$16,$C$14,$F$15,$F$14,$F$20,K$2,I$1,$C397)</f>
        <v>#VALUE!</v>
      </c>
      <c r="L397" s="221" t="e">
        <f t="shared" ca="1" si="19"/>
        <v>#VALUE!</v>
      </c>
      <c r="M397" s="221" t="e">
        <f t="shared" ca="1" si="18"/>
        <v>#VALUE!</v>
      </c>
      <c r="N397" s="226"/>
      <c r="O397" s="226" t="str">
        <f ca="1">_xll.DBRW(Server&amp;Cube1,$F$17,$F$18,$F$19,$F$16,$C$14,$F$15,$F$14,$F$20,O$2,O$1,$C397)</f>
        <v/>
      </c>
      <c r="P397" s="226"/>
      <c r="Q397" s="240" t="str">
        <f ca="1">IF(_xll.ELCOMPN(Server&amp;$C$24,C397)=0,"YES","NO")</f>
        <v>NO</v>
      </c>
      <c r="R397" s="226"/>
      <c r="S397" s="226"/>
      <c r="T397" s="232" t="str">
        <f ca="1">_xll.DBRW(Server&amp;Cube1,$F$17,$F$18,$F$19,$F$16,$C$14,$F$15,$F$14,$F$20,T$2,$T$1,$C397)</f>
        <v/>
      </c>
      <c r="U397" s="232" t="str">
        <f ca="1">_xll.DBRW(Server&amp;Cube1,$F$17,$F$18,$F$19,$F$16,$C$14,$F$15,$F$14,$F$20,U$2,$U$1,$C397)</f>
        <v/>
      </c>
      <c r="V397" s="232" t="str">
        <f ca="1">_xll.DBRW(Server&amp;Cube1,$F$17,$F$18,$F$19,$F$16,$C$14,$F$15,$F$14,$F$20,V$2,V$1,$C397)</f>
        <v/>
      </c>
      <c r="W397" s="232" t="str">
        <f ca="1">_xll.DBRW(Server&amp;Cube1,$F$17,$F$18,$F$19,$F$16,$C$14,$F$15,$F$14,$F$20,W$2,W$1,$C397)</f>
        <v/>
      </c>
      <c r="X397" s="226" t="str">
        <f ca="1">_xll.DBRW(Server&amp;Cube1,$F$17,$F$18,$F$19,$F$16,$C$14,$F$15,$F$14,$F$20,X$2,X$1,$C397)</f>
        <v/>
      </c>
      <c r="Y397" s="226" t="str">
        <f ca="1">_xll.DBRW(Server&amp;Cube1,$F$17,$F$18,$F$19,$F$16,$C$14,$F$15,$F$14,$F$20,Y$2,Y$1,$C397)</f>
        <v/>
      </c>
      <c r="Z397" s="226" t="str">
        <f ca="1">_xll.DBRW(Server&amp;Cube1,$F$17,$F$18,$F$19,$F$16,$C$14,$F$15,$F$14,$F$20,Z$2,Z$1,$C397)</f>
        <v/>
      </c>
      <c r="AA397" s="226" t="str">
        <f ca="1">_xll.DBRW(Server&amp;Cube1,$F$17,$F$18,$F$19,$F$16,$C$14,$F$15,$F$14,$F$20,AA$2,AA$1,$C397)</f>
        <v/>
      </c>
      <c r="AB397" s="226" t="str">
        <f ca="1">_xll.DBRW(Server&amp;Cube1,$F$17,$F$18,$F$19,$F$16,$C$14,$F$15,$F$14,$F$20,AB$2,AB$1,$C397)</f>
        <v/>
      </c>
      <c r="AC397" s="226" t="str">
        <f ca="1">_xll.DBRW(Server&amp;Cube1,$F$17,$F$18,$F$19,$F$16,$C$14,$F$15,$F$14,$F$20,AC$2,AC$1,$C397)</f>
        <v/>
      </c>
      <c r="AD397" s="226" t="str">
        <f ca="1">_xll.DBRW(Server&amp;Cube1,$F$17,$F$18,$F$19,$F$16,$C$14,$F$15,$F$14,$F$20,AD$2,AD$1,$C397)</f>
        <v/>
      </c>
      <c r="AE397" s="226" t="str">
        <f ca="1">_xll.DBRW(Server&amp;Cube1,$F$17,$F$18,$F$19,$F$16,$C$14,$F$15,$F$14,$F$20,AE$2,AE$1,$C397)</f>
        <v/>
      </c>
      <c r="AF397" s="226" t="str">
        <f ca="1">_xll.DBRW(Server&amp;Cube1,$F$17,$F$18,$F$19,$F$16,$C$14,$F$15,$F$14,$F$20,AF$2,$AF$1,$C397)</f>
        <v/>
      </c>
      <c r="AG397" s="53"/>
      <c r="AH397" s="53"/>
      <c r="AI397" s="53"/>
      <c r="AJ397" s="53"/>
      <c r="AK397" s="53"/>
      <c r="AL397" s="53"/>
      <c r="AM397" s="53"/>
      <c r="AN397" s="53"/>
      <c r="AO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:53" s="9" customFormat="1" ht="24" customHeight="1" x14ac:dyDescent="0.35">
      <c r="A398" s="181" t="e">
        <f ca="1">IF($AT$35="YES",1,IF(_xll.ELCOMPN(Server&amp;$C$24,C398)&lt;&gt;0,1,IF(OR(B398=$AZ$35,B398="ALL"),1,0)))</f>
        <v>#VALUE!</v>
      </c>
      <c r="B398" s="181" t="s">
        <v>484</v>
      </c>
      <c r="C398" s="158" t="s">
        <v>524</v>
      </c>
      <c r="E398" s="268" t="str">
        <f ca="1">_xll.DBRA(Server&amp;$C$24,$C398,$F$21)</f>
        <v>Amortissements exceptionnels (DG)</v>
      </c>
      <c r="F398" s="268"/>
      <c r="G398" s="268"/>
      <c r="H398" s="40"/>
      <c r="I398" s="221" t="str">
        <f ca="1">_xll.DBRW(Server&amp;Cube1,$F$17,$F$18,$F$19,$F$16,$C$14,$F$15,$F$14,$F$20,I$2,I$1,$C398)</f>
        <v/>
      </c>
      <c r="J398" s="221" t="str">
        <f ca="1">_xll.DBRW(Server&amp;Cube1,$F$17,$F$18,$F$19,$F$16,$C$14,$F$15,$F$14,$F$20,J$2,J$1,$C398)</f>
        <v/>
      </c>
      <c r="K398" s="221" t="e">
        <f ca="1">_xll.DBRW(Server&amp;Cube1,$F$17,$F$18,$F$19,$F$16,$C$14,$F$15,$F$14,$F$20,I$2,I$1,$C398) -_xll.DBRW(Server&amp;Cube1,$F$17,$F$18,$F$19,$F$16,$C$14,$F$15,$F$14,$F$20,K$2,I$1,$C398)</f>
        <v>#VALUE!</v>
      </c>
      <c r="L398" s="221" t="e">
        <f t="shared" ca="1" si="19"/>
        <v>#VALUE!</v>
      </c>
      <c r="M398" s="221" t="e">
        <f t="shared" ca="1" si="18"/>
        <v>#VALUE!</v>
      </c>
      <c r="N398" s="226"/>
      <c r="O398" s="221" t="str">
        <f ca="1">_xll.DBRW(Server&amp;Cube1,$F$17,$F$18,$F$19,$F$16,$C$14,$F$15,$F$14,$F$20,O$2,O$1,$C398)</f>
        <v/>
      </c>
      <c r="P398" s="226"/>
      <c r="Q398" s="240" t="str">
        <f ca="1">IF(_xll.ELCOMPN(Server&amp;$C$24,C398)=0,"YES","NO")</f>
        <v>YES</v>
      </c>
      <c r="R398" s="241">
        <v>0</v>
      </c>
      <c r="S398" s="226"/>
      <c r="T398" s="227" t="str">
        <f ca="1">_xll.DBRW(Server&amp;Cube1,$F$17,$F$18,$F$19,$F$16,$C$14,$F$15,$F$14,$F$20,T$2,$T$1,$C398)</f>
        <v/>
      </c>
      <c r="U398" s="227" t="str">
        <f ca="1">_xll.DBRW(Server&amp;Cube1,$F$17,$F$18,$F$19,$F$16,$C$14,$F$15,$F$14,$F$20,U$2,$U$1,$C398)</f>
        <v/>
      </c>
      <c r="V398" s="227" t="str">
        <f ca="1">_xll.DBRW(Server&amp;Cube1,$F$17,$F$18,$F$19,$F$16,$C$14,$F$15,$F$14,$F$20,V$2,V$1,$C398)</f>
        <v/>
      </c>
      <c r="W398" s="227" t="str">
        <f ca="1">_xll.DBRW(Server&amp;Cube1,$F$17,$F$18,$F$19,$F$16,$C$14,$F$15,$F$14,$F$20,W$2,W$1,$C398)</f>
        <v/>
      </c>
      <c r="X398" s="227" t="str">
        <f ca="1">_xll.DBRW(Server&amp;Cube1,$F$17,$F$18,$F$19,$F$16,$C$14,$F$15,$F$14,$F$20,X$2,X$1,$C398)</f>
        <v/>
      </c>
      <c r="Y398" s="227" t="str">
        <f ca="1">_xll.DBRW(Server&amp;Cube1,$F$17,$F$18,$F$19,$F$16,$C$14,$F$15,$F$14,$F$20,Y$2,Y$1,$C398)</f>
        <v/>
      </c>
      <c r="Z398" s="241"/>
      <c r="AA398" s="241"/>
      <c r="AB398" s="241"/>
      <c r="AC398" s="241"/>
      <c r="AD398" s="241"/>
      <c r="AE398" s="241"/>
      <c r="AF398" s="221" t="str">
        <f ca="1">_xll.DBRW(Server&amp;Cube1,$F$17,$F$18,$F$19,$F$16,$C$14,$F$15,$F$14,$F$20,AF$2,$AF$1,$C398)</f>
        <v/>
      </c>
      <c r="AG398" s="53"/>
      <c r="AH398" s="53"/>
      <c r="AI398" s="53"/>
      <c r="AJ398" s="53"/>
      <c r="AK398" s="53"/>
      <c r="AL398" s="53"/>
      <c r="AM398" s="53"/>
      <c r="AN398" s="53"/>
      <c r="AO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:53" s="9" customFormat="1" ht="24" customHeight="1" x14ac:dyDescent="0.35">
      <c r="A399" s="181">
        <f ca="1">IF($AT$35="YES",1,IF(_xll.ELCOMPN(Server&amp;$C$24,C399)&lt;&gt;0,1,IF(OR(B399=$AZ$35,B399="ALL"),1,0)))</f>
        <v>1</v>
      </c>
      <c r="B399" s="181" t="s">
        <v>484</v>
      </c>
      <c r="C399" s="117" t="s">
        <v>123</v>
      </c>
      <c r="E399" s="270" t="str">
        <f ca="1">_xll.DBRA(Server&amp;$C$24,$C399,$F$21)</f>
        <v>Provisions exceptionnelles</v>
      </c>
      <c r="F399" s="270"/>
      <c r="G399" s="270"/>
      <c r="H399" s="40"/>
      <c r="I399" s="221" t="str">
        <f ca="1">_xll.DBRW(Server&amp;Cube1,$F$17,$F$18,$F$19,$F$16,$C$14,$F$15,$F$14,$F$20,I$2,I$1,$C399)</f>
        <v/>
      </c>
      <c r="J399" s="221" t="str">
        <f ca="1">_xll.DBRW(Server&amp;Cube1,$F$17,$F$18,$F$19,$F$16,$C$14,$F$15,$F$14,$F$20,J$2,J$1,$C399)</f>
        <v/>
      </c>
      <c r="K399" s="221" t="e">
        <f ca="1">_xll.DBRW(Server&amp;Cube1,$F$17,$F$18,$F$19,$F$16,$C$14,$F$15,$F$14,$F$20,I$2,I$1,$C399) -_xll.DBRW(Server&amp;Cube1,$F$17,$F$18,$F$19,$F$16,$C$14,$F$15,$F$14,$F$20,K$2,I$1,$C399)</f>
        <v>#VALUE!</v>
      </c>
      <c r="L399" s="221" t="e">
        <f t="shared" ca="1" si="19"/>
        <v>#VALUE!</v>
      </c>
      <c r="M399" s="221" t="e">
        <f t="shared" ca="1" si="18"/>
        <v>#VALUE!</v>
      </c>
      <c r="N399" s="226"/>
      <c r="O399" s="226" t="str">
        <f ca="1">_xll.DBRW(Server&amp;Cube1,$F$17,$F$18,$F$19,$F$16,$C$14,$F$15,$F$14,$F$20,O$2,O$1,$C399)</f>
        <v/>
      </c>
      <c r="P399" s="226"/>
      <c r="Q399" s="240" t="str">
        <f ca="1">IF(_xll.ELCOMPN(Server&amp;$C$24,C399)=0,"YES","NO")</f>
        <v>NO</v>
      </c>
      <c r="R399" s="226"/>
      <c r="S399" s="226"/>
      <c r="T399" s="232" t="str">
        <f ca="1">_xll.DBRW(Server&amp;Cube1,$F$17,$F$18,$F$19,$F$16,$C$14,$F$15,$F$14,$F$20,T$2,$T$1,$C399)</f>
        <v/>
      </c>
      <c r="U399" s="232" t="str">
        <f ca="1">_xll.DBRW(Server&amp;Cube1,$F$17,$F$18,$F$19,$F$16,$C$14,$F$15,$F$14,$F$20,U$2,$U$1,$C399)</f>
        <v/>
      </c>
      <c r="V399" s="232" t="str">
        <f ca="1">_xll.DBRW(Server&amp;Cube1,$F$17,$F$18,$F$19,$F$16,$C$14,$F$15,$F$14,$F$20,V$2,V$1,$C399)</f>
        <v/>
      </c>
      <c r="W399" s="232" t="str">
        <f ca="1">_xll.DBRW(Server&amp;Cube1,$F$17,$F$18,$F$19,$F$16,$C$14,$F$15,$F$14,$F$20,W$2,W$1,$C399)</f>
        <v/>
      </c>
      <c r="X399" s="226" t="str">
        <f ca="1">_xll.DBRW(Server&amp;Cube1,$F$17,$F$18,$F$19,$F$16,$C$14,$F$15,$F$14,$F$20,X$2,X$1,$C399)</f>
        <v/>
      </c>
      <c r="Y399" s="226" t="str">
        <f ca="1">_xll.DBRW(Server&amp;Cube1,$F$17,$F$18,$F$19,$F$16,$C$14,$F$15,$F$14,$F$20,Y$2,Y$1,$C399)</f>
        <v/>
      </c>
      <c r="Z399" s="226" t="str">
        <f ca="1">_xll.DBRW(Server&amp;Cube1,$F$17,$F$18,$F$19,$F$16,$C$14,$F$15,$F$14,$F$20,Z$2,Z$1,$C399)</f>
        <v/>
      </c>
      <c r="AA399" s="226" t="str">
        <f ca="1">_xll.DBRW(Server&amp;Cube1,$F$17,$F$18,$F$19,$F$16,$C$14,$F$15,$F$14,$F$20,AA$2,AA$1,$C399)</f>
        <v/>
      </c>
      <c r="AB399" s="226" t="str">
        <f ca="1">_xll.DBRW(Server&amp;Cube1,$F$17,$F$18,$F$19,$F$16,$C$14,$F$15,$F$14,$F$20,AB$2,AB$1,$C399)</f>
        <v/>
      </c>
      <c r="AC399" s="226" t="str">
        <f ca="1">_xll.DBRW(Server&amp;Cube1,$F$17,$F$18,$F$19,$F$16,$C$14,$F$15,$F$14,$F$20,AC$2,AC$1,$C399)</f>
        <v/>
      </c>
      <c r="AD399" s="226" t="str">
        <f ca="1">_xll.DBRW(Server&amp;Cube1,$F$17,$F$18,$F$19,$F$16,$C$14,$F$15,$F$14,$F$20,AD$2,AD$1,$C399)</f>
        <v/>
      </c>
      <c r="AE399" s="226" t="str">
        <f ca="1">_xll.DBRW(Server&amp;Cube1,$F$17,$F$18,$F$19,$F$16,$C$14,$F$15,$F$14,$F$20,AE$2,AE$1,$C399)</f>
        <v/>
      </c>
      <c r="AF399" s="226" t="str">
        <f ca="1">_xll.DBRW(Server&amp;Cube1,$F$17,$F$18,$F$19,$F$16,$C$14,$F$15,$F$14,$F$20,AF$2,$AF$1,$C399)</f>
        <v/>
      </c>
      <c r="AG399" s="53"/>
      <c r="AH399" s="53"/>
      <c r="AI399" s="53"/>
      <c r="AJ399" s="53"/>
      <c r="AK399" s="53"/>
      <c r="AL399" s="53"/>
      <c r="AM399" s="53"/>
      <c r="AN399" s="53"/>
      <c r="AO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:53" s="9" customFormat="1" ht="24" customHeight="1" x14ac:dyDescent="0.35">
      <c r="A400" s="181" t="e">
        <f ca="1">IF($AT$35="YES",1,IF(_xll.ELCOMPN(Server&amp;$C$24,C400)&lt;&gt;0,1,IF(OR(B400=$AZ$35,B400="ALL"),1,0)))</f>
        <v>#VALUE!</v>
      </c>
      <c r="B400" s="181" t="s">
        <v>484</v>
      </c>
      <c r="C400" s="158" t="s">
        <v>449</v>
      </c>
      <c r="E400" s="268" t="str">
        <f ca="1">_xll.DBRA(Server&amp;$C$24,$C400,$F$21)</f>
        <v>Pertes de valeurs (hors BFR) et provisions - liées aux frais de personnel (SO)</v>
      </c>
      <c r="F400" s="268"/>
      <c r="G400" s="268"/>
      <c r="H400" s="40"/>
      <c r="I400" s="221" t="str">
        <f ca="1">_xll.DBRW(Server&amp;Cube1,$F$17,$F$18,$F$19,$F$16,$C$14,$F$15,$F$14,$F$20,I$2,I$1,$C400)</f>
        <v/>
      </c>
      <c r="J400" s="221" t="str">
        <f ca="1">_xll.DBRW(Server&amp;Cube1,$F$17,$F$18,$F$19,$F$16,$C$14,$F$15,$F$14,$F$20,J$2,J$1,$C400)</f>
        <v/>
      </c>
      <c r="K400" s="221" t="e">
        <f ca="1">_xll.DBRW(Server&amp;Cube1,$F$17,$F$18,$F$19,$F$16,$C$14,$F$15,$F$14,$F$20,I$2,I$1,$C400) -_xll.DBRW(Server&amp;Cube1,$F$17,$F$18,$F$19,$F$16,$C$14,$F$15,$F$14,$F$20,K$2,I$1,$C400)</f>
        <v>#VALUE!</v>
      </c>
      <c r="L400" s="221" t="e">
        <f t="shared" ca="1" si="19"/>
        <v>#VALUE!</v>
      </c>
      <c r="M400" s="221" t="e">
        <f t="shared" ca="1" si="18"/>
        <v>#VALUE!</v>
      </c>
      <c r="N400" s="226"/>
      <c r="O400" s="221" t="str">
        <f ca="1">_xll.DBRW(Server&amp;Cube1,$F$17,$F$18,$F$19,$F$16,$C$14,$F$15,$F$14,$F$20,O$2,O$1,$C400)</f>
        <v/>
      </c>
      <c r="P400" s="226"/>
      <c r="Q400" s="240" t="str">
        <f ca="1">IF(_xll.ELCOMPN(Server&amp;$C$24,C400)=0,"YES","NO")</f>
        <v>YES</v>
      </c>
      <c r="R400" s="241">
        <v>0</v>
      </c>
      <c r="S400" s="226"/>
      <c r="T400" s="227" t="str">
        <f ca="1">_xll.DBRW(Server&amp;Cube1,$F$17,$F$18,$F$19,$F$16,$C$14,$F$15,$F$14,$F$20,T$2,$T$1,$C400)</f>
        <v/>
      </c>
      <c r="U400" s="227" t="str">
        <f ca="1">_xll.DBRW(Server&amp;Cube1,$F$17,$F$18,$F$19,$F$16,$C$14,$F$15,$F$14,$F$20,U$2,$U$1,$C400)</f>
        <v/>
      </c>
      <c r="V400" s="227" t="str">
        <f ca="1">_xll.DBRW(Server&amp;Cube1,$F$17,$F$18,$F$19,$F$16,$C$14,$F$15,$F$14,$F$20,V$2,V$1,$C400)</f>
        <v/>
      </c>
      <c r="W400" s="227" t="str">
        <f ca="1">_xll.DBRW(Server&amp;Cube1,$F$17,$F$18,$F$19,$F$16,$C$14,$F$15,$F$14,$F$20,W$2,W$1,$C400)</f>
        <v/>
      </c>
      <c r="X400" s="227" t="str">
        <f ca="1">_xll.DBRW(Server&amp;Cube1,$F$17,$F$18,$F$19,$F$16,$C$14,$F$15,$F$14,$F$20,X$2,X$1,$C400)</f>
        <v/>
      </c>
      <c r="Y400" s="227" t="str">
        <f ca="1">_xll.DBRW(Server&amp;Cube1,$F$17,$F$18,$F$19,$F$16,$C$14,$F$15,$F$14,$F$20,Y$2,Y$1,$C400)</f>
        <v/>
      </c>
      <c r="Z400" s="241"/>
      <c r="AA400" s="241"/>
      <c r="AB400" s="241"/>
      <c r="AC400" s="241"/>
      <c r="AD400" s="241"/>
      <c r="AE400" s="241"/>
      <c r="AF400" s="221" t="str">
        <f ca="1">_xll.DBRW(Server&amp;Cube1,$F$17,$F$18,$F$19,$F$16,$C$14,$F$15,$F$14,$F$20,AF$2,$AF$1,$C400)</f>
        <v/>
      </c>
      <c r="AG400" s="53"/>
      <c r="AH400" s="53"/>
      <c r="AI400" s="53"/>
      <c r="AJ400" s="53"/>
      <c r="AK400" s="53"/>
      <c r="AL400" s="53"/>
      <c r="AM400" s="53"/>
      <c r="AN400" s="53"/>
      <c r="AO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:53" s="9" customFormat="1" ht="24" customHeight="1" x14ac:dyDescent="0.35">
      <c r="A401" s="181" t="e">
        <f ca="1">IF($AT$35="YES",1,IF(_xll.ELCOMPN(Server&amp;$C$24,C401)&lt;&gt;0,1,IF(OR(B401=$AZ$35,B401="ALL"),1,0)))</f>
        <v>#VALUE!</v>
      </c>
      <c r="B401" s="181" t="s">
        <v>484</v>
      </c>
      <c r="C401" s="158" t="s">
        <v>450</v>
      </c>
      <c r="E401" s="268" t="str">
        <f ca="1">_xll.DBRA(Server&amp;$C$24,$C401,$F$21)</f>
        <v>Dot. nettes Prov / restructurations (CA)</v>
      </c>
      <c r="F401" s="268"/>
      <c r="G401" s="268"/>
      <c r="H401" s="40"/>
      <c r="I401" s="221" t="str">
        <f ca="1">_xll.DBRW(Server&amp;Cube1,$F$17,$F$18,$F$19,$F$16,$C$14,$F$15,$F$14,$F$20,I$2,I$1,$C401)</f>
        <v/>
      </c>
      <c r="J401" s="221" t="str">
        <f ca="1">_xll.DBRW(Server&amp;Cube1,$F$17,$F$18,$F$19,$F$16,$C$14,$F$15,$F$14,$F$20,J$2,J$1,$C401)</f>
        <v/>
      </c>
      <c r="K401" s="221" t="e">
        <f ca="1">_xll.DBRW(Server&amp;Cube1,$F$17,$F$18,$F$19,$F$16,$C$14,$F$15,$F$14,$F$20,I$2,I$1,$C401) -_xll.DBRW(Server&amp;Cube1,$F$17,$F$18,$F$19,$F$16,$C$14,$F$15,$F$14,$F$20,K$2,I$1,$C401)</f>
        <v>#VALUE!</v>
      </c>
      <c r="L401" s="221" t="e">
        <f t="shared" ca="1" si="19"/>
        <v>#VALUE!</v>
      </c>
      <c r="M401" s="221" t="e">
        <f t="shared" ca="1" si="18"/>
        <v>#VALUE!</v>
      </c>
      <c r="N401" s="226"/>
      <c r="O401" s="221" t="str">
        <f ca="1">_xll.DBRW(Server&amp;Cube1,$F$17,$F$18,$F$19,$F$16,$C$14,$F$15,$F$14,$F$20,O$2,O$1,$C401)</f>
        <v/>
      </c>
      <c r="P401" s="226"/>
      <c r="Q401" s="240" t="str">
        <f ca="1">IF(_xll.ELCOMPN(Server&amp;$C$24,C401)=0,"YES","NO")</f>
        <v>YES</v>
      </c>
      <c r="R401" s="241">
        <v>0</v>
      </c>
      <c r="S401" s="226"/>
      <c r="T401" s="227" t="str">
        <f ca="1">_xll.DBRW(Server&amp;Cube1,$F$17,$F$18,$F$19,$F$16,$C$14,$F$15,$F$14,$F$20,T$2,$T$1,$C401)</f>
        <v/>
      </c>
      <c r="U401" s="227" t="str">
        <f ca="1">_xll.DBRW(Server&amp;Cube1,$F$17,$F$18,$F$19,$F$16,$C$14,$F$15,$F$14,$F$20,U$2,$U$1,$C401)</f>
        <v/>
      </c>
      <c r="V401" s="227" t="str">
        <f ca="1">_xll.DBRW(Server&amp;Cube1,$F$17,$F$18,$F$19,$F$16,$C$14,$F$15,$F$14,$F$20,V$2,V$1,$C401)</f>
        <v/>
      </c>
      <c r="W401" s="227" t="str">
        <f ca="1">_xll.DBRW(Server&amp;Cube1,$F$17,$F$18,$F$19,$F$16,$C$14,$F$15,$F$14,$F$20,W$2,W$1,$C401)</f>
        <v/>
      </c>
      <c r="X401" s="227" t="str">
        <f ca="1">_xll.DBRW(Server&amp;Cube1,$F$17,$F$18,$F$19,$F$16,$C$14,$F$15,$F$14,$F$20,X$2,X$1,$C401)</f>
        <v/>
      </c>
      <c r="Y401" s="227" t="str">
        <f ca="1">_xll.DBRW(Server&amp;Cube1,$F$17,$F$18,$F$19,$F$16,$C$14,$F$15,$F$14,$F$20,Y$2,Y$1,$C401)</f>
        <v/>
      </c>
      <c r="Z401" s="241"/>
      <c r="AA401" s="241"/>
      <c r="AB401" s="241"/>
      <c r="AC401" s="241"/>
      <c r="AD401" s="241"/>
      <c r="AE401" s="241"/>
      <c r="AF401" s="221" t="str">
        <f ca="1">_xll.DBRW(Server&amp;Cube1,$F$17,$F$18,$F$19,$F$16,$C$14,$F$15,$F$14,$F$20,AF$2,$AF$1,$C401)</f>
        <v/>
      </c>
      <c r="AG401" s="53"/>
      <c r="AH401" s="53"/>
      <c r="AI401" s="53"/>
      <c r="AJ401" s="53"/>
      <c r="AK401" s="53"/>
      <c r="AL401" s="53"/>
      <c r="AM401" s="53"/>
      <c r="AN401" s="53"/>
      <c r="AO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</row>
    <row r="402" spans="1:53" s="9" customFormat="1" ht="24" customHeight="1" x14ac:dyDescent="0.35">
      <c r="A402" s="181" t="e">
        <f ca="1">IF($AT$35="YES",1,IF(_xll.ELCOMPN(Server&amp;$C$24,C402)&lt;&gt;0,1,IF(OR(B402=$AZ$35,B402="ALL"),1,0)))</f>
        <v>#VALUE!</v>
      </c>
      <c r="B402" s="181" t="s">
        <v>484</v>
      </c>
      <c r="C402" s="158" t="s">
        <v>451</v>
      </c>
      <c r="E402" s="268" t="str">
        <f ca="1">_xll.DBRA(Server&amp;$C$24,$C402,$F$21)</f>
        <v>Dot. Nettes Prov / restructurations (DC)</v>
      </c>
      <c r="F402" s="268"/>
      <c r="G402" s="268"/>
      <c r="H402" s="40"/>
      <c r="I402" s="221" t="str">
        <f ca="1">_xll.DBRW(Server&amp;Cube1,$F$17,$F$18,$F$19,$F$16,$C$14,$F$15,$F$14,$F$20,I$2,I$1,$C402)</f>
        <v/>
      </c>
      <c r="J402" s="221" t="str">
        <f ca="1">_xll.DBRW(Server&amp;Cube1,$F$17,$F$18,$F$19,$F$16,$C$14,$F$15,$F$14,$F$20,J$2,J$1,$C402)</f>
        <v/>
      </c>
      <c r="K402" s="221" t="e">
        <f ca="1">_xll.DBRW(Server&amp;Cube1,$F$17,$F$18,$F$19,$F$16,$C$14,$F$15,$F$14,$F$20,I$2,I$1,$C402) -_xll.DBRW(Server&amp;Cube1,$F$17,$F$18,$F$19,$F$16,$C$14,$F$15,$F$14,$F$20,K$2,I$1,$C402)</f>
        <v>#VALUE!</v>
      </c>
      <c r="L402" s="221" t="e">
        <f t="shared" ca="1" si="19"/>
        <v>#VALUE!</v>
      </c>
      <c r="M402" s="221" t="e">
        <f t="shared" ca="1" si="18"/>
        <v>#VALUE!</v>
      </c>
      <c r="N402" s="226"/>
      <c r="O402" s="221" t="str">
        <f ca="1">_xll.DBRW(Server&amp;Cube1,$F$17,$F$18,$F$19,$F$16,$C$14,$F$15,$F$14,$F$20,O$2,O$1,$C402)</f>
        <v/>
      </c>
      <c r="P402" s="226"/>
      <c r="Q402" s="240" t="str">
        <f ca="1">IF(_xll.ELCOMPN(Server&amp;$C$24,C402)=0,"YES","NO")</f>
        <v>YES</v>
      </c>
      <c r="R402" s="241">
        <v>0</v>
      </c>
      <c r="S402" s="226"/>
      <c r="T402" s="227" t="str">
        <f ca="1">_xll.DBRW(Server&amp;Cube1,$F$17,$F$18,$F$19,$F$16,$C$14,$F$15,$F$14,$F$20,T$2,$T$1,$C402)</f>
        <v/>
      </c>
      <c r="U402" s="227" t="str">
        <f ca="1">_xll.DBRW(Server&amp;Cube1,$F$17,$F$18,$F$19,$F$16,$C$14,$F$15,$F$14,$F$20,U$2,$U$1,$C402)</f>
        <v/>
      </c>
      <c r="V402" s="227" t="str">
        <f ca="1">_xll.DBRW(Server&amp;Cube1,$F$17,$F$18,$F$19,$F$16,$C$14,$F$15,$F$14,$F$20,V$2,V$1,$C402)</f>
        <v/>
      </c>
      <c r="W402" s="227" t="str">
        <f ca="1">_xll.DBRW(Server&amp;Cube1,$F$17,$F$18,$F$19,$F$16,$C$14,$F$15,$F$14,$F$20,W$2,W$1,$C402)</f>
        <v/>
      </c>
      <c r="X402" s="227" t="str">
        <f ca="1">_xll.DBRW(Server&amp;Cube1,$F$17,$F$18,$F$19,$F$16,$C$14,$F$15,$F$14,$F$20,X$2,X$1,$C402)</f>
        <v/>
      </c>
      <c r="Y402" s="227" t="str">
        <f ca="1">_xll.DBRW(Server&amp;Cube1,$F$17,$F$18,$F$19,$F$16,$C$14,$F$15,$F$14,$F$20,Y$2,Y$1,$C402)</f>
        <v/>
      </c>
      <c r="Z402" s="241"/>
      <c r="AA402" s="241"/>
      <c r="AB402" s="241"/>
      <c r="AC402" s="241"/>
      <c r="AD402" s="241"/>
      <c r="AE402" s="241"/>
      <c r="AF402" s="221" t="str">
        <f ca="1">_xll.DBRW(Server&amp;Cube1,$F$17,$F$18,$F$19,$F$16,$C$14,$F$15,$F$14,$F$20,AF$2,$AF$1,$C402)</f>
        <v/>
      </c>
      <c r="AG402" s="53"/>
      <c r="AH402" s="53"/>
      <c r="AI402" s="53"/>
      <c r="AJ402" s="53"/>
      <c r="AK402" s="53"/>
      <c r="AL402" s="53"/>
      <c r="AM402" s="53"/>
      <c r="AN402" s="53"/>
      <c r="AO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</row>
    <row r="403" spans="1:53" s="9" customFormat="1" ht="24" customHeight="1" x14ac:dyDescent="0.35">
      <c r="A403" s="181" t="e">
        <f ca="1">IF($AT$35="YES",1,IF(_xll.ELCOMPN(Server&amp;$C$24,C403)&lt;&gt;0,1,IF(OR(B403=$AZ$35,B403="ALL"),1,0)))</f>
        <v>#VALUE!</v>
      </c>
      <c r="B403" s="181" t="s">
        <v>484</v>
      </c>
      <c r="C403" s="158" t="s">
        <v>452</v>
      </c>
      <c r="E403" s="268" t="str">
        <f ca="1">_xll.DBRA(Server&amp;$C$24,$C403,$F$21)</f>
        <v>Autres pertes de valeurs et provisions (DG)</v>
      </c>
      <c r="F403" s="268"/>
      <c r="G403" s="268"/>
      <c r="H403" s="40"/>
      <c r="I403" s="221" t="str">
        <f ca="1">_xll.DBRW(Server&amp;Cube1,$F$17,$F$18,$F$19,$F$16,$C$14,$F$15,$F$14,$F$20,I$2,I$1,$C403)</f>
        <v/>
      </c>
      <c r="J403" s="221" t="str">
        <f ca="1">_xll.DBRW(Server&amp;Cube1,$F$17,$F$18,$F$19,$F$16,$C$14,$F$15,$F$14,$F$20,J$2,J$1,$C403)</f>
        <v/>
      </c>
      <c r="K403" s="221" t="e">
        <f ca="1">_xll.DBRW(Server&amp;Cube1,$F$17,$F$18,$F$19,$F$16,$C$14,$F$15,$F$14,$F$20,I$2,I$1,$C403) -_xll.DBRW(Server&amp;Cube1,$F$17,$F$18,$F$19,$F$16,$C$14,$F$15,$F$14,$F$20,K$2,I$1,$C403)</f>
        <v>#VALUE!</v>
      </c>
      <c r="L403" s="221" t="e">
        <f t="shared" ca="1" si="19"/>
        <v>#VALUE!</v>
      </c>
      <c r="M403" s="221" t="e">
        <f t="shared" ca="1" si="18"/>
        <v>#VALUE!</v>
      </c>
      <c r="N403" s="226"/>
      <c r="O403" s="221" t="str">
        <f ca="1">_xll.DBRW(Server&amp;Cube1,$F$17,$F$18,$F$19,$F$16,$C$14,$F$15,$F$14,$F$20,O$2,O$1,$C403)</f>
        <v/>
      </c>
      <c r="P403" s="226"/>
      <c r="Q403" s="240" t="str">
        <f ca="1">IF(_xll.ELCOMPN(Server&amp;$C$24,C403)=0,"YES","NO")</f>
        <v>YES</v>
      </c>
      <c r="R403" s="241">
        <v>0</v>
      </c>
      <c r="S403" s="226"/>
      <c r="T403" s="227" t="str">
        <f ca="1">_xll.DBRW(Server&amp;Cube1,$F$17,$F$18,$F$19,$F$16,$C$14,$F$15,$F$14,$F$20,T$2,$T$1,$C403)</f>
        <v/>
      </c>
      <c r="U403" s="227" t="str">
        <f ca="1">_xll.DBRW(Server&amp;Cube1,$F$17,$F$18,$F$19,$F$16,$C$14,$F$15,$F$14,$F$20,U$2,$U$1,$C403)</f>
        <v/>
      </c>
      <c r="V403" s="227" t="str">
        <f ca="1">_xll.DBRW(Server&amp;Cube1,$F$17,$F$18,$F$19,$F$16,$C$14,$F$15,$F$14,$F$20,V$2,V$1,$C403)</f>
        <v/>
      </c>
      <c r="W403" s="227" t="str">
        <f ca="1">_xll.DBRW(Server&amp;Cube1,$F$17,$F$18,$F$19,$F$16,$C$14,$F$15,$F$14,$F$20,W$2,W$1,$C403)</f>
        <v/>
      </c>
      <c r="X403" s="227" t="str">
        <f ca="1">_xll.DBRW(Server&amp;Cube1,$F$17,$F$18,$F$19,$F$16,$C$14,$F$15,$F$14,$F$20,X$2,X$1,$C403)</f>
        <v/>
      </c>
      <c r="Y403" s="227" t="str">
        <f ca="1">_xll.DBRW(Server&amp;Cube1,$F$17,$F$18,$F$19,$F$16,$C$14,$F$15,$F$14,$F$20,Y$2,Y$1,$C403)</f>
        <v/>
      </c>
      <c r="Z403" s="241"/>
      <c r="AA403" s="241"/>
      <c r="AB403" s="241"/>
      <c r="AC403" s="241"/>
      <c r="AD403" s="241"/>
      <c r="AE403" s="241"/>
      <c r="AF403" s="221" t="str">
        <f ca="1">_xll.DBRW(Server&amp;Cube1,$F$17,$F$18,$F$19,$F$16,$C$14,$F$15,$F$14,$F$20,AF$2,$AF$1,$C403)</f>
        <v/>
      </c>
      <c r="AG403" s="53"/>
      <c r="AH403" s="53"/>
      <c r="AI403" s="53"/>
      <c r="AJ403" s="53"/>
      <c r="AK403" s="53"/>
      <c r="AL403" s="53"/>
      <c r="AM403" s="53"/>
      <c r="AN403" s="53"/>
      <c r="AO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</row>
    <row r="404" spans="1:53" s="9" customFormat="1" ht="24" customHeight="1" x14ac:dyDescent="0.35">
      <c r="A404" s="181" t="e">
        <f ca="1">IF($AT$35="YES",1,IF(_xll.ELCOMPN(Server&amp;$C$24,C404)&lt;&gt;0,1,IF(OR(B404=$AZ$35,B404="ALL"),1,0)))</f>
        <v>#VALUE!</v>
      </c>
      <c r="B404" s="181" t="s">
        <v>484</v>
      </c>
      <c r="C404" s="158" t="s">
        <v>453</v>
      </c>
      <c r="E404" s="268" t="str">
        <f ca="1">_xll.DBRA(Server&amp;$C$24,$C404,$F$21)</f>
        <v>Reprise des pertes de valeur sur titres cédés</v>
      </c>
      <c r="F404" s="268"/>
      <c r="G404" s="268"/>
      <c r="H404" s="40"/>
      <c r="I404" s="221" t="str">
        <f ca="1">_xll.DBRW(Server&amp;Cube1,$F$17,$F$18,$F$19,$F$16,$C$14,$F$15,$F$14,$F$20,I$2,I$1,$C404)</f>
        <v/>
      </c>
      <c r="J404" s="221" t="str">
        <f ca="1">_xll.DBRW(Server&amp;Cube1,$F$17,$F$18,$F$19,$F$16,$C$14,$F$15,$F$14,$F$20,J$2,J$1,$C404)</f>
        <v/>
      </c>
      <c r="K404" s="221" t="e">
        <f ca="1">_xll.DBRW(Server&amp;Cube1,$F$17,$F$18,$F$19,$F$16,$C$14,$F$15,$F$14,$F$20,I$2,I$1,$C404) -_xll.DBRW(Server&amp;Cube1,$F$17,$F$18,$F$19,$F$16,$C$14,$F$15,$F$14,$F$20,K$2,I$1,$C404)</f>
        <v>#VALUE!</v>
      </c>
      <c r="L404" s="221" t="e">
        <f t="shared" ca="1" si="19"/>
        <v>#VALUE!</v>
      </c>
      <c r="M404" s="221" t="e">
        <f t="shared" ca="1" si="18"/>
        <v>#VALUE!</v>
      </c>
      <c r="N404" s="226"/>
      <c r="O404" s="221" t="str">
        <f ca="1">_xll.DBRW(Server&amp;Cube1,$F$17,$F$18,$F$19,$F$16,$C$14,$F$15,$F$14,$F$20,O$2,O$1,$C404)</f>
        <v/>
      </c>
      <c r="P404" s="226"/>
      <c r="Q404" s="240" t="str">
        <f ca="1">IF(_xll.ELCOMPN(Server&amp;$C$24,C404)=0,"YES","NO")</f>
        <v>YES</v>
      </c>
      <c r="R404" s="241">
        <v>0</v>
      </c>
      <c r="S404" s="226"/>
      <c r="T404" s="227" t="str">
        <f ca="1">_xll.DBRW(Server&amp;Cube1,$F$17,$F$18,$F$19,$F$16,$C$14,$F$15,$F$14,$F$20,T$2,$T$1,$C404)</f>
        <v/>
      </c>
      <c r="U404" s="227" t="str">
        <f ca="1">_xll.DBRW(Server&amp;Cube1,$F$17,$F$18,$F$19,$F$16,$C$14,$F$15,$F$14,$F$20,U$2,$U$1,$C404)</f>
        <v/>
      </c>
      <c r="V404" s="227" t="str">
        <f ca="1">_xll.DBRW(Server&amp;Cube1,$F$17,$F$18,$F$19,$F$16,$C$14,$F$15,$F$14,$F$20,V$2,V$1,$C404)</f>
        <v/>
      </c>
      <c r="W404" s="227" t="str">
        <f ca="1">_xll.DBRW(Server&amp;Cube1,$F$17,$F$18,$F$19,$F$16,$C$14,$F$15,$F$14,$F$20,W$2,W$1,$C404)</f>
        <v/>
      </c>
      <c r="X404" s="227" t="str">
        <f ca="1">_xll.DBRW(Server&amp;Cube1,$F$17,$F$18,$F$19,$F$16,$C$14,$F$15,$F$14,$F$20,X$2,X$1,$C404)</f>
        <v/>
      </c>
      <c r="Y404" s="227" t="str">
        <f ca="1">_xll.DBRW(Server&amp;Cube1,$F$17,$F$18,$F$19,$F$16,$C$14,$F$15,$F$14,$F$20,Y$2,Y$1,$C404)</f>
        <v/>
      </c>
      <c r="Z404" s="241"/>
      <c r="AA404" s="241"/>
      <c r="AB404" s="241"/>
      <c r="AC404" s="241"/>
      <c r="AD404" s="241"/>
      <c r="AE404" s="241"/>
      <c r="AF404" s="221" t="str">
        <f ca="1">_xll.DBRW(Server&amp;Cube1,$F$17,$F$18,$F$19,$F$16,$C$14,$F$15,$F$14,$F$20,AF$2,$AF$1,$C404)</f>
        <v/>
      </c>
      <c r="AG404" s="53"/>
      <c r="AH404" s="53"/>
      <c r="AI404" s="53"/>
      <c r="AJ404" s="53"/>
      <c r="AK404" s="53"/>
      <c r="AL404" s="53"/>
      <c r="AM404" s="53"/>
      <c r="AN404" s="53"/>
      <c r="AO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</row>
    <row r="405" spans="1:53" s="9" customFormat="1" ht="24" customHeight="1" x14ac:dyDescent="0.35">
      <c r="A405" s="181" t="e">
        <f ca="1">IF($AT$35="YES",1,IF(_xll.ELCOMPN(Server&amp;$C$24,C405)&lt;&gt;0,1,IF(OR(B405=$AZ$35,B405="ALL"),1,0)))</f>
        <v>#VALUE!</v>
      </c>
      <c r="B405" s="181" t="s">
        <v>484</v>
      </c>
      <c r="C405" s="158" t="s">
        <v>454</v>
      </c>
      <c r="E405" s="268" t="str">
        <f ca="1">_xll.DBRA(Server&amp;$C$24,$C405,$F$21)</f>
        <v>Dot. Nettes Prov / restructurations (DG)</v>
      </c>
      <c r="F405" s="268"/>
      <c r="G405" s="268"/>
      <c r="H405" s="40"/>
      <c r="I405" s="221" t="str">
        <f ca="1">_xll.DBRW(Server&amp;Cube1,$F$17,$F$18,$F$19,$F$16,$C$14,$F$15,$F$14,$F$20,I$2,I$1,$C405)</f>
        <v/>
      </c>
      <c r="J405" s="221" t="str">
        <f ca="1">_xll.DBRW(Server&amp;Cube1,$F$17,$F$18,$F$19,$F$16,$C$14,$F$15,$F$14,$F$20,J$2,J$1,$C405)</f>
        <v/>
      </c>
      <c r="K405" s="221" t="e">
        <f ca="1">_xll.DBRW(Server&amp;Cube1,$F$17,$F$18,$F$19,$F$16,$C$14,$F$15,$F$14,$F$20,I$2,I$1,$C405) -_xll.DBRW(Server&amp;Cube1,$F$17,$F$18,$F$19,$F$16,$C$14,$F$15,$F$14,$F$20,K$2,I$1,$C405)</f>
        <v>#VALUE!</v>
      </c>
      <c r="L405" s="221" t="e">
        <f t="shared" ca="1" si="19"/>
        <v>#VALUE!</v>
      </c>
      <c r="M405" s="221" t="e">
        <f t="shared" ca="1" si="18"/>
        <v>#VALUE!</v>
      </c>
      <c r="N405" s="226"/>
      <c r="O405" s="221" t="str">
        <f ca="1">_xll.DBRW(Server&amp;Cube1,$F$17,$F$18,$F$19,$F$16,$C$14,$F$15,$F$14,$F$20,O$2,O$1,$C405)</f>
        <v/>
      </c>
      <c r="P405" s="226"/>
      <c r="Q405" s="240" t="str">
        <f ca="1">IF(_xll.ELCOMPN(Server&amp;$C$24,C405)=0,"YES","NO")</f>
        <v>YES</v>
      </c>
      <c r="R405" s="241">
        <v>0</v>
      </c>
      <c r="S405" s="226"/>
      <c r="T405" s="227" t="str">
        <f ca="1">_xll.DBRW(Server&amp;Cube1,$F$17,$F$18,$F$19,$F$16,$C$14,$F$15,$F$14,$F$20,T$2,$T$1,$C405)</f>
        <v/>
      </c>
      <c r="U405" s="227" t="str">
        <f ca="1">_xll.DBRW(Server&amp;Cube1,$F$17,$F$18,$F$19,$F$16,$C$14,$F$15,$F$14,$F$20,U$2,$U$1,$C405)</f>
        <v/>
      </c>
      <c r="V405" s="227" t="str">
        <f ca="1">_xll.DBRW(Server&amp;Cube1,$F$17,$F$18,$F$19,$F$16,$C$14,$F$15,$F$14,$F$20,V$2,V$1,$C405)</f>
        <v/>
      </c>
      <c r="W405" s="227" t="str">
        <f ca="1">_xll.DBRW(Server&amp;Cube1,$F$17,$F$18,$F$19,$F$16,$C$14,$F$15,$F$14,$F$20,W$2,W$1,$C405)</f>
        <v/>
      </c>
      <c r="X405" s="227" t="str">
        <f ca="1">_xll.DBRW(Server&amp;Cube1,$F$17,$F$18,$F$19,$F$16,$C$14,$F$15,$F$14,$F$20,X$2,X$1,$C405)</f>
        <v/>
      </c>
      <c r="Y405" s="227" t="str">
        <f ca="1">_xll.DBRW(Server&amp;Cube1,$F$17,$F$18,$F$19,$F$16,$C$14,$F$15,$F$14,$F$20,Y$2,Y$1,$C405)</f>
        <v/>
      </c>
      <c r="Z405" s="241"/>
      <c r="AA405" s="241"/>
      <c r="AB405" s="241"/>
      <c r="AC405" s="241"/>
      <c r="AD405" s="241"/>
      <c r="AE405" s="241"/>
      <c r="AF405" s="221" t="str">
        <f ca="1">_xll.DBRW(Server&amp;Cube1,$F$17,$F$18,$F$19,$F$16,$C$14,$F$15,$F$14,$F$20,AF$2,$AF$1,$C405)</f>
        <v/>
      </c>
      <c r="AG405" s="53"/>
      <c r="AH405" s="53"/>
      <c r="AI405" s="53"/>
      <c r="AJ405" s="53"/>
      <c r="AK405" s="53"/>
      <c r="AL405" s="53"/>
      <c r="AM405" s="53"/>
      <c r="AN405" s="53"/>
      <c r="AO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</row>
    <row r="406" spans="1:53" s="9" customFormat="1" ht="24" customHeight="1" x14ac:dyDescent="0.35">
      <c r="A406" s="181">
        <f ca="1">IF($AT$35="YES",1,IF(_xll.ELCOMPN(Server&amp;$C$24,C406)&lt;&gt;0,1,IF(OR(B406=$AZ$35,B406="ALL"),1,0)))</f>
        <v>1</v>
      </c>
      <c r="B406" s="181" t="s">
        <v>484</v>
      </c>
      <c r="C406" s="119" t="s">
        <v>124</v>
      </c>
      <c r="E406" s="269" t="str">
        <f ca="1">_xll.DBRA(Server&amp;$C$24,$C406,$F$21)</f>
        <v>Autres produits et charges exceptionnelles</v>
      </c>
      <c r="F406" s="269"/>
      <c r="G406" s="269"/>
      <c r="H406" s="40"/>
      <c r="I406" s="220" t="str">
        <f ca="1">_xll.DBRW(Server&amp;Cube1,$F$17,$F$18,$F$19,$F$16,$C$14,$F$15,$F$14,$F$20,I$2,I$1,$C406)</f>
        <v/>
      </c>
      <c r="J406" s="220" t="str">
        <f ca="1">_xll.DBRW(Server&amp;Cube1,$F$17,$F$18,$F$19,$F$16,$C$14,$F$15,$F$14,$F$20,J$2,J$1,$C406)</f>
        <v/>
      </c>
      <c r="K406" s="220" t="e">
        <f ca="1">_xll.DBRW(Server&amp;Cube1,$F$17,$F$18,$F$19,$F$16,$C$14,$F$15,$F$14,$F$20,I$2,I$1,$C406) -_xll.DBRW(Server&amp;Cube1,$F$17,$F$18,$F$19,$F$16,$C$14,$F$15,$F$14,$F$20,K$2,I$1,$C406)</f>
        <v>#VALUE!</v>
      </c>
      <c r="L406" s="220" t="e">
        <f t="shared" ca="1" si="19"/>
        <v>#VALUE!</v>
      </c>
      <c r="M406" s="220" t="e">
        <f t="shared" ca="1" si="18"/>
        <v>#VALUE!</v>
      </c>
      <c r="N406" s="229"/>
      <c r="O406" s="228" t="str">
        <f ca="1">_xll.DBRW(Server&amp;Cube1,$F$17,$F$18,$F$19,$F$16,$C$14,$F$15,$F$14,$F$20,O$2,O$1,$C406)</f>
        <v/>
      </c>
      <c r="P406" s="229"/>
      <c r="Q406" s="240" t="str">
        <f ca="1">IF(_xll.ELCOMPN(Server&amp;$C$24,C406)=0,"YES","NO")</f>
        <v>NO</v>
      </c>
      <c r="R406" s="228"/>
      <c r="S406" s="229"/>
      <c r="T406" s="231" t="str">
        <f ca="1">_xll.DBRW(Server&amp;Cube1,$F$17,$F$18,$F$19,$F$16,$C$14,$F$15,$F$14,$F$20,T$2,$T$1,$C406)</f>
        <v/>
      </c>
      <c r="U406" s="231" t="str">
        <f ca="1">_xll.DBRW(Server&amp;Cube1,$F$17,$F$18,$F$19,$F$16,$C$14,$F$15,$F$14,$F$20,U$2,$U$1,$C406)</f>
        <v/>
      </c>
      <c r="V406" s="231" t="str">
        <f ca="1">_xll.DBRW(Server&amp;Cube1,$F$17,$F$18,$F$19,$F$16,$C$14,$F$15,$F$14,$F$20,V$2,V$1,$C406)</f>
        <v/>
      </c>
      <c r="W406" s="231" t="str">
        <f ca="1">_xll.DBRW(Server&amp;Cube1,$F$17,$F$18,$F$19,$F$16,$C$14,$F$15,$F$14,$F$20,W$2,W$1,$C406)</f>
        <v/>
      </c>
      <c r="X406" s="231" t="str">
        <f ca="1">_xll.DBRW(Server&amp;Cube1,$F$17,$F$18,$F$19,$F$16,$C$14,$F$15,$F$14,$F$20,X$2,X$1,$C406)</f>
        <v/>
      </c>
      <c r="Y406" s="231" t="str">
        <f ca="1">_xll.DBRW(Server&amp;Cube1,$F$17,$F$18,$F$19,$F$16,$C$14,$F$15,$F$14,$F$20,Y$2,Y$1,$C406)</f>
        <v/>
      </c>
      <c r="Z406" s="228" t="str">
        <f ca="1">_xll.DBRW(Server&amp;Cube1,$F$17,$F$18,$F$19,$F$16,$C$14,$F$15,$F$14,$F$20,Z$2,Z$1,$C406)</f>
        <v/>
      </c>
      <c r="AA406" s="228" t="str">
        <f ca="1">_xll.DBRW(Server&amp;Cube1,$F$17,$F$18,$F$19,$F$16,$C$14,$F$15,$F$14,$F$20,AA$2,AA$1,$C406)</f>
        <v/>
      </c>
      <c r="AB406" s="228" t="str">
        <f ca="1">_xll.DBRW(Server&amp;Cube1,$F$17,$F$18,$F$19,$F$16,$C$14,$F$15,$F$14,$F$20,AB$2,AB$1,$C406)</f>
        <v/>
      </c>
      <c r="AC406" s="228" t="str">
        <f ca="1">_xll.DBRW(Server&amp;Cube1,$F$17,$F$18,$F$19,$F$16,$C$14,$F$15,$F$14,$F$20,AC$2,AC$1,$C406)</f>
        <v/>
      </c>
      <c r="AD406" s="228" t="str">
        <f ca="1">_xll.DBRW(Server&amp;Cube1,$F$17,$F$18,$F$19,$F$16,$C$14,$F$15,$F$14,$F$20,AD$2,AD$1,$C406)</f>
        <v/>
      </c>
      <c r="AE406" s="228" t="str">
        <f ca="1">_xll.DBRW(Server&amp;Cube1,$F$17,$F$18,$F$19,$F$16,$C$14,$F$15,$F$14,$F$20,AE$2,AE$1,$C406)</f>
        <v/>
      </c>
      <c r="AF406" s="228" t="str">
        <f ca="1">_xll.DBRW(Server&amp;Cube1,$F$17,$F$18,$F$19,$F$16,$C$14,$F$15,$F$14,$F$20,AF$2,$AF$1,$C406)</f>
        <v/>
      </c>
      <c r="AG406" s="53"/>
      <c r="AH406" s="53"/>
      <c r="AI406" s="53"/>
      <c r="AJ406" s="53"/>
      <c r="AK406" s="53"/>
      <c r="AL406" s="53"/>
      <c r="AM406" s="53"/>
      <c r="AN406" s="53"/>
      <c r="AO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</row>
    <row r="407" spans="1:53" s="9" customFormat="1" ht="24" customHeight="1" x14ac:dyDescent="0.35">
      <c r="A407" s="181" t="e">
        <f ca="1">IF($AT$35="YES",1,IF(_xll.ELCOMPN(Server&amp;$C$24,C407)&lt;&gt;0,1,IF(OR(B407=$AZ$35,B407="ALL"),1,0)))</f>
        <v>#VALUE!</v>
      </c>
      <c r="B407" s="181" t="s">
        <v>484</v>
      </c>
      <c r="C407" s="158" t="s">
        <v>125</v>
      </c>
      <c r="E407" s="270" t="str">
        <f ca="1">_xll.DBRA(Server&amp;$C$24,$C407,$F$21)</f>
        <v>Autres produits exceptionnels</v>
      </c>
      <c r="F407" s="270"/>
      <c r="G407" s="270"/>
      <c r="H407" s="40"/>
      <c r="I407" s="221" t="str">
        <f ca="1">_xll.DBRW(Server&amp;Cube1,$F$17,$F$18,$F$19,$F$16,$C$14,$F$15,$F$14,$F$20,I$2,I$1,$C407)</f>
        <v/>
      </c>
      <c r="J407" s="221" t="str">
        <f ca="1">_xll.DBRW(Server&amp;Cube1,$F$17,$F$18,$F$19,$F$16,$C$14,$F$15,$F$14,$F$20,J$2,J$1,$C407)</f>
        <v/>
      </c>
      <c r="K407" s="221" t="e">
        <f ca="1">_xll.DBRW(Server&amp;Cube1,$F$17,$F$18,$F$19,$F$16,$C$14,$F$15,$F$14,$F$20,I$2,I$1,$C407) -_xll.DBRW(Server&amp;Cube1,$F$17,$F$18,$F$19,$F$16,$C$14,$F$15,$F$14,$F$20,K$2,I$1,$C407)</f>
        <v>#VALUE!</v>
      </c>
      <c r="L407" s="221" t="e">
        <f t="shared" ca="1" si="19"/>
        <v>#VALUE!</v>
      </c>
      <c r="M407" s="221" t="e">
        <f t="shared" ca="1" si="18"/>
        <v>#VALUE!</v>
      </c>
      <c r="N407" s="226"/>
      <c r="O407" s="221" t="str">
        <f ca="1">_xll.DBRW(Server&amp;Cube1,$F$17,$F$18,$F$19,$F$16,$C$14,$F$15,$F$14,$F$20,O$2,O$1,$C407)</f>
        <v/>
      </c>
      <c r="P407" s="226"/>
      <c r="Q407" s="240" t="str">
        <f ca="1">IF(_xll.ELCOMPN(Server&amp;$C$24,C407)=0,"YES","NO")</f>
        <v>YES</v>
      </c>
      <c r="R407" s="241">
        <v>0</v>
      </c>
      <c r="S407" s="226"/>
      <c r="T407" s="227" t="str">
        <f ca="1">_xll.DBRW(Server&amp;Cube1,$F$17,$F$18,$F$19,$F$16,$C$14,$F$15,$F$14,$F$20,T$2,$T$1,$C407)</f>
        <v/>
      </c>
      <c r="U407" s="227" t="str">
        <f ca="1">_xll.DBRW(Server&amp;Cube1,$F$17,$F$18,$F$19,$F$16,$C$14,$F$15,$F$14,$F$20,U$2,$U$1,$C407)</f>
        <v/>
      </c>
      <c r="V407" s="227" t="str">
        <f ca="1">_xll.DBRW(Server&amp;Cube1,$F$17,$F$18,$F$19,$F$16,$C$14,$F$15,$F$14,$F$20,V$2,V$1,$C407)</f>
        <v/>
      </c>
      <c r="W407" s="227" t="str">
        <f ca="1">_xll.DBRW(Server&amp;Cube1,$F$17,$F$18,$F$19,$F$16,$C$14,$F$15,$F$14,$F$20,W$2,W$1,$C407)</f>
        <v/>
      </c>
      <c r="X407" s="227" t="str">
        <f ca="1">_xll.DBRW(Server&amp;Cube1,$F$17,$F$18,$F$19,$F$16,$C$14,$F$15,$F$14,$F$20,X$2,X$1,$C407)</f>
        <v/>
      </c>
      <c r="Y407" s="227" t="str">
        <f ca="1">_xll.DBRW(Server&amp;Cube1,$F$17,$F$18,$F$19,$F$16,$C$14,$F$15,$F$14,$F$20,Y$2,Y$1,$C407)</f>
        <v/>
      </c>
      <c r="Z407" s="241"/>
      <c r="AA407" s="241"/>
      <c r="AB407" s="241"/>
      <c r="AC407" s="241"/>
      <c r="AD407" s="241"/>
      <c r="AE407" s="241"/>
      <c r="AF407" s="221" t="str">
        <f ca="1">_xll.DBRW(Server&amp;Cube1,$F$17,$F$18,$F$19,$F$16,$C$14,$F$15,$F$14,$F$20,AF$2,$AF$1,$C407)</f>
        <v/>
      </c>
      <c r="AG407" s="53"/>
      <c r="AH407" s="53"/>
      <c r="AI407" s="53"/>
      <c r="AJ407" s="53"/>
      <c r="AK407" s="53"/>
      <c r="AL407" s="53"/>
      <c r="AM407" s="53"/>
      <c r="AN407" s="53"/>
      <c r="AO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</row>
    <row r="408" spans="1:53" s="9" customFormat="1" ht="24" customHeight="1" x14ac:dyDescent="0.35">
      <c r="A408" s="181">
        <f ca="1">IF($AT$35="YES",1,IF(_xll.ELCOMPN(Server&amp;$C$24,C408)&lt;&gt;0,1,IF(OR(B408=$AZ$35,B408="ALL"),1,0)))</f>
        <v>1</v>
      </c>
      <c r="B408" s="181" t="s">
        <v>484</v>
      </c>
      <c r="C408" s="117" t="s">
        <v>126</v>
      </c>
      <c r="E408" s="270" t="str">
        <f ca="1">_xll.DBRA(Server&amp;$C$24,$C408,$F$21)</f>
        <v>Autres charges exceptionnelles</v>
      </c>
      <c r="F408" s="270"/>
      <c r="G408" s="270"/>
      <c r="H408" s="40"/>
      <c r="I408" s="221" t="str">
        <f ca="1">_xll.DBRW(Server&amp;Cube1,$F$17,$F$18,$F$19,$F$16,$C$14,$F$15,$F$14,$F$20,I$2,I$1,$C408)</f>
        <v/>
      </c>
      <c r="J408" s="221" t="str">
        <f ca="1">_xll.DBRW(Server&amp;Cube1,$F$17,$F$18,$F$19,$F$16,$C$14,$F$15,$F$14,$F$20,J$2,J$1,$C408)</f>
        <v/>
      </c>
      <c r="K408" s="221" t="e">
        <f ca="1">_xll.DBRW(Server&amp;Cube1,$F$17,$F$18,$F$19,$F$16,$C$14,$F$15,$F$14,$F$20,I$2,I$1,$C408) -_xll.DBRW(Server&amp;Cube1,$F$17,$F$18,$F$19,$F$16,$C$14,$F$15,$F$14,$F$20,K$2,I$1,$C408)</f>
        <v>#VALUE!</v>
      </c>
      <c r="L408" s="221" t="e">
        <f t="shared" ca="1" si="19"/>
        <v>#VALUE!</v>
      </c>
      <c r="M408" s="221" t="e">
        <f t="shared" ca="1" si="18"/>
        <v>#VALUE!</v>
      </c>
      <c r="N408" s="229"/>
      <c r="O408" s="229" t="str">
        <f ca="1">_xll.DBRW(Server&amp;Cube1,$F$17,$F$18,$F$19,$F$16,$C$14,$F$15,$F$14,$F$20,O$2,O$1,$C408)</f>
        <v/>
      </c>
      <c r="P408" s="229"/>
      <c r="Q408" s="240" t="str">
        <f ca="1">IF(_xll.ELCOMPN(Server&amp;$C$24,C408)=0,"YES","NO")</f>
        <v>NO</v>
      </c>
      <c r="R408" s="229"/>
      <c r="S408" s="229"/>
      <c r="T408" s="230" t="str">
        <f ca="1">_xll.DBRW(Server&amp;Cube1,$F$17,$F$18,$F$19,$F$16,$C$14,$F$15,$F$14,$F$20,T$2,$T$1,$C408)</f>
        <v/>
      </c>
      <c r="U408" s="230" t="str">
        <f ca="1">_xll.DBRW(Server&amp;Cube1,$F$17,$F$18,$F$19,$F$16,$C$14,$F$15,$F$14,$F$20,U$2,$U$1,$C408)</f>
        <v/>
      </c>
      <c r="V408" s="230" t="str">
        <f ca="1">_xll.DBRW(Server&amp;Cube1,$F$17,$F$18,$F$19,$F$16,$C$14,$F$15,$F$14,$F$20,V$2,V$1,$C408)</f>
        <v/>
      </c>
      <c r="W408" s="230" t="str">
        <f ca="1">_xll.DBRW(Server&amp;Cube1,$F$17,$F$18,$F$19,$F$16,$C$14,$F$15,$F$14,$F$20,W$2,W$1,$C408)</f>
        <v/>
      </c>
      <c r="X408" s="229" t="str">
        <f ca="1">_xll.DBRW(Server&amp;Cube1,$F$17,$F$18,$F$19,$F$16,$C$14,$F$15,$F$14,$F$20,X$2,X$1,$C408)</f>
        <v/>
      </c>
      <c r="Y408" s="229" t="str">
        <f ca="1">_xll.DBRW(Server&amp;Cube1,$F$17,$F$18,$F$19,$F$16,$C$14,$F$15,$F$14,$F$20,Y$2,Y$1,$C408)</f>
        <v/>
      </c>
      <c r="Z408" s="229" t="str">
        <f ca="1">_xll.DBRW(Server&amp;Cube1,$F$17,$F$18,$F$19,$F$16,$C$14,$F$15,$F$14,$F$20,Z$2,Z$1,$C408)</f>
        <v/>
      </c>
      <c r="AA408" s="229" t="str">
        <f ca="1">_xll.DBRW(Server&amp;Cube1,$F$17,$F$18,$F$19,$F$16,$C$14,$F$15,$F$14,$F$20,AA$2,AA$1,$C408)</f>
        <v/>
      </c>
      <c r="AB408" s="229" t="str">
        <f ca="1">_xll.DBRW(Server&amp;Cube1,$F$17,$F$18,$F$19,$F$16,$C$14,$F$15,$F$14,$F$20,AB$2,AB$1,$C408)</f>
        <v/>
      </c>
      <c r="AC408" s="229" t="str">
        <f ca="1">_xll.DBRW(Server&amp;Cube1,$F$17,$F$18,$F$19,$F$16,$C$14,$F$15,$F$14,$F$20,AC$2,AC$1,$C408)</f>
        <v/>
      </c>
      <c r="AD408" s="229" t="str">
        <f ca="1">_xll.DBRW(Server&amp;Cube1,$F$17,$F$18,$F$19,$F$16,$C$14,$F$15,$F$14,$F$20,AD$2,AD$1,$C408)</f>
        <v/>
      </c>
      <c r="AE408" s="229" t="str">
        <f ca="1">_xll.DBRW(Server&amp;Cube1,$F$17,$F$18,$F$19,$F$16,$C$14,$F$15,$F$14,$F$20,AE$2,AE$1,$C408)</f>
        <v/>
      </c>
      <c r="AF408" s="229" t="str">
        <f ca="1">_xll.DBRW(Server&amp;Cube1,$F$17,$F$18,$F$19,$F$16,$C$14,$F$15,$F$14,$F$20,AF$2,$AF$1,$C408)</f>
        <v/>
      </c>
      <c r="AG408" s="53"/>
      <c r="AH408" s="53"/>
      <c r="AI408" s="53"/>
      <c r="AJ408" s="53"/>
      <c r="AK408" s="53"/>
      <c r="AL408" s="53"/>
      <c r="AM408" s="53"/>
      <c r="AN408" s="53"/>
      <c r="AO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</row>
    <row r="409" spans="1:53" s="9" customFormat="1" ht="24" customHeight="1" x14ac:dyDescent="0.35">
      <c r="A409" s="181" t="e">
        <f ca="1">IF($AT$35="YES",1,IF(_xll.ELCOMPN(Server&amp;$C$24,C409)&lt;&gt;0,1,IF(OR(B409=$AZ$35,B409="ALL"),1,0)))</f>
        <v>#VALUE!</v>
      </c>
      <c r="B409" s="181" t="s">
        <v>484</v>
      </c>
      <c r="C409" s="158" t="s">
        <v>455</v>
      </c>
      <c r="E409" s="268" t="str">
        <f ca="1">_xll.DBRA(Server&amp;$C$24,$C409,$F$21)</f>
        <v>Coûts de restructuration (CA)</v>
      </c>
      <c r="F409" s="268"/>
      <c r="G409" s="268"/>
      <c r="H409" s="40"/>
      <c r="I409" s="221" t="str">
        <f ca="1">_xll.DBRW(Server&amp;Cube1,$F$17,$F$18,$F$19,$F$16,$C$14,$F$15,$F$14,$F$20,I$2,I$1,$C409)</f>
        <v/>
      </c>
      <c r="J409" s="221" t="str">
        <f ca="1">_xll.DBRW(Server&amp;Cube1,$F$17,$F$18,$F$19,$F$16,$C$14,$F$15,$F$14,$F$20,J$2,J$1,$C409)</f>
        <v/>
      </c>
      <c r="K409" s="221" t="e">
        <f ca="1">_xll.DBRW(Server&amp;Cube1,$F$17,$F$18,$F$19,$F$16,$C$14,$F$15,$F$14,$F$20,I$2,I$1,$C409) -_xll.DBRW(Server&amp;Cube1,$F$17,$F$18,$F$19,$F$16,$C$14,$F$15,$F$14,$F$20,K$2,I$1,$C409)</f>
        <v>#VALUE!</v>
      </c>
      <c r="L409" s="221" t="e">
        <f t="shared" ca="1" si="19"/>
        <v>#VALUE!</v>
      </c>
      <c r="M409" s="221" t="e">
        <f t="shared" ca="1" si="18"/>
        <v>#VALUE!</v>
      </c>
      <c r="N409" s="226"/>
      <c r="O409" s="221" t="str">
        <f ca="1">_xll.DBRW(Server&amp;Cube1,$F$17,$F$18,$F$19,$F$16,$C$14,$F$15,$F$14,$F$20,O$2,O$1,$C409)</f>
        <v/>
      </c>
      <c r="P409" s="226"/>
      <c r="Q409" s="240" t="str">
        <f ca="1">IF(_xll.ELCOMPN(Server&amp;$C$24,C409)=0,"YES","NO")</f>
        <v>YES</v>
      </c>
      <c r="R409" s="241">
        <v>0</v>
      </c>
      <c r="S409" s="226"/>
      <c r="T409" s="227" t="str">
        <f ca="1">_xll.DBRW(Server&amp;Cube1,$F$17,$F$18,$F$19,$F$16,$C$14,$F$15,$F$14,$F$20,T$2,$T$1,$C409)</f>
        <v/>
      </c>
      <c r="U409" s="227" t="str">
        <f ca="1">_xll.DBRW(Server&amp;Cube1,$F$17,$F$18,$F$19,$F$16,$C$14,$F$15,$F$14,$F$20,U$2,$U$1,$C409)</f>
        <v/>
      </c>
      <c r="V409" s="227" t="str">
        <f ca="1">_xll.DBRW(Server&amp;Cube1,$F$17,$F$18,$F$19,$F$16,$C$14,$F$15,$F$14,$F$20,V$2,V$1,$C409)</f>
        <v/>
      </c>
      <c r="W409" s="227" t="str">
        <f ca="1">_xll.DBRW(Server&amp;Cube1,$F$17,$F$18,$F$19,$F$16,$C$14,$F$15,$F$14,$F$20,W$2,W$1,$C409)</f>
        <v/>
      </c>
      <c r="X409" s="227" t="str">
        <f ca="1">_xll.DBRW(Server&amp;Cube1,$F$17,$F$18,$F$19,$F$16,$C$14,$F$15,$F$14,$F$20,X$2,X$1,$C409)</f>
        <v/>
      </c>
      <c r="Y409" s="227" t="str">
        <f ca="1">_xll.DBRW(Server&amp;Cube1,$F$17,$F$18,$F$19,$F$16,$C$14,$F$15,$F$14,$F$20,Y$2,Y$1,$C409)</f>
        <v/>
      </c>
      <c r="Z409" s="241"/>
      <c r="AA409" s="241"/>
      <c r="AB409" s="241"/>
      <c r="AC409" s="241"/>
      <c r="AD409" s="241"/>
      <c r="AE409" s="241"/>
      <c r="AF409" s="221" t="str">
        <f ca="1">_xll.DBRW(Server&amp;Cube1,$F$17,$F$18,$F$19,$F$16,$C$14,$F$15,$F$14,$F$20,AF$2,$AF$1,$C409)</f>
        <v/>
      </c>
      <c r="AG409" s="53"/>
      <c r="AH409" s="53"/>
      <c r="AI409" s="53"/>
      <c r="AJ409" s="53"/>
      <c r="AK409" s="53"/>
      <c r="AL409" s="53"/>
      <c r="AM409" s="53"/>
      <c r="AN409" s="53"/>
      <c r="AO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</row>
    <row r="410" spans="1:53" s="9" customFormat="1" ht="24" customHeight="1" x14ac:dyDescent="0.35">
      <c r="A410" s="181" t="e">
        <f ca="1">IF($AT$35="YES",1,IF(_xll.ELCOMPN(Server&amp;$C$24,C410)&lt;&gt;0,1,IF(OR(B410=$AZ$35,B410="ALL"),1,0)))</f>
        <v>#VALUE!</v>
      </c>
      <c r="B410" s="181" t="s">
        <v>484</v>
      </c>
      <c r="C410" s="158" t="s">
        <v>456</v>
      </c>
      <c r="E410" s="268" t="str">
        <f ca="1">_xll.DBRA(Server&amp;$C$24,$C410,$F$21)</f>
        <v>Coûts de restructuration (DD)</v>
      </c>
      <c r="F410" s="268"/>
      <c r="G410" s="268"/>
      <c r="H410" s="40"/>
      <c r="I410" s="221" t="str">
        <f ca="1">_xll.DBRW(Server&amp;Cube1,$F$17,$F$18,$F$19,$F$16,$C$14,$F$15,$F$14,$F$20,I$2,I$1,$C410)</f>
        <v/>
      </c>
      <c r="J410" s="221" t="str">
        <f ca="1">_xll.DBRW(Server&amp;Cube1,$F$17,$F$18,$F$19,$F$16,$C$14,$F$15,$F$14,$F$20,J$2,J$1,$C410)</f>
        <v/>
      </c>
      <c r="K410" s="221" t="e">
        <f ca="1">_xll.DBRW(Server&amp;Cube1,$F$17,$F$18,$F$19,$F$16,$C$14,$F$15,$F$14,$F$20,I$2,I$1,$C410) -_xll.DBRW(Server&amp;Cube1,$F$17,$F$18,$F$19,$F$16,$C$14,$F$15,$F$14,$F$20,K$2,I$1,$C410)</f>
        <v>#VALUE!</v>
      </c>
      <c r="L410" s="221" t="e">
        <f t="shared" ca="1" si="19"/>
        <v>#VALUE!</v>
      </c>
      <c r="M410" s="221" t="e">
        <f t="shared" ref="M410:M437" ca="1" si="21">$L410-$I410</f>
        <v>#VALUE!</v>
      </c>
      <c r="N410" s="226"/>
      <c r="O410" s="221" t="str">
        <f ca="1">_xll.DBRW(Server&amp;Cube1,$F$17,$F$18,$F$19,$F$16,$C$14,$F$15,$F$14,$F$20,O$2,O$1,$C410)</f>
        <v/>
      </c>
      <c r="P410" s="226"/>
      <c r="Q410" s="240" t="str">
        <f ca="1">IF(_xll.ELCOMPN(Server&amp;$C$24,C410)=0,"YES","NO")</f>
        <v>YES</v>
      </c>
      <c r="R410" s="241">
        <v>0</v>
      </c>
      <c r="S410" s="226"/>
      <c r="T410" s="227" t="str">
        <f ca="1">_xll.DBRW(Server&amp;Cube1,$F$17,$F$18,$F$19,$F$16,$C$14,$F$15,$F$14,$F$20,T$2,$T$1,$C410)</f>
        <v/>
      </c>
      <c r="U410" s="227" t="str">
        <f ca="1">_xll.DBRW(Server&amp;Cube1,$F$17,$F$18,$F$19,$F$16,$C$14,$F$15,$F$14,$F$20,U$2,$U$1,$C410)</f>
        <v/>
      </c>
      <c r="V410" s="227" t="str">
        <f ca="1">_xll.DBRW(Server&amp;Cube1,$F$17,$F$18,$F$19,$F$16,$C$14,$F$15,$F$14,$F$20,V$2,V$1,$C410)</f>
        <v/>
      </c>
      <c r="W410" s="227" t="str">
        <f ca="1">_xll.DBRW(Server&amp;Cube1,$F$17,$F$18,$F$19,$F$16,$C$14,$F$15,$F$14,$F$20,W$2,W$1,$C410)</f>
        <v/>
      </c>
      <c r="X410" s="227" t="str">
        <f ca="1">_xll.DBRW(Server&amp;Cube1,$F$17,$F$18,$F$19,$F$16,$C$14,$F$15,$F$14,$F$20,X$2,X$1,$C410)</f>
        <v/>
      </c>
      <c r="Y410" s="227" t="str">
        <f ca="1">_xll.DBRW(Server&amp;Cube1,$F$17,$F$18,$F$19,$F$16,$C$14,$F$15,$F$14,$F$20,Y$2,Y$1,$C410)</f>
        <v/>
      </c>
      <c r="Z410" s="241"/>
      <c r="AA410" s="241"/>
      <c r="AB410" s="241"/>
      <c r="AC410" s="241"/>
      <c r="AD410" s="241"/>
      <c r="AE410" s="241"/>
      <c r="AF410" s="221" t="str">
        <f ca="1">_xll.DBRW(Server&amp;Cube1,$F$17,$F$18,$F$19,$F$16,$C$14,$F$15,$F$14,$F$20,AF$2,$AF$1,$C410)</f>
        <v/>
      </c>
      <c r="AG410" s="53"/>
      <c r="AH410" s="53"/>
      <c r="AI410" s="53"/>
      <c r="AJ410" s="53"/>
      <c r="AK410" s="53"/>
      <c r="AL410" s="53"/>
      <c r="AM410" s="53"/>
      <c r="AN410" s="53"/>
      <c r="AO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</row>
    <row r="411" spans="1:53" s="9" customFormat="1" ht="24" customHeight="1" x14ac:dyDescent="0.35">
      <c r="A411" s="181" t="e">
        <f ca="1">IF($AT$35="YES",1,IF(_xll.ELCOMPN(Server&amp;$C$24,C411)&lt;&gt;0,1,IF(OR(B411=$AZ$35,B411="ALL"),1,0)))</f>
        <v>#VALUE!</v>
      </c>
      <c r="B411" s="181" t="s">
        <v>484</v>
      </c>
      <c r="C411" s="158" t="s">
        <v>457</v>
      </c>
      <c r="E411" s="268" t="str">
        <f ca="1">_xll.DBRA(Server&amp;$C$24,$C411,$F$21)</f>
        <v>Plus ou moins values de cessions s/ Immo. Corp. &amp;  Incorp. (DG)</v>
      </c>
      <c r="F411" s="268"/>
      <c r="G411" s="268"/>
      <c r="H411" s="40"/>
      <c r="I411" s="221" t="str">
        <f ca="1">_xll.DBRW(Server&amp;Cube1,$F$17,$F$18,$F$19,$F$16,$C$14,$F$15,$F$14,$F$20,I$2,I$1,$C411)</f>
        <v/>
      </c>
      <c r="J411" s="221" t="str">
        <f ca="1">_xll.DBRW(Server&amp;Cube1,$F$17,$F$18,$F$19,$F$16,$C$14,$F$15,$F$14,$F$20,J$2,J$1,$C411)</f>
        <v/>
      </c>
      <c r="K411" s="221" t="e">
        <f ca="1">_xll.DBRW(Server&amp;Cube1,$F$17,$F$18,$F$19,$F$16,$C$14,$F$15,$F$14,$F$20,I$2,I$1,$C411) -_xll.DBRW(Server&amp;Cube1,$F$17,$F$18,$F$19,$F$16,$C$14,$F$15,$F$14,$F$20,K$2,I$1,$C411)</f>
        <v>#VALUE!</v>
      </c>
      <c r="L411" s="221" t="e">
        <f t="shared" ca="1" si="19"/>
        <v>#VALUE!</v>
      </c>
      <c r="M411" s="221" t="e">
        <f t="shared" ca="1" si="21"/>
        <v>#VALUE!</v>
      </c>
      <c r="N411" s="226"/>
      <c r="O411" s="221" t="str">
        <f ca="1">_xll.DBRW(Server&amp;Cube1,$F$17,$F$18,$F$19,$F$16,$C$14,$F$15,$F$14,$F$20,O$2,O$1,$C411)</f>
        <v/>
      </c>
      <c r="P411" s="226"/>
      <c r="Q411" s="240" t="str">
        <f ca="1">IF(_xll.ELCOMPN(Server&amp;$C$24,C411)=0,"YES","NO")</f>
        <v>YES</v>
      </c>
      <c r="R411" s="241">
        <v>0</v>
      </c>
      <c r="S411" s="226"/>
      <c r="T411" s="227" t="str">
        <f ca="1">_xll.DBRW(Server&amp;Cube1,$F$17,$F$18,$F$19,$F$16,$C$14,$F$15,$F$14,$F$20,T$2,$T$1,$C411)</f>
        <v/>
      </c>
      <c r="U411" s="227" t="str">
        <f ca="1">_xll.DBRW(Server&amp;Cube1,$F$17,$F$18,$F$19,$F$16,$C$14,$F$15,$F$14,$F$20,U$2,$U$1,$C411)</f>
        <v/>
      </c>
      <c r="V411" s="227" t="str">
        <f ca="1">_xll.DBRW(Server&amp;Cube1,$F$17,$F$18,$F$19,$F$16,$C$14,$F$15,$F$14,$F$20,V$2,V$1,$C411)</f>
        <v/>
      </c>
      <c r="W411" s="227" t="str">
        <f ca="1">_xll.DBRW(Server&amp;Cube1,$F$17,$F$18,$F$19,$F$16,$C$14,$F$15,$F$14,$F$20,W$2,W$1,$C411)</f>
        <v/>
      </c>
      <c r="X411" s="227" t="str">
        <f ca="1">_xll.DBRW(Server&amp;Cube1,$F$17,$F$18,$F$19,$F$16,$C$14,$F$15,$F$14,$F$20,X$2,X$1,$C411)</f>
        <v/>
      </c>
      <c r="Y411" s="227" t="str">
        <f ca="1">_xll.DBRW(Server&amp;Cube1,$F$17,$F$18,$F$19,$F$16,$C$14,$F$15,$F$14,$F$20,Y$2,Y$1,$C411)</f>
        <v/>
      </c>
      <c r="Z411" s="241"/>
      <c r="AA411" s="241"/>
      <c r="AB411" s="241"/>
      <c r="AC411" s="241"/>
      <c r="AD411" s="241"/>
      <c r="AE411" s="241"/>
      <c r="AF411" s="221" t="str">
        <f ca="1">_xll.DBRW(Server&amp;Cube1,$F$17,$F$18,$F$19,$F$16,$C$14,$F$15,$F$14,$F$20,AF$2,$AF$1,$C411)</f>
        <v/>
      </c>
      <c r="AG411" s="53"/>
      <c r="AH411" s="53"/>
      <c r="AI411" s="53"/>
      <c r="AJ411" s="53"/>
      <c r="AK411" s="53"/>
      <c r="AL411" s="53"/>
      <c r="AM411" s="53"/>
      <c r="AN411" s="53"/>
      <c r="AO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</row>
    <row r="412" spans="1:53" s="9" customFormat="1" ht="24" customHeight="1" x14ac:dyDescent="0.35">
      <c r="A412" s="181" t="e">
        <f ca="1">IF($AT$35="YES",1,IF(_xll.ELCOMPN(Server&amp;$C$24,C412)&lt;&gt;0,1,IF(OR(B412=$AZ$35,B412="ALL"),1,0)))</f>
        <v>#VALUE!</v>
      </c>
      <c r="B412" s="181" t="s">
        <v>484</v>
      </c>
      <c r="C412" s="158" t="s">
        <v>458</v>
      </c>
      <c r="E412" s="268" t="str">
        <f ca="1">_xll.DBRA(Server&amp;$C$24,$C412,$F$21)</f>
        <v>Charges de restructuration (DG)</v>
      </c>
      <c r="F412" s="268"/>
      <c r="G412" s="268"/>
      <c r="H412" s="40"/>
      <c r="I412" s="221" t="str">
        <f ca="1">_xll.DBRW(Server&amp;Cube1,$F$17,$F$18,$F$19,$F$16,$C$14,$F$15,$F$14,$F$20,I$2,I$1,$C412)</f>
        <v/>
      </c>
      <c r="J412" s="221" t="str">
        <f ca="1">_xll.DBRW(Server&amp;Cube1,$F$17,$F$18,$F$19,$F$16,$C$14,$F$15,$F$14,$F$20,J$2,J$1,$C412)</f>
        <v/>
      </c>
      <c r="K412" s="221" t="e">
        <f ca="1">_xll.DBRW(Server&amp;Cube1,$F$17,$F$18,$F$19,$F$16,$C$14,$F$15,$F$14,$F$20,I$2,I$1,$C412) -_xll.DBRW(Server&amp;Cube1,$F$17,$F$18,$F$19,$F$16,$C$14,$F$15,$F$14,$F$20,K$2,I$1,$C412)</f>
        <v>#VALUE!</v>
      </c>
      <c r="L412" s="221" t="e">
        <f t="shared" ca="1" si="19"/>
        <v>#VALUE!</v>
      </c>
      <c r="M412" s="221" t="e">
        <f t="shared" ca="1" si="21"/>
        <v>#VALUE!</v>
      </c>
      <c r="N412" s="226"/>
      <c r="O412" s="221" t="str">
        <f ca="1">_xll.DBRW(Server&amp;Cube1,$F$17,$F$18,$F$19,$F$16,$C$14,$F$15,$F$14,$F$20,O$2,O$1,$C412)</f>
        <v/>
      </c>
      <c r="P412" s="226"/>
      <c r="Q412" s="240" t="str">
        <f ca="1">IF(_xll.ELCOMPN(Server&amp;$C$24,C412)=0,"YES","NO")</f>
        <v>YES</v>
      </c>
      <c r="R412" s="241">
        <v>0</v>
      </c>
      <c r="S412" s="226"/>
      <c r="T412" s="227" t="str">
        <f ca="1">_xll.DBRW(Server&amp;Cube1,$F$17,$F$18,$F$19,$F$16,$C$14,$F$15,$F$14,$F$20,T$2,$T$1,$C412)</f>
        <v/>
      </c>
      <c r="U412" s="227" t="str">
        <f ca="1">_xll.DBRW(Server&amp;Cube1,$F$17,$F$18,$F$19,$F$16,$C$14,$F$15,$F$14,$F$20,U$2,$U$1,$C412)</f>
        <v/>
      </c>
      <c r="V412" s="227" t="str">
        <f ca="1">_xll.DBRW(Server&amp;Cube1,$F$17,$F$18,$F$19,$F$16,$C$14,$F$15,$F$14,$F$20,V$2,V$1,$C412)</f>
        <v/>
      </c>
      <c r="W412" s="227" t="str">
        <f ca="1">_xll.DBRW(Server&amp;Cube1,$F$17,$F$18,$F$19,$F$16,$C$14,$F$15,$F$14,$F$20,W$2,W$1,$C412)</f>
        <v/>
      </c>
      <c r="X412" s="227" t="str">
        <f ca="1">_xll.DBRW(Server&amp;Cube1,$F$17,$F$18,$F$19,$F$16,$C$14,$F$15,$F$14,$F$20,X$2,X$1,$C412)</f>
        <v/>
      </c>
      <c r="Y412" s="227" t="str">
        <f ca="1">_xll.DBRW(Server&amp;Cube1,$F$17,$F$18,$F$19,$F$16,$C$14,$F$15,$F$14,$F$20,Y$2,Y$1,$C412)</f>
        <v/>
      </c>
      <c r="Z412" s="241"/>
      <c r="AA412" s="241"/>
      <c r="AB412" s="241"/>
      <c r="AC412" s="241"/>
      <c r="AD412" s="241"/>
      <c r="AE412" s="241"/>
      <c r="AF412" s="221" t="str">
        <f ca="1">_xll.DBRW(Server&amp;Cube1,$F$17,$F$18,$F$19,$F$16,$C$14,$F$15,$F$14,$F$20,AF$2,$AF$1,$C412)</f>
        <v/>
      </c>
      <c r="AG412" s="53"/>
      <c r="AH412" s="53"/>
      <c r="AI412" s="53"/>
      <c r="AJ412" s="53"/>
      <c r="AK412" s="53"/>
      <c r="AL412" s="53"/>
      <c r="AM412" s="53"/>
      <c r="AN412" s="53"/>
      <c r="AO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</row>
    <row r="413" spans="1:53" s="9" customFormat="1" ht="24" customHeight="1" x14ac:dyDescent="0.35">
      <c r="A413" s="181" t="e">
        <f ca="1">IF($AT$35="YES",1,IF(_xll.ELCOMPN(Server&amp;$C$24,C413)&lt;&gt;0,1,IF(OR(B413=$AZ$35,B413="ALL"),1,0)))</f>
        <v>#VALUE!</v>
      </c>
      <c r="B413" s="181" t="s">
        <v>484</v>
      </c>
      <c r="C413" s="158" t="s">
        <v>459</v>
      </c>
      <c r="E413" s="268" t="str">
        <f ca="1">_xll.DBRA(Server&amp;$C$24,$C413,$F$21)</f>
        <v>Impacts des fusions / absorptions (F88)</v>
      </c>
      <c r="F413" s="268"/>
      <c r="G413" s="268"/>
      <c r="H413" s="40"/>
      <c r="I413" s="221" t="str">
        <f ca="1">_xll.DBRW(Server&amp;Cube1,$F$17,$F$18,$F$19,$F$16,$C$14,$F$15,$F$14,$F$20,I$2,I$1,$C413)</f>
        <v/>
      </c>
      <c r="J413" s="221" t="str">
        <f ca="1">_xll.DBRW(Server&amp;Cube1,$F$17,$F$18,$F$19,$F$16,$C$14,$F$15,$F$14,$F$20,J$2,J$1,$C413)</f>
        <v/>
      </c>
      <c r="K413" s="221" t="e">
        <f ca="1">_xll.DBRW(Server&amp;Cube1,$F$17,$F$18,$F$19,$F$16,$C$14,$F$15,$F$14,$F$20,I$2,I$1,$C413) -_xll.DBRW(Server&amp;Cube1,$F$17,$F$18,$F$19,$F$16,$C$14,$F$15,$F$14,$F$20,K$2,I$1,$C413)</f>
        <v>#VALUE!</v>
      </c>
      <c r="L413" s="221" t="e">
        <f t="shared" ca="1" si="19"/>
        <v>#VALUE!</v>
      </c>
      <c r="M413" s="221" t="e">
        <f t="shared" ca="1" si="21"/>
        <v>#VALUE!</v>
      </c>
      <c r="N413" s="226"/>
      <c r="O413" s="221" t="str">
        <f ca="1">_xll.DBRW(Server&amp;Cube1,$F$17,$F$18,$F$19,$F$16,$C$14,$F$15,$F$14,$F$20,O$2,O$1,$C413)</f>
        <v/>
      </c>
      <c r="P413" s="226"/>
      <c r="Q413" s="240" t="str">
        <f ca="1">IF(_xll.ELCOMPN(Server&amp;$C$24,C413)=0,"YES","NO")</f>
        <v>YES</v>
      </c>
      <c r="R413" s="241">
        <v>0</v>
      </c>
      <c r="S413" s="226"/>
      <c r="T413" s="227" t="str">
        <f ca="1">_xll.DBRW(Server&amp;Cube1,$F$17,$F$18,$F$19,$F$16,$C$14,$F$15,$F$14,$F$20,T$2,$T$1,$C413)</f>
        <v/>
      </c>
      <c r="U413" s="227" t="str">
        <f ca="1">_xll.DBRW(Server&amp;Cube1,$F$17,$F$18,$F$19,$F$16,$C$14,$F$15,$F$14,$F$20,U$2,$U$1,$C413)</f>
        <v/>
      </c>
      <c r="V413" s="227" t="str">
        <f ca="1">_xll.DBRW(Server&amp;Cube1,$F$17,$F$18,$F$19,$F$16,$C$14,$F$15,$F$14,$F$20,V$2,V$1,$C413)</f>
        <v/>
      </c>
      <c r="W413" s="227" t="str">
        <f ca="1">_xll.DBRW(Server&amp;Cube1,$F$17,$F$18,$F$19,$F$16,$C$14,$F$15,$F$14,$F$20,W$2,W$1,$C413)</f>
        <v/>
      </c>
      <c r="X413" s="227" t="str">
        <f ca="1">_xll.DBRW(Server&amp;Cube1,$F$17,$F$18,$F$19,$F$16,$C$14,$F$15,$F$14,$F$20,X$2,X$1,$C413)</f>
        <v/>
      </c>
      <c r="Y413" s="227" t="str">
        <f ca="1">_xll.DBRW(Server&amp;Cube1,$F$17,$F$18,$F$19,$F$16,$C$14,$F$15,$F$14,$F$20,Y$2,Y$1,$C413)</f>
        <v/>
      </c>
      <c r="Z413" s="241"/>
      <c r="AA413" s="241"/>
      <c r="AB413" s="241"/>
      <c r="AC413" s="241"/>
      <c r="AD413" s="241"/>
      <c r="AE413" s="241"/>
      <c r="AF413" s="221" t="str">
        <f ca="1">_xll.DBRW(Server&amp;Cube1,$F$17,$F$18,$F$19,$F$16,$C$14,$F$15,$F$14,$F$20,AF$2,$AF$1,$C413)</f>
        <v/>
      </c>
      <c r="AG413" s="53"/>
      <c r="AH413" s="53"/>
      <c r="AI413" s="53"/>
      <c r="AJ413" s="53"/>
      <c r="AK413" s="53"/>
      <c r="AL413" s="53"/>
      <c r="AM413" s="53"/>
      <c r="AN413" s="53"/>
      <c r="AO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</row>
    <row r="414" spans="1:53" s="9" customFormat="1" ht="24" customHeight="1" x14ac:dyDescent="0.35">
      <c r="A414" s="181">
        <f ca="1">IF($AT$35="YES",1,IF(_xll.ELCOMPN(Server&amp;$C$24,C414)&lt;&gt;0,1,IF(OR(B414=$AZ$35,B414="ALL"),1,0)))</f>
        <v>1</v>
      </c>
      <c r="B414" s="181" t="s">
        <v>484</v>
      </c>
      <c r="C414" s="117" t="s">
        <v>127</v>
      </c>
      <c r="E414" s="270" t="str">
        <f ca="1">_xll.DBRA(Server&amp;$C$24,$C414,$F$21)</f>
        <v>Résultats de cession</v>
      </c>
      <c r="F414" s="270"/>
      <c r="G414" s="270"/>
      <c r="H414" s="40"/>
      <c r="I414" s="221" t="str">
        <f ca="1">_xll.DBRW(Server&amp;Cube1,$F$17,$F$18,$F$19,$F$16,$C$14,$F$15,$F$14,$F$20,I$2,I$1,$C414)</f>
        <v/>
      </c>
      <c r="J414" s="221" t="str">
        <f ca="1">_xll.DBRW(Server&amp;Cube1,$F$17,$F$18,$F$19,$F$16,$C$14,$F$15,$F$14,$F$20,J$2,J$1,$C414)</f>
        <v/>
      </c>
      <c r="K414" s="221" t="e">
        <f ca="1">_xll.DBRW(Server&amp;Cube1,$F$17,$F$18,$F$19,$F$16,$C$14,$F$15,$F$14,$F$20,I$2,I$1,$C414) -_xll.DBRW(Server&amp;Cube1,$F$17,$F$18,$F$19,$F$16,$C$14,$F$15,$F$14,$F$20,K$2,I$1,$C414)</f>
        <v>#VALUE!</v>
      </c>
      <c r="L414" s="221" t="e">
        <f t="shared" ca="1" si="19"/>
        <v>#VALUE!</v>
      </c>
      <c r="M414" s="221" t="e">
        <f t="shared" ca="1" si="21"/>
        <v>#VALUE!</v>
      </c>
      <c r="N414" s="226"/>
      <c r="O414" s="226" t="str">
        <f ca="1">_xll.DBRW(Server&amp;Cube1,$F$17,$F$18,$F$19,$F$16,$C$14,$F$15,$F$14,$F$20,O$2,O$1,$C414)</f>
        <v/>
      </c>
      <c r="P414" s="226"/>
      <c r="Q414" s="240" t="str">
        <f ca="1">IF(_xll.ELCOMPN(Server&amp;$C$24,C414)=0,"YES","NO")</f>
        <v>NO</v>
      </c>
      <c r="R414" s="226"/>
      <c r="S414" s="226"/>
      <c r="T414" s="232" t="str">
        <f ca="1">_xll.DBRW(Server&amp;Cube1,$F$17,$F$18,$F$19,$F$16,$C$14,$F$15,$F$14,$F$20,T$2,$T$1,$C414)</f>
        <v/>
      </c>
      <c r="U414" s="232" t="str">
        <f ca="1">_xll.DBRW(Server&amp;Cube1,$F$17,$F$18,$F$19,$F$16,$C$14,$F$15,$F$14,$F$20,U$2,$U$1,$C414)</f>
        <v/>
      </c>
      <c r="V414" s="232" t="str">
        <f ca="1">_xll.DBRW(Server&amp;Cube1,$F$17,$F$18,$F$19,$F$16,$C$14,$F$15,$F$14,$F$20,V$2,V$1,$C414)</f>
        <v/>
      </c>
      <c r="W414" s="232" t="str">
        <f ca="1">_xll.DBRW(Server&amp;Cube1,$F$17,$F$18,$F$19,$F$16,$C$14,$F$15,$F$14,$F$20,W$2,W$1,$C414)</f>
        <v/>
      </c>
      <c r="X414" s="226" t="str">
        <f ca="1">_xll.DBRW(Server&amp;Cube1,$F$17,$F$18,$F$19,$F$16,$C$14,$F$15,$F$14,$F$20,X$2,X$1,$C414)</f>
        <v/>
      </c>
      <c r="Y414" s="226" t="str">
        <f ca="1">_xll.DBRW(Server&amp;Cube1,$F$17,$F$18,$F$19,$F$16,$C$14,$F$15,$F$14,$F$20,Y$2,Y$1,$C414)</f>
        <v/>
      </c>
      <c r="Z414" s="226" t="str">
        <f ca="1">_xll.DBRW(Server&amp;Cube1,$F$17,$F$18,$F$19,$F$16,$C$14,$F$15,$F$14,$F$20,Z$2,Z$1,$C414)</f>
        <v/>
      </c>
      <c r="AA414" s="226" t="str">
        <f ca="1">_xll.DBRW(Server&amp;Cube1,$F$17,$F$18,$F$19,$F$16,$C$14,$F$15,$F$14,$F$20,AA$2,AA$1,$C414)</f>
        <v/>
      </c>
      <c r="AB414" s="226" t="str">
        <f ca="1">_xll.DBRW(Server&amp;Cube1,$F$17,$F$18,$F$19,$F$16,$C$14,$F$15,$F$14,$F$20,AB$2,AB$1,$C414)</f>
        <v/>
      </c>
      <c r="AC414" s="226" t="str">
        <f ca="1">_xll.DBRW(Server&amp;Cube1,$F$17,$F$18,$F$19,$F$16,$C$14,$F$15,$F$14,$F$20,AC$2,AC$1,$C414)</f>
        <v/>
      </c>
      <c r="AD414" s="226" t="str">
        <f ca="1">_xll.DBRW(Server&amp;Cube1,$F$17,$F$18,$F$19,$F$16,$C$14,$F$15,$F$14,$F$20,AD$2,AD$1,$C414)</f>
        <v/>
      </c>
      <c r="AE414" s="226" t="str">
        <f ca="1">_xll.DBRW(Server&amp;Cube1,$F$17,$F$18,$F$19,$F$16,$C$14,$F$15,$F$14,$F$20,AE$2,AE$1,$C414)</f>
        <v/>
      </c>
      <c r="AF414" s="226" t="str">
        <f ca="1">_xll.DBRW(Server&amp;Cube1,$F$17,$F$18,$F$19,$F$16,$C$14,$F$15,$F$14,$F$20,AF$2,$AF$1,$C414)</f>
        <v/>
      </c>
      <c r="AG414" s="53"/>
      <c r="AH414" s="53"/>
      <c r="AI414" s="53"/>
      <c r="AJ414" s="53"/>
      <c r="AK414" s="53"/>
      <c r="AL414" s="53"/>
      <c r="AM414" s="53"/>
      <c r="AN414" s="53"/>
      <c r="AO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</row>
    <row r="415" spans="1:53" s="9" customFormat="1" ht="24" customHeight="1" x14ac:dyDescent="0.35">
      <c r="A415" s="181" t="e">
        <f ca="1">IF($AT$35="YES",1,IF(_xll.ELCOMPN(Server&amp;$C$24,C415)&lt;&gt;0,1,IF(OR(B415=$AZ$35,B415="ALL"),1,0)))</f>
        <v>#VALUE!</v>
      </c>
      <c r="B415" s="181" t="s">
        <v>484</v>
      </c>
      <c r="C415" s="158" t="s">
        <v>460</v>
      </c>
      <c r="E415" s="268" t="str">
        <f ca="1">_xll.DBRA(Server&amp;$C$24,$C415,$F$21)</f>
        <v>Valeurs de cession de titres participation &amp; entreprises associés</v>
      </c>
      <c r="F415" s="268"/>
      <c r="G415" s="268"/>
      <c r="H415" s="40"/>
      <c r="I415" s="221" t="str">
        <f ca="1">_xll.DBRW(Server&amp;Cube1,$F$17,$F$18,$F$19,$F$16,$C$14,$F$15,$F$14,$F$20,I$2,I$1,$C415)</f>
        <v/>
      </c>
      <c r="J415" s="221" t="str">
        <f ca="1">_xll.DBRW(Server&amp;Cube1,$F$17,$F$18,$F$19,$F$16,$C$14,$F$15,$F$14,$F$20,J$2,J$1,$C415)</f>
        <v/>
      </c>
      <c r="K415" s="221" t="e">
        <f ca="1">_xll.DBRW(Server&amp;Cube1,$F$17,$F$18,$F$19,$F$16,$C$14,$F$15,$F$14,$F$20,I$2,I$1,$C415) -_xll.DBRW(Server&amp;Cube1,$F$17,$F$18,$F$19,$F$16,$C$14,$F$15,$F$14,$F$20,K$2,I$1,$C415)</f>
        <v>#VALUE!</v>
      </c>
      <c r="L415" s="221" t="e">
        <f t="shared" ca="1" si="19"/>
        <v>#VALUE!</v>
      </c>
      <c r="M415" s="221" t="e">
        <f t="shared" ca="1" si="21"/>
        <v>#VALUE!</v>
      </c>
      <c r="N415" s="226"/>
      <c r="O415" s="221" t="str">
        <f ca="1">_xll.DBRW(Server&amp;Cube1,$F$17,$F$18,$F$19,$F$16,$C$14,$F$15,$F$14,$F$20,O$2,O$1,$C415)</f>
        <v/>
      </c>
      <c r="P415" s="226"/>
      <c r="Q415" s="240" t="str">
        <f ca="1">IF(_xll.ELCOMPN(Server&amp;$C$24,C415)=0,"YES","NO")</f>
        <v>YES</v>
      </c>
      <c r="R415" s="241">
        <v>0</v>
      </c>
      <c r="S415" s="226"/>
      <c r="T415" s="227" t="str">
        <f ca="1">_xll.DBRW(Server&amp;Cube1,$F$17,$F$18,$F$19,$F$16,$C$14,$F$15,$F$14,$F$20,T$2,$T$1,$C415)</f>
        <v/>
      </c>
      <c r="U415" s="227" t="str">
        <f ca="1">_xll.DBRW(Server&amp;Cube1,$F$17,$F$18,$F$19,$F$16,$C$14,$F$15,$F$14,$F$20,U$2,$U$1,$C415)</f>
        <v/>
      </c>
      <c r="V415" s="227" t="str">
        <f ca="1">_xll.DBRW(Server&amp;Cube1,$F$17,$F$18,$F$19,$F$16,$C$14,$F$15,$F$14,$F$20,V$2,V$1,$C415)</f>
        <v/>
      </c>
      <c r="W415" s="227" t="str">
        <f ca="1">_xll.DBRW(Server&amp;Cube1,$F$17,$F$18,$F$19,$F$16,$C$14,$F$15,$F$14,$F$20,W$2,W$1,$C415)</f>
        <v/>
      </c>
      <c r="X415" s="227" t="str">
        <f ca="1">_xll.DBRW(Server&amp;Cube1,$F$17,$F$18,$F$19,$F$16,$C$14,$F$15,$F$14,$F$20,X$2,X$1,$C415)</f>
        <v/>
      </c>
      <c r="Y415" s="227" t="str">
        <f ca="1">_xll.DBRW(Server&amp;Cube1,$F$17,$F$18,$F$19,$F$16,$C$14,$F$15,$F$14,$F$20,Y$2,Y$1,$C415)</f>
        <v/>
      </c>
      <c r="Z415" s="241"/>
      <c r="AA415" s="241"/>
      <c r="AB415" s="241"/>
      <c r="AC415" s="241"/>
      <c r="AD415" s="241"/>
      <c r="AE415" s="241"/>
      <c r="AF415" s="221" t="str">
        <f ca="1">_xll.DBRW(Server&amp;Cube1,$F$17,$F$18,$F$19,$F$16,$C$14,$F$15,$F$14,$F$20,AF$2,$AF$1,$C415)</f>
        <v/>
      </c>
      <c r="AG415" s="53"/>
      <c r="AH415" s="53"/>
      <c r="AI415" s="53"/>
      <c r="AJ415" s="53"/>
      <c r="AK415" s="53"/>
      <c r="AL415" s="53"/>
      <c r="AM415" s="53"/>
      <c r="AN415" s="53"/>
      <c r="AO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</row>
    <row r="416" spans="1:53" s="9" customFormat="1" ht="24" customHeight="1" x14ac:dyDescent="0.35">
      <c r="A416" s="181">
        <f ca="1">IF($AT$35="YES",1,IF(_xll.ELCOMPN(Server&amp;$C$24,C416)&lt;&gt;0,1,IF(OR(B416=$AZ$35,B416="ALL"),1,0)))</f>
        <v>1</v>
      </c>
      <c r="B416" s="181" t="s">
        <v>484</v>
      </c>
      <c r="C416" s="119" t="s">
        <v>128</v>
      </c>
      <c r="E416" s="269" t="str">
        <f ca="1">_xll.DBRA(Server&amp;$C$24,$C416,$F$21)</f>
        <v>Dotations amortissements et provisions</v>
      </c>
      <c r="F416" s="269"/>
      <c r="G416" s="269"/>
      <c r="H416" s="40"/>
      <c r="I416" s="220" t="str">
        <f ca="1">_xll.DBRW(Server&amp;Cube1,$F$17,$F$18,$F$19,$F$16,$C$14,$F$15,$F$14,$F$20,I$2,I$1,$C416)</f>
        <v/>
      </c>
      <c r="J416" s="220" t="str">
        <f ca="1">_xll.DBRW(Server&amp;Cube1,$F$17,$F$18,$F$19,$F$16,$C$14,$F$15,$F$14,$F$20,J$2,J$1,$C416)</f>
        <v/>
      </c>
      <c r="K416" s="220" t="e">
        <f ca="1">_xll.DBRW(Server&amp;Cube1,$F$17,$F$18,$F$19,$F$16,$C$14,$F$15,$F$14,$F$20,I$2,I$1,$C416) -_xll.DBRW(Server&amp;Cube1,$F$17,$F$18,$F$19,$F$16,$C$14,$F$15,$F$14,$F$20,K$2,I$1,$C416)</f>
        <v>#VALUE!</v>
      </c>
      <c r="L416" s="220" t="e">
        <f t="shared" ref="L416:L425" ca="1" si="22">$K416+$J416</f>
        <v>#VALUE!</v>
      </c>
      <c r="M416" s="220" t="e">
        <f t="shared" ca="1" si="21"/>
        <v>#VALUE!</v>
      </c>
      <c r="N416" s="229"/>
      <c r="O416" s="228" t="str">
        <f ca="1">_xll.DBRW(Server&amp;Cube1,$F$17,$F$18,$F$19,$F$16,$C$14,$F$15,$F$14,$F$20,O$2,O$1,$C416)</f>
        <v/>
      </c>
      <c r="P416" s="229"/>
      <c r="Q416" s="240" t="str">
        <f ca="1">IF(_xll.ELCOMPN(Server&amp;$C$24,C416)=0,"YES","NO")</f>
        <v>NO</v>
      </c>
      <c r="R416" s="228"/>
      <c r="S416" s="229"/>
      <c r="T416" s="231" t="str">
        <f ca="1">_xll.DBRW(Server&amp;Cube1,$F$17,$F$18,$F$19,$F$16,$C$14,$F$15,$F$14,$F$20,T$2,$T$1,$C416)</f>
        <v/>
      </c>
      <c r="U416" s="231" t="str">
        <f ca="1">_xll.DBRW(Server&amp;Cube1,$F$17,$F$18,$F$19,$F$16,$C$14,$F$15,$F$14,$F$20,U$2,$U$1,$C416)</f>
        <v/>
      </c>
      <c r="V416" s="231" t="str">
        <f ca="1">_xll.DBRW(Server&amp;Cube1,$F$17,$F$18,$F$19,$F$16,$C$14,$F$15,$F$14,$F$20,V$2,V$1,$C416)</f>
        <v/>
      </c>
      <c r="W416" s="231" t="str">
        <f ca="1">_xll.DBRW(Server&amp;Cube1,$F$17,$F$18,$F$19,$F$16,$C$14,$F$15,$F$14,$F$20,W$2,W$1,$C416)</f>
        <v/>
      </c>
      <c r="X416" s="228" t="str">
        <f ca="1">_xll.DBRW(Server&amp;Cube1,$F$17,$F$18,$F$19,$F$16,$C$14,$F$15,$F$14,$F$20,X$2,X$1,$C416)</f>
        <v/>
      </c>
      <c r="Y416" s="228" t="str">
        <f ca="1">_xll.DBRW(Server&amp;Cube1,$F$17,$F$18,$F$19,$F$16,$C$14,$F$15,$F$14,$F$20,Y$2,Y$1,$C416)</f>
        <v/>
      </c>
      <c r="Z416" s="228" t="str">
        <f ca="1">_xll.DBRW(Server&amp;Cube1,$F$17,$F$18,$F$19,$F$16,$C$14,$F$15,$F$14,$F$20,Z$2,Z$1,$C416)</f>
        <v/>
      </c>
      <c r="AA416" s="228" t="str">
        <f ca="1">_xll.DBRW(Server&amp;Cube1,$F$17,$F$18,$F$19,$F$16,$C$14,$F$15,$F$14,$F$20,AA$2,AA$1,$C416)</f>
        <v/>
      </c>
      <c r="AB416" s="228" t="str">
        <f ca="1">_xll.DBRW(Server&amp;Cube1,$F$17,$F$18,$F$19,$F$16,$C$14,$F$15,$F$14,$F$20,AB$2,AB$1,$C416)</f>
        <v/>
      </c>
      <c r="AC416" s="228" t="str">
        <f ca="1">_xll.DBRW(Server&amp;Cube1,$F$17,$F$18,$F$19,$F$16,$C$14,$F$15,$F$14,$F$20,AC$2,AC$1,$C416)</f>
        <v/>
      </c>
      <c r="AD416" s="228" t="str">
        <f ca="1">_xll.DBRW(Server&amp;Cube1,$F$17,$F$18,$F$19,$F$16,$C$14,$F$15,$F$14,$F$20,AD$2,AD$1,$C416)</f>
        <v/>
      </c>
      <c r="AE416" s="228" t="str">
        <f ca="1">_xll.DBRW(Server&amp;Cube1,$F$17,$F$18,$F$19,$F$16,$C$14,$F$15,$F$14,$F$20,AE$2,AE$1,$C416)</f>
        <v/>
      </c>
      <c r="AF416" s="228" t="str">
        <f ca="1">_xll.DBRW(Server&amp;Cube1,$F$17,$F$18,$F$19,$F$16,$C$14,$F$15,$F$14,$F$20,AF$2,$AF$1,$C416)</f>
        <v/>
      </c>
      <c r="AG416" s="53"/>
      <c r="AH416" s="53"/>
      <c r="AI416" s="53"/>
      <c r="AJ416" s="53"/>
      <c r="AK416" s="53"/>
      <c r="AL416" s="53"/>
      <c r="AM416" s="53"/>
      <c r="AN416" s="53"/>
      <c r="AO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</row>
    <row r="417" spans="1:53" s="9" customFormat="1" ht="24" customHeight="1" x14ac:dyDescent="0.35">
      <c r="A417" s="181">
        <f ca="1">IF($AT$35="YES",1,IF(_xll.ELCOMPN(Server&amp;$C$24,C417)&lt;&gt;0,1,IF(OR(B417=$AZ$35,B417="ALL"),1,0)))</f>
        <v>1</v>
      </c>
      <c r="B417" s="181" t="s">
        <v>484</v>
      </c>
      <c r="C417" s="117" t="s">
        <v>129</v>
      </c>
      <c r="E417" s="270" t="str">
        <f ca="1">_xll.DBRA(Server&amp;$C$24,$C417,$F$21)</f>
        <v>Dotations aux Amortissements</v>
      </c>
      <c r="F417" s="270"/>
      <c r="G417" s="270"/>
      <c r="H417" s="40"/>
      <c r="I417" s="221" t="str">
        <f ca="1">_xll.DBRW(Server&amp;Cube1,$F$17,$F$18,$F$19,$F$16,$C$14,$F$15,$F$14,$F$20,I$2,I$1,$C417)</f>
        <v/>
      </c>
      <c r="J417" s="221" t="str">
        <f ca="1">_xll.DBRW(Server&amp;Cube1,$F$17,$F$18,$F$19,$F$16,$C$14,$F$15,$F$14,$F$20,J$2,J$1,$C417)</f>
        <v/>
      </c>
      <c r="K417" s="221" t="e">
        <f ca="1">_xll.DBRW(Server&amp;Cube1,$F$17,$F$18,$F$19,$F$16,$C$14,$F$15,$F$14,$F$20,I$2,I$1,$C417) -_xll.DBRW(Server&amp;Cube1,$F$17,$F$18,$F$19,$F$16,$C$14,$F$15,$F$14,$F$20,K$2,I$1,$C417)</f>
        <v>#VALUE!</v>
      </c>
      <c r="L417" s="221" t="e">
        <f t="shared" ca="1" si="22"/>
        <v>#VALUE!</v>
      </c>
      <c r="M417" s="221" t="e">
        <f t="shared" ca="1" si="21"/>
        <v>#VALUE!</v>
      </c>
      <c r="N417" s="226"/>
      <c r="O417" s="226" t="str">
        <f ca="1">_xll.DBRW(Server&amp;Cube1,$F$17,$F$18,$F$19,$F$16,$C$14,$F$15,$F$14,$F$20,O$2,O$1,$C417)</f>
        <v/>
      </c>
      <c r="P417" s="226"/>
      <c r="Q417" s="240" t="str">
        <f ca="1">IF(_xll.ELCOMPN(Server&amp;$C$24,C417)=0,"YES","NO")</f>
        <v>NO</v>
      </c>
      <c r="R417" s="226"/>
      <c r="S417" s="226"/>
      <c r="T417" s="232" t="str">
        <f ca="1">_xll.DBRW(Server&amp;Cube1,$F$17,$F$18,$F$19,$F$16,$C$14,$F$15,$F$14,$F$20,T$2,$T$1,$C417)</f>
        <v/>
      </c>
      <c r="U417" s="232" t="str">
        <f ca="1">_xll.DBRW(Server&amp;Cube1,$F$17,$F$18,$F$19,$F$16,$C$14,$F$15,$F$14,$F$20,U$2,$U$1,$C417)</f>
        <v/>
      </c>
      <c r="V417" s="232" t="str">
        <f ca="1">_xll.DBRW(Server&amp;Cube1,$F$17,$F$18,$F$19,$F$16,$C$14,$F$15,$F$14,$F$20,V$2,V$1,$C417)</f>
        <v/>
      </c>
      <c r="W417" s="232" t="str">
        <f ca="1">_xll.DBRW(Server&amp;Cube1,$F$17,$F$18,$F$19,$F$16,$C$14,$F$15,$F$14,$F$20,W$2,W$1,$C417)</f>
        <v/>
      </c>
      <c r="X417" s="226" t="str">
        <f ca="1">_xll.DBRW(Server&amp;Cube1,$F$17,$F$18,$F$19,$F$16,$C$14,$F$15,$F$14,$F$20,X$2,X$1,$C417)</f>
        <v/>
      </c>
      <c r="Y417" s="226" t="str">
        <f ca="1">_xll.DBRW(Server&amp;Cube1,$F$17,$F$18,$F$19,$F$16,$C$14,$F$15,$F$14,$F$20,Y$2,Y$1,$C417)</f>
        <v/>
      </c>
      <c r="Z417" s="226" t="str">
        <f ca="1">_xll.DBRW(Server&amp;Cube1,$F$17,$F$18,$F$19,$F$16,$C$14,$F$15,$F$14,$F$20,Z$2,Z$1,$C417)</f>
        <v/>
      </c>
      <c r="AA417" s="226" t="str">
        <f ca="1">_xll.DBRW(Server&amp;Cube1,$F$17,$F$18,$F$19,$F$16,$C$14,$F$15,$F$14,$F$20,AA$2,AA$1,$C417)</f>
        <v/>
      </c>
      <c r="AB417" s="226" t="str">
        <f ca="1">_xll.DBRW(Server&amp;Cube1,$F$17,$F$18,$F$19,$F$16,$C$14,$F$15,$F$14,$F$20,AB$2,AB$1,$C417)</f>
        <v/>
      </c>
      <c r="AC417" s="226" t="str">
        <f ca="1">_xll.DBRW(Server&amp;Cube1,$F$17,$F$18,$F$19,$F$16,$C$14,$F$15,$F$14,$F$20,AC$2,AC$1,$C417)</f>
        <v/>
      </c>
      <c r="AD417" s="226" t="str">
        <f ca="1">_xll.DBRW(Server&amp;Cube1,$F$17,$F$18,$F$19,$F$16,$C$14,$F$15,$F$14,$F$20,AD$2,AD$1,$C417)</f>
        <v/>
      </c>
      <c r="AE417" s="226" t="str">
        <f ca="1">_xll.DBRW(Server&amp;Cube1,$F$17,$F$18,$F$19,$F$16,$C$14,$F$15,$F$14,$F$20,AE$2,AE$1,$C417)</f>
        <v/>
      </c>
      <c r="AF417" s="226" t="str">
        <f ca="1">_xll.DBRW(Server&amp;Cube1,$F$17,$F$18,$F$19,$F$16,$C$14,$F$15,$F$14,$F$20,AF$2,$AF$1,$C417)</f>
        <v/>
      </c>
      <c r="AG417" s="53"/>
      <c r="AH417" s="53"/>
      <c r="AI417" s="53"/>
      <c r="AJ417" s="53"/>
      <c r="AK417" s="53"/>
      <c r="AL417" s="53"/>
      <c r="AM417" s="53"/>
      <c r="AN417" s="53"/>
      <c r="AO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</row>
    <row r="418" spans="1:53" s="9" customFormat="1" ht="24" customHeight="1" x14ac:dyDescent="0.35">
      <c r="A418" s="181" t="e">
        <f ca="1">IF($AT$35="YES",1,IF(_xll.ELCOMPN(Server&amp;$C$24,C418)&lt;&gt;0,1,IF(OR(B418=$AZ$35,B418="ALL"),1,0)))</f>
        <v>#VALUE!</v>
      </c>
      <c r="B418" s="181" t="s">
        <v>484</v>
      </c>
      <c r="C418" s="194" t="s">
        <v>448</v>
      </c>
      <c r="E418" s="268" t="str">
        <f ca="1">_xll.DBRA(Server&amp;$C$24,$C418,$F$21)</f>
        <v>Amortissements (DC)</v>
      </c>
      <c r="F418" s="268"/>
      <c r="G418" s="268"/>
      <c r="H418" s="40"/>
      <c r="I418" s="221" t="str">
        <f ca="1">_xll.DBRW(Server&amp;Cube1,$F$17,$F$18,$F$19,$F$16,$C$14,$F$15,$F$14,$F$20,I$2,I$1,$C418)</f>
        <v/>
      </c>
      <c r="J418" s="221" t="str">
        <f ca="1">_xll.DBRW(Server&amp;Cube1,$F$17,$F$18,$F$19,$F$16,$C$14,$F$15,$F$14,$F$20,J$2,J$1,$C418)</f>
        <v/>
      </c>
      <c r="K418" s="221" t="e">
        <f ca="1">_xll.DBRW(Server&amp;Cube1,$F$17,$F$18,$F$19,$F$16,$C$14,$F$15,$F$14,$F$20,I$2,I$1,$C418) -_xll.DBRW(Server&amp;Cube1,$F$17,$F$18,$F$19,$F$16,$C$14,$F$15,$F$14,$F$20,K$2,I$1,$C418)</f>
        <v>#VALUE!</v>
      </c>
      <c r="L418" s="221" t="e">
        <f t="shared" ca="1" si="22"/>
        <v>#VALUE!</v>
      </c>
      <c r="M418" s="221" t="e">
        <f t="shared" ca="1" si="21"/>
        <v>#VALUE!</v>
      </c>
      <c r="N418" s="226"/>
      <c r="O418" s="221" t="str">
        <f ca="1">_xll.DBRW(Server&amp;Cube1,$F$17,$F$18,$F$19,$F$16,$C$14,$F$15,$F$14,$F$20,O$2,O$1,$C418)</f>
        <v/>
      </c>
      <c r="P418" s="226"/>
      <c r="Q418" s="240" t="str">
        <f ca="1">IF(_xll.ELCOMPN(Server&amp;$C$24,C418)=0,"YES","NO")</f>
        <v>YES</v>
      </c>
      <c r="R418" s="241">
        <v>0</v>
      </c>
      <c r="S418" s="226"/>
      <c r="T418" s="227" t="str">
        <f ca="1">_xll.DBRW(Server&amp;Cube1,$F$17,$F$18,$F$19,$F$16,$C$14,$F$15,$F$14,$F$20,T$2,$T$1,$C418)</f>
        <v/>
      </c>
      <c r="U418" s="227" t="str">
        <f ca="1">_xll.DBRW(Server&amp;Cube1,$F$17,$F$18,$F$19,$F$16,$C$14,$F$15,$F$14,$F$20,U$2,$U$1,$C418)</f>
        <v/>
      </c>
      <c r="V418" s="227" t="str">
        <f ca="1">_xll.DBRW(Server&amp;Cube1,$F$17,$F$18,$F$19,$F$16,$C$14,$F$15,$F$14,$F$20,V$2,V$1,$C418)</f>
        <v/>
      </c>
      <c r="W418" s="227" t="str">
        <f ca="1">_xll.DBRW(Server&amp;Cube1,$F$17,$F$18,$F$19,$F$16,$C$14,$F$15,$F$14,$F$20,W$2,W$1,$C418)</f>
        <v/>
      </c>
      <c r="X418" s="227" t="str">
        <f ca="1">_xll.DBRW(Server&amp;Cube1,$F$17,$F$18,$F$19,$F$16,$C$14,$F$15,$F$14,$F$20,X$2,X$1,$C418)</f>
        <v/>
      </c>
      <c r="Y418" s="227" t="str">
        <f ca="1">_xll.DBRW(Server&amp;Cube1,$F$17,$F$18,$F$19,$F$16,$C$14,$F$15,$F$14,$F$20,Y$2,Y$1,$C418)</f>
        <v/>
      </c>
      <c r="Z418" s="241"/>
      <c r="AA418" s="241"/>
      <c r="AB418" s="241"/>
      <c r="AC418" s="241"/>
      <c r="AD418" s="241"/>
      <c r="AE418" s="241"/>
      <c r="AF418" s="221" t="str">
        <f ca="1">_xll.DBRW(Server&amp;Cube1,$F$17,$F$18,$F$19,$F$16,$C$14,$F$15,$F$14,$F$20,AF$2,$AF$1,$C418)</f>
        <v/>
      </c>
      <c r="AG418" s="53"/>
      <c r="AH418" s="53"/>
      <c r="AI418" s="53"/>
      <c r="AJ418" s="53"/>
      <c r="AK418" s="53"/>
      <c r="AL418" s="53"/>
      <c r="AM418" s="53"/>
      <c r="AN418" s="53"/>
      <c r="AO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</row>
    <row r="419" spans="1:53" s="9" customFormat="1" ht="24" customHeight="1" x14ac:dyDescent="0.35">
      <c r="A419" s="181" t="e">
        <f ca="1">IF($AT$35="YES",1,IF(_xll.ELCOMPN(Server&amp;$C$24,C419)&lt;&gt;0,1,IF(OR(B419=$AZ$35,B419="ALL"),1,0)))</f>
        <v>#VALUE!</v>
      </c>
      <c r="B419" s="181" t="s">
        <v>484</v>
      </c>
      <c r="C419" s="194" t="s">
        <v>525</v>
      </c>
      <c r="E419" s="268" t="str">
        <f ca="1">_xll.DBRA(Server&amp;$C$24,$C419,$F$21)</f>
        <v>Amortissement (DG)</v>
      </c>
      <c r="F419" s="268"/>
      <c r="G419" s="268"/>
      <c r="H419" s="40"/>
      <c r="I419" s="221" t="str">
        <f ca="1">_xll.DBRW(Server&amp;Cube1,$F$17,$F$18,$F$19,$F$16,$C$14,$F$15,$F$14,$F$20,I$2,I$1,$C419)</f>
        <v/>
      </c>
      <c r="J419" s="221" t="str">
        <f ca="1">_xll.DBRW(Server&amp;Cube1,$F$17,$F$18,$F$19,$F$16,$C$14,$F$15,$F$14,$F$20,J$2,J$1,$C419)</f>
        <v/>
      </c>
      <c r="K419" s="221" t="e">
        <f ca="1">_xll.DBRW(Server&amp;Cube1,$F$17,$F$18,$F$19,$F$16,$C$14,$F$15,$F$14,$F$20,I$2,I$1,$C419) -_xll.DBRW(Server&amp;Cube1,$F$17,$F$18,$F$19,$F$16,$C$14,$F$15,$F$14,$F$20,K$2,I$1,$C419)</f>
        <v>#VALUE!</v>
      </c>
      <c r="L419" s="221" t="e">
        <f t="shared" ca="1" si="22"/>
        <v>#VALUE!</v>
      </c>
      <c r="M419" s="221" t="e">
        <f t="shared" ca="1" si="21"/>
        <v>#VALUE!</v>
      </c>
      <c r="N419" s="226"/>
      <c r="O419" s="221" t="str">
        <f ca="1">_xll.DBRW(Server&amp;Cube1,$F$17,$F$18,$F$19,$F$16,$C$14,$F$15,$F$14,$F$20,O$2,O$1,$C419)</f>
        <v/>
      </c>
      <c r="P419" s="226"/>
      <c r="Q419" s="240" t="str">
        <f ca="1">IF(_xll.ELCOMPN(Server&amp;$C$24,C419)=0,"YES","NO")</f>
        <v>YES</v>
      </c>
      <c r="R419" s="241">
        <v>0</v>
      </c>
      <c r="S419" s="226"/>
      <c r="T419" s="227" t="str">
        <f ca="1">_xll.DBRW(Server&amp;Cube1,$F$17,$F$18,$F$19,$F$16,$C$14,$F$15,$F$14,$F$20,T$2,$T$1,$C419)</f>
        <v/>
      </c>
      <c r="U419" s="227" t="str">
        <f ca="1">_xll.DBRW(Server&amp;Cube1,$F$17,$F$18,$F$19,$F$16,$C$14,$F$15,$F$14,$F$20,U$2,$U$1,$C419)</f>
        <v/>
      </c>
      <c r="V419" s="227" t="str">
        <f ca="1">_xll.DBRW(Server&amp;Cube1,$F$17,$F$18,$F$19,$F$16,$C$14,$F$15,$F$14,$F$20,V$2,V$1,$C419)</f>
        <v/>
      </c>
      <c r="W419" s="227" t="str">
        <f ca="1">_xll.DBRW(Server&amp;Cube1,$F$17,$F$18,$F$19,$F$16,$C$14,$F$15,$F$14,$F$20,W$2,W$1,$C419)</f>
        <v/>
      </c>
      <c r="X419" s="227" t="str">
        <f ca="1">_xll.DBRW(Server&amp;Cube1,$F$17,$F$18,$F$19,$F$16,$C$14,$F$15,$F$14,$F$20,X$2,X$1,$C419)</f>
        <v/>
      </c>
      <c r="Y419" s="227" t="str">
        <f ca="1">_xll.DBRW(Server&amp;Cube1,$F$17,$F$18,$F$19,$F$16,$C$14,$F$15,$F$14,$F$20,Y$2,Y$1,$C419)</f>
        <v/>
      </c>
      <c r="Z419" s="241"/>
      <c r="AA419" s="241"/>
      <c r="AB419" s="241"/>
      <c r="AC419" s="241"/>
      <c r="AD419" s="241"/>
      <c r="AE419" s="241"/>
      <c r="AF419" s="221" t="str">
        <f ca="1">_xll.DBRW(Server&amp;Cube1,$F$17,$F$18,$F$19,$F$16,$C$14,$F$15,$F$14,$F$20,AF$2,$AF$1,$C419)</f>
        <v/>
      </c>
      <c r="AG419" s="53"/>
      <c r="AH419" s="53"/>
      <c r="AI419" s="53"/>
      <c r="AJ419" s="53"/>
      <c r="AK419" s="53"/>
      <c r="AL419" s="53"/>
      <c r="AM419" s="53"/>
      <c r="AN419" s="53"/>
      <c r="AO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</row>
    <row r="420" spans="1:53" s="9" customFormat="1" ht="24" customHeight="1" x14ac:dyDescent="0.35">
      <c r="A420" s="181">
        <f ca="1">IF($AT$35="YES",1,IF(_xll.ELCOMPN(Server&amp;$C$24,C420)&lt;&gt;0,1,IF(OR(B420=$AZ$35,B420="ALL"),1,0)))</f>
        <v>1</v>
      </c>
      <c r="B420" s="181" t="s">
        <v>484</v>
      </c>
      <c r="C420" s="117" t="s">
        <v>130</v>
      </c>
      <c r="E420" s="270" t="str">
        <f ca="1">_xll.DBRA(Server&amp;$C$24,$C420,$F$21)</f>
        <v>Provisions</v>
      </c>
      <c r="F420" s="270"/>
      <c r="G420" s="270"/>
      <c r="H420" s="40"/>
      <c r="I420" s="221" t="str">
        <f ca="1">_xll.DBRW(Server&amp;Cube1,$F$17,$F$18,$F$19,$F$16,$C$14,$F$15,$F$14,$F$20,I$2,I$1,$C420)</f>
        <v/>
      </c>
      <c r="J420" s="221" t="str">
        <f ca="1">_xll.DBRW(Server&amp;Cube1,$F$17,$F$18,$F$19,$F$16,$C$14,$F$15,$F$14,$F$20,J$2,J$1,$C420)</f>
        <v/>
      </c>
      <c r="K420" s="221" t="e">
        <f ca="1">_xll.DBRW(Server&amp;Cube1,$F$17,$F$18,$F$19,$F$16,$C$14,$F$15,$F$14,$F$20,I$2,I$1,$C420) -_xll.DBRW(Server&amp;Cube1,$F$17,$F$18,$F$19,$F$16,$C$14,$F$15,$F$14,$F$20,K$2,I$1,$C420)</f>
        <v>#VALUE!</v>
      </c>
      <c r="L420" s="221" t="e">
        <f t="shared" ca="1" si="22"/>
        <v>#VALUE!</v>
      </c>
      <c r="M420" s="221" t="e">
        <f t="shared" ca="1" si="21"/>
        <v>#VALUE!</v>
      </c>
      <c r="N420" s="226"/>
      <c r="O420" s="226" t="str">
        <f ca="1">_xll.DBRW(Server&amp;Cube1,$F$17,$F$18,$F$19,$F$16,$C$14,$F$15,$F$14,$F$20,O$2,O$1,$C420)</f>
        <v/>
      </c>
      <c r="P420" s="226"/>
      <c r="Q420" s="240" t="str">
        <f ca="1">IF(_xll.ELCOMPN(Server&amp;$C$24,C420)=0,"YES","NO")</f>
        <v>NO</v>
      </c>
      <c r="R420" s="226"/>
      <c r="S420" s="226"/>
      <c r="T420" s="232" t="str">
        <f ca="1">_xll.DBRW(Server&amp;Cube1,$F$17,$F$18,$F$19,$F$16,$C$14,$F$15,$F$14,$F$20,T$2,$T$1,$C420)</f>
        <v/>
      </c>
      <c r="U420" s="232" t="str">
        <f ca="1">_xll.DBRW(Server&amp;Cube1,$F$17,$F$18,$F$19,$F$16,$C$14,$F$15,$F$14,$F$20,U$2,$U$1,$C420)</f>
        <v/>
      </c>
      <c r="V420" s="232" t="str">
        <f ca="1">_xll.DBRW(Server&amp;Cube1,$F$17,$F$18,$F$19,$F$16,$C$14,$F$15,$F$14,$F$20,V$2,V$1,$C420)</f>
        <v/>
      </c>
      <c r="W420" s="232" t="str">
        <f ca="1">_xll.DBRW(Server&amp;Cube1,$F$17,$F$18,$F$19,$F$16,$C$14,$F$15,$F$14,$F$20,W$2,W$1,$C420)</f>
        <v/>
      </c>
      <c r="X420" s="226" t="str">
        <f ca="1">_xll.DBRW(Server&amp;Cube1,$F$17,$F$18,$F$19,$F$16,$C$14,$F$15,$F$14,$F$20,X$2,X$1,$C420)</f>
        <v/>
      </c>
      <c r="Y420" s="226" t="str">
        <f ca="1">_xll.DBRW(Server&amp;Cube1,$F$17,$F$18,$F$19,$F$16,$C$14,$F$15,$F$14,$F$20,Y$2,Y$1,$C420)</f>
        <v/>
      </c>
      <c r="Z420" s="226" t="str">
        <f ca="1">_xll.DBRW(Server&amp;Cube1,$F$17,$F$18,$F$19,$F$16,$C$14,$F$15,$F$14,$F$20,Z$2,Z$1,$C420)</f>
        <v/>
      </c>
      <c r="AA420" s="226" t="str">
        <f ca="1">_xll.DBRW(Server&amp;Cube1,$F$17,$F$18,$F$19,$F$16,$C$14,$F$15,$F$14,$F$20,AA$2,AA$1,$C420)</f>
        <v/>
      </c>
      <c r="AB420" s="226" t="str">
        <f ca="1">_xll.DBRW(Server&amp;Cube1,$F$17,$F$18,$F$19,$F$16,$C$14,$F$15,$F$14,$F$20,AB$2,AB$1,$C420)</f>
        <v/>
      </c>
      <c r="AC420" s="226" t="str">
        <f ca="1">_xll.DBRW(Server&amp;Cube1,$F$17,$F$18,$F$19,$F$16,$C$14,$F$15,$F$14,$F$20,AC$2,AC$1,$C420)</f>
        <v/>
      </c>
      <c r="AD420" s="226" t="str">
        <f ca="1">_xll.DBRW(Server&amp;Cube1,$F$17,$F$18,$F$19,$F$16,$C$14,$F$15,$F$14,$F$20,AD$2,AD$1,$C420)</f>
        <v/>
      </c>
      <c r="AE420" s="226" t="str">
        <f ca="1">_xll.DBRW(Server&amp;Cube1,$F$17,$F$18,$F$19,$F$16,$C$14,$F$15,$F$14,$F$20,AE$2,AE$1,$C420)</f>
        <v/>
      </c>
      <c r="AF420" s="226" t="str">
        <f ca="1">_xll.DBRW(Server&amp;Cube1,$F$17,$F$18,$F$19,$F$16,$C$14,$F$15,$F$14,$F$20,AF$2,$AF$1,$C420)</f>
        <v/>
      </c>
      <c r="AG420" s="53"/>
      <c r="AH420" s="53"/>
      <c r="AI420" s="53"/>
      <c r="AJ420" s="53"/>
      <c r="AK420" s="53"/>
      <c r="AL420" s="53"/>
      <c r="AM420" s="53"/>
      <c r="AN420" s="53"/>
      <c r="AO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</row>
    <row r="421" spans="1:53" s="9" customFormat="1" ht="24" customHeight="1" x14ac:dyDescent="0.35">
      <c r="A421" s="181" t="e">
        <f ca="1">IF($AT$35="YES",1,IF(_xll.ELCOMPN(Server&amp;$C$24,C421)&lt;&gt;0,1,IF(OR(B421=$AZ$35,B421="ALL"),1,0)))</f>
        <v>#VALUE!</v>
      </c>
      <c r="B421" s="181" t="s">
        <v>484</v>
      </c>
      <c r="C421" s="158" t="s">
        <v>461</v>
      </c>
      <c r="E421" s="270" t="str">
        <f ca="1">_xll.DBRA(Server&amp;$C$24,$C421,$F$21)</f>
        <v>Pertes de valeur BFR (DG)</v>
      </c>
      <c r="F421" s="270"/>
      <c r="G421" s="270"/>
      <c r="H421" s="40"/>
      <c r="I421" s="221" t="str">
        <f ca="1">_xll.DBRW(Server&amp;Cube1,$F$17,$F$18,$F$19,$F$16,$C$14,$F$15,$F$14,$F$20,I$2,I$1,$C421)</f>
        <v/>
      </c>
      <c r="J421" s="221" t="str">
        <f ca="1">_xll.DBRW(Server&amp;Cube1,$F$17,$F$18,$F$19,$F$16,$C$14,$F$15,$F$14,$F$20,J$2,J$1,$C421)</f>
        <v/>
      </c>
      <c r="K421" s="221" t="e">
        <f ca="1">_xll.DBRW(Server&amp;Cube1,$F$17,$F$18,$F$19,$F$16,$C$14,$F$15,$F$14,$F$20,I$2,I$1,$C421) -_xll.DBRW(Server&amp;Cube1,$F$17,$F$18,$F$19,$F$16,$C$14,$F$15,$F$14,$F$20,K$2,I$1,$C421)</f>
        <v>#VALUE!</v>
      </c>
      <c r="L421" s="221" t="e">
        <f t="shared" ca="1" si="22"/>
        <v>#VALUE!</v>
      </c>
      <c r="M421" s="221" t="e">
        <f t="shared" ca="1" si="21"/>
        <v>#VALUE!</v>
      </c>
      <c r="N421" s="226"/>
      <c r="O421" s="221" t="str">
        <f ca="1">_xll.DBRW(Server&amp;Cube1,$F$17,$F$18,$F$19,$F$16,$C$14,$F$15,$F$14,$F$20,O$2,O$1,$C421)</f>
        <v/>
      </c>
      <c r="P421" s="226"/>
      <c r="Q421" s="240" t="str">
        <f ca="1">IF(_xll.ELCOMPN(Server&amp;$C$24,C421)=0,"YES","NO")</f>
        <v>YES</v>
      </c>
      <c r="R421" s="241">
        <v>0</v>
      </c>
      <c r="S421" s="226"/>
      <c r="T421" s="227" t="str">
        <f ca="1">_xll.DBRW(Server&amp;Cube1,$F$17,$F$18,$F$19,$F$16,$C$14,$F$15,$F$14,$F$20,T$2,$T$1,$C421)</f>
        <v/>
      </c>
      <c r="U421" s="227" t="str">
        <f ca="1">_xll.DBRW(Server&amp;Cube1,$F$17,$F$18,$F$19,$F$16,$C$14,$F$15,$F$14,$F$20,U$2,$U$1,$C421)</f>
        <v/>
      </c>
      <c r="V421" s="227" t="str">
        <f ca="1">_xll.DBRW(Server&amp;Cube1,$F$17,$F$18,$F$19,$F$16,$C$14,$F$15,$F$14,$F$20,V$2,V$1,$C421)</f>
        <v/>
      </c>
      <c r="W421" s="227" t="str">
        <f ca="1">_xll.DBRW(Server&amp;Cube1,$F$17,$F$18,$F$19,$F$16,$C$14,$F$15,$F$14,$F$20,W$2,W$1,$C421)</f>
        <v/>
      </c>
      <c r="X421" s="227" t="str">
        <f ca="1">_xll.DBRW(Server&amp;Cube1,$F$17,$F$18,$F$19,$F$16,$C$14,$F$15,$F$14,$F$20,X$2,X$1,$C421)</f>
        <v/>
      </c>
      <c r="Y421" s="227" t="str">
        <f ca="1">_xll.DBRW(Server&amp;Cube1,$F$17,$F$18,$F$19,$F$16,$C$14,$F$15,$F$14,$F$20,Y$2,Y$1,$C421)</f>
        <v/>
      </c>
      <c r="Z421" s="241"/>
      <c r="AA421" s="241"/>
      <c r="AB421" s="241"/>
      <c r="AC421" s="241"/>
      <c r="AD421" s="241"/>
      <c r="AE421" s="241"/>
      <c r="AF421" s="221" t="str">
        <f ca="1">_xll.DBRW(Server&amp;Cube1,$F$17,$F$18,$F$19,$F$16,$C$14,$F$15,$F$14,$F$20,AF$2,$AF$1,$C421)</f>
        <v/>
      </c>
      <c r="AG421" s="53"/>
      <c r="AH421" s="53"/>
      <c r="AI421" s="53"/>
      <c r="AJ421" s="53"/>
      <c r="AK421" s="53"/>
      <c r="AL421" s="53"/>
      <c r="AM421" s="53"/>
      <c r="AN421" s="53"/>
      <c r="AO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</row>
    <row r="422" spans="1:53" s="9" customFormat="1" ht="24" customHeight="1" x14ac:dyDescent="0.35">
      <c r="A422" s="181">
        <f ca="1">IF($AT$35="YES",1,IF(_xll.ELCOMPN(Server&amp;$C$24,C422)&lt;&gt;0,1,IF(OR(B422=$AZ$35,B422="ALL"),1,0)))</f>
        <v>1</v>
      </c>
      <c r="B422" s="181" t="s">
        <v>484</v>
      </c>
      <c r="C422" s="117" t="s">
        <v>462</v>
      </c>
      <c r="E422" s="270" t="str">
        <f ca="1">_xll.DBRA(Server&amp;$C$24,$C422,$F$21)</f>
        <v>Pertes de valeur BFR - Dépenses commerciales</v>
      </c>
      <c r="F422" s="270"/>
      <c r="G422" s="270"/>
      <c r="H422" s="40"/>
      <c r="I422" s="221" t="str">
        <f ca="1">_xll.DBRW(Server&amp;Cube1,$F$17,$F$18,$F$19,$F$16,$C$14,$F$15,$F$14,$F$20,I$2,I$1,$C422)</f>
        <v/>
      </c>
      <c r="J422" s="221" t="str">
        <f ca="1">_xll.DBRW(Server&amp;Cube1,$F$17,$F$18,$F$19,$F$16,$C$14,$F$15,$F$14,$F$20,J$2,J$1,$C422)</f>
        <v/>
      </c>
      <c r="K422" s="221" t="e">
        <f ca="1">_xll.DBRW(Server&amp;Cube1,$F$17,$F$18,$F$19,$F$16,$C$14,$F$15,$F$14,$F$20,I$2,I$1,$C422) -_xll.DBRW(Server&amp;Cube1,$F$17,$F$18,$F$19,$F$16,$C$14,$F$15,$F$14,$F$20,K$2,I$1,$C422)</f>
        <v>#VALUE!</v>
      </c>
      <c r="L422" s="221" t="e">
        <f t="shared" ca="1" si="22"/>
        <v>#VALUE!</v>
      </c>
      <c r="M422" s="221" t="e">
        <f t="shared" ca="1" si="21"/>
        <v>#VALUE!</v>
      </c>
      <c r="N422" s="226"/>
      <c r="O422" s="226" t="str">
        <f ca="1">_xll.DBRW(Server&amp;Cube1,$F$17,$F$18,$F$19,$F$16,$C$14,$F$15,$F$14,$F$20,O$2,O$1,$C422)</f>
        <v/>
      </c>
      <c r="P422" s="226"/>
      <c r="Q422" s="240" t="str">
        <f ca="1">IF(_xll.ELCOMPN(Server&amp;$C$24,C422)=0,"YES","NO")</f>
        <v>NO</v>
      </c>
      <c r="R422" s="226"/>
      <c r="S422" s="226"/>
      <c r="T422" s="232" t="str">
        <f ca="1">_xll.DBRW(Server&amp;Cube1,$F$17,$F$18,$F$19,$F$16,$C$14,$F$15,$F$14,$F$20,T$2,$T$1,$C422)</f>
        <v/>
      </c>
      <c r="U422" s="232" t="str">
        <f ca="1">_xll.DBRW(Server&amp;Cube1,$F$17,$F$18,$F$19,$F$16,$C$14,$F$15,$F$14,$F$20,U$2,$U$1,$C422)</f>
        <v/>
      </c>
      <c r="V422" s="232" t="str">
        <f ca="1">_xll.DBRW(Server&amp;Cube1,$F$17,$F$18,$F$19,$F$16,$C$14,$F$15,$F$14,$F$20,V$2,V$1,$C422)</f>
        <v/>
      </c>
      <c r="W422" s="232" t="str">
        <f ca="1">_xll.DBRW(Server&amp;Cube1,$F$17,$F$18,$F$19,$F$16,$C$14,$F$15,$F$14,$F$20,W$2,W$1,$C422)</f>
        <v/>
      </c>
      <c r="X422" s="226" t="str">
        <f ca="1">_xll.DBRW(Server&amp;Cube1,$F$17,$F$18,$F$19,$F$16,$C$14,$F$15,$F$14,$F$20,X$2,X$1,$C422)</f>
        <v/>
      </c>
      <c r="Y422" s="226" t="str">
        <f ca="1">_xll.DBRW(Server&amp;Cube1,$F$17,$F$18,$F$19,$F$16,$C$14,$F$15,$F$14,$F$20,Y$2,Y$1,$C422)</f>
        <v/>
      </c>
      <c r="Z422" s="226" t="str">
        <f ca="1">_xll.DBRW(Server&amp;Cube1,$F$17,$F$18,$F$19,$F$16,$C$14,$F$15,$F$14,$F$20,Z$2,Z$1,$C422)</f>
        <v/>
      </c>
      <c r="AA422" s="226" t="str">
        <f ca="1">_xll.DBRW(Server&amp;Cube1,$F$17,$F$18,$F$19,$F$16,$C$14,$F$15,$F$14,$F$20,AA$2,AA$1,$C422)</f>
        <v/>
      </c>
      <c r="AB422" s="226" t="str">
        <f ca="1">_xll.DBRW(Server&amp;Cube1,$F$17,$F$18,$F$19,$F$16,$C$14,$F$15,$F$14,$F$20,AB$2,AB$1,$C422)</f>
        <v/>
      </c>
      <c r="AC422" s="226" t="str">
        <f ca="1">_xll.DBRW(Server&amp;Cube1,$F$17,$F$18,$F$19,$F$16,$C$14,$F$15,$F$14,$F$20,AC$2,AC$1,$C422)</f>
        <v/>
      </c>
      <c r="AD422" s="226" t="str">
        <f ca="1">_xll.DBRW(Server&amp;Cube1,$F$17,$F$18,$F$19,$F$16,$C$14,$F$15,$F$14,$F$20,AD$2,AD$1,$C422)</f>
        <v/>
      </c>
      <c r="AE422" s="226" t="str">
        <f ca="1">_xll.DBRW(Server&amp;Cube1,$F$17,$F$18,$F$19,$F$16,$C$14,$F$15,$F$14,$F$20,AE$2,AE$1,$C422)</f>
        <v/>
      </c>
      <c r="AF422" s="226" t="str">
        <f ca="1">_xll.DBRW(Server&amp;Cube1,$F$17,$F$18,$F$19,$F$16,$C$14,$F$15,$F$14,$F$20,AF$2,$AF$1,$C422)</f>
        <v/>
      </c>
      <c r="AG422" s="53"/>
      <c r="AH422" s="53"/>
      <c r="AI422" s="53"/>
      <c r="AJ422" s="53"/>
      <c r="AK422" s="53"/>
      <c r="AL422" s="53"/>
      <c r="AM422" s="53"/>
      <c r="AN422" s="53"/>
      <c r="AO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</row>
    <row r="423" spans="1:53" s="9" customFormat="1" ht="24" customHeight="1" x14ac:dyDescent="0.35">
      <c r="A423" s="181" t="e">
        <f ca="1">IF($AT$35="YES",1,IF(_xll.ELCOMPN(Server&amp;$C$24,C423)&lt;&gt;0,1,IF(OR(B423=$AZ$35,B423="ALL"),1,0)))</f>
        <v>#VALUE!</v>
      </c>
      <c r="B423" s="181" t="s">
        <v>484</v>
      </c>
      <c r="C423" s="158" t="s">
        <v>463</v>
      </c>
      <c r="E423" s="268" t="str">
        <f ca="1">_xll.DBRA(Server&amp;$C$24,$C423,$F$21)</f>
        <v>Pertes de valeur BFR (DC)</v>
      </c>
      <c r="F423" s="268"/>
      <c r="G423" s="268"/>
      <c r="H423" s="40"/>
      <c r="I423" s="221" t="str">
        <f ca="1">_xll.DBRW(Server&amp;Cube1,$F$17,$F$18,$F$19,$F$16,$C$14,$F$15,$F$14,$F$20,I$2,I$1,$C423)</f>
        <v/>
      </c>
      <c r="J423" s="221" t="str">
        <f ca="1">_xll.DBRW(Server&amp;Cube1,$F$17,$F$18,$F$19,$F$16,$C$14,$F$15,$F$14,$F$20,J$2,J$1,$C423)</f>
        <v/>
      </c>
      <c r="K423" s="221" t="e">
        <f ca="1">_xll.DBRW(Server&amp;Cube1,$F$17,$F$18,$F$19,$F$16,$C$14,$F$15,$F$14,$F$20,I$2,I$1,$C423) -_xll.DBRW(Server&amp;Cube1,$F$17,$F$18,$F$19,$F$16,$C$14,$F$15,$F$14,$F$20,K$2,I$1,$C423)</f>
        <v>#VALUE!</v>
      </c>
      <c r="L423" s="221" t="e">
        <f t="shared" ca="1" si="22"/>
        <v>#VALUE!</v>
      </c>
      <c r="M423" s="221" t="e">
        <f t="shared" ca="1" si="21"/>
        <v>#VALUE!</v>
      </c>
      <c r="N423" s="226"/>
      <c r="O423" s="221" t="str">
        <f ca="1">_xll.DBRW(Server&amp;Cube1,$F$17,$F$18,$F$19,$F$16,$C$14,$F$15,$F$14,$F$20,O$2,O$1,$C423)</f>
        <v/>
      </c>
      <c r="P423" s="226"/>
      <c r="Q423" s="240" t="str">
        <f ca="1">IF(_xll.ELCOMPN(Server&amp;$C$24,C423)=0,"YES","NO")</f>
        <v>YES</v>
      </c>
      <c r="R423" s="241">
        <v>0</v>
      </c>
      <c r="S423" s="226"/>
      <c r="T423" s="227" t="str">
        <f ca="1">_xll.DBRW(Server&amp;Cube1,$F$17,$F$18,$F$19,$F$16,$C$14,$F$15,$F$14,$F$20,T$2,$T$1,$C423)</f>
        <v/>
      </c>
      <c r="U423" s="227" t="str">
        <f ca="1">_xll.DBRW(Server&amp;Cube1,$F$17,$F$18,$F$19,$F$16,$C$14,$F$15,$F$14,$F$20,U$2,$U$1,$C423)</f>
        <v/>
      </c>
      <c r="V423" s="227" t="str">
        <f ca="1">_xll.DBRW(Server&amp;Cube1,$F$17,$F$18,$F$19,$F$16,$C$14,$F$15,$F$14,$F$20,V$2,V$1,$C423)</f>
        <v/>
      </c>
      <c r="W423" s="227" t="str">
        <f ca="1">_xll.DBRW(Server&amp;Cube1,$F$17,$F$18,$F$19,$F$16,$C$14,$F$15,$F$14,$F$20,W$2,W$1,$C423)</f>
        <v/>
      </c>
      <c r="X423" s="227" t="str">
        <f ca="1">_xll.DBRW(Server&amp;Cube1,$F$17,$F$18,$F$19,$F$16,$C$14,$F$15,$F$14,$F$20,X$2,X$1,$C423)</f>
        <v/>
      </c>
      <c r="Y423" s="227" t="str">
        <f ca="1">_xll.DBRW(Server&amp;Cube1,$F$17,$F$18,$F$19,$F$16,$C$14,$F$15,$F$14,$F$20,Y$2,Y$1,$C423)</f>
        <v/>
      </c>
      <c r="Z423" s="241"/>
      <c r="AA423" s="241"/>
      <c r="AB423" s="241"/>
      <c r="AC423" s="241"/>
      <c r="AD423" s="241"/>
      <c r="AE423" s="241"/>
      <c r="AF423" s="221" t="str">
        <f ca="1">_xll.DBRW(Server&amp;Cube1,$F$17,$F$18,$F$19,$F$16,$C$14,$F$15,$F$14,$F$20,AF$2,$AF$1,$C423)</f>
        <v/>
      </c>
      <c r="AG423" s="53"/>
      <c r="AH423" s="53"/>
      <c r="AI423" s="53"/>
      <c r="AJ423" s="53"/>
      <c r="AK423" s="53"/>
      <c r="AL423" s="53"/>
      <c r="AM423" s="53"/>
      <c r="AN423" s="53"/>
      <c r="AO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</row>
    <row r="424" spans="1:53" s="9" customFormat="1" ht="24" customHeight="1" x14ac:dyDescent="0.35">
      <c r="A424" s="181">
        <f ca="1">IF($AT$35="YES",1,IF(_xll.ELCOMPN(Server&amp;$C$24,C424)&lt;&gt;0,1,IF(OR(B424=$AZ$35,B424="ALL"),1,0)))</f>
        <v>1</v>
      </c>
      <c r="B424" s="181" t="s">
        <v>484</v>
      </c>
      <c r="C424" s="117" t="s">
        <v>464</v>
      </c>
      <c r="E424" s="270" t="str">
        <f ca="1">_xll.DBRA(Server&amp;$C$24,$C424,$F$21)</f>
        <v>Pertes de valeur hors BFR - Dépenses commerciales</v>
      </c>
      <c r="F424" s="270"/>
      <c r="G424" s="270"/>
      <c r="H424" s="40"/>
      <c r="I424" s="221" t="str">
        <f ca="1">_xll.DBRW(Server&amp;Cube1,$F$17,$F$18,$F$19,$F$16,$C$14,$F$15,$F$14,$F$20,I$2,I$1,$C424)</f>
        <v/>
      </c>
      <c r="J424" s="221" t="str">
        <f ca="1">_xll.DBRW(Server&amp;Cube1,$F$17,$F$18,$F$19,$F$16,$C$14,$F$15,$F$14,$F$20,J$2,J$1,$C424)</f>
        <v/>
      </c>
      <c r="K424" s="221" t="e">
        <f ca="1">_xll.DBRW(Server&amp;Cube1,$F$17,$F$18,$F$19,$F$16,$C$14,$F$15,$F$14,$F$20,I$2,I$1,$C424) -_xll.DBRW(Server&amp;Cube1,$F$17,$F$18,$F$19,$F$16,$C$14,$F$15,$F$14,$F$20,K$2,I$1,$C424)</f>
        <v>#VALUE!</v>
      </c>
      <c r="L424" s="221" t="e">
        <f t="shared" ca="1" si="22"/>
        <v>#VALUE!</v>
      </c>
      <c r="M424" s="221" t="e">
        <f t="shared" ca="1" si="21"/>
        <v>#VALUE!</v>
      </c>
      <c r="N424" s="226"/>
      <c r="O424" s="226" t="str">
        <f ca="1">_xll.DBRW(Server&amp;Cube1,$F$17,$F$18,$F$19,$F$16,$C$14,$F$15,$F$14,$F$20,O$2,O$1,$C424)</f>
        <v/>
      </c>
      <c r="P424" s="226"/>
      <c r="Q424" s="240" t="str">
        <f ca="1">IF(_xll.ELCOMPN(Server&amp;$C$24,C424)=0,"YES","NO")</f>
        <v>NO</v>
      </c>
      <c r="R424" s="226"/>
      <c r="S424" s="226"/>
      <c r="T424" s="232" t="str">
        <f ca="1">_xll.DBRW(Server&amp;Cube1,$F$17,$F$18,$F$19,$F$16,$C$14,$F$15,$F$14,$F$20,T$2,$T$1,$C424)</f>
        <v/>
      </c>
      <c r="U424" s="232" t="str">
        <f ca="1">_xll.DBRW(Server&amp;Cube1,$F$17,$F$18,$F$19,$F$16,$C$14,$F$15,$F$14,$F$20,U$2,$U$1,$C424)</f>
        <v/>
      </c>
      <c r="V424" s="232" t="str">
        <f ca="1">_xll.DBRW(Server&amp;Cube1,$F$17,$F$18,$F$19,$F$16,$C$14,$F$15,$F$14,$F$20,V$2,V$1,$C424)</f>
        <v/>
      </c>
      <c r="W424" s="232" t="str">
        <f ca="1">_xll.DBRW(Server&amp;Cube1,$F$17,$F$18,$F$19,$F$16,$C$14,$F$15,$F$14,$F$20,W$2,W$1,$C424)</f>
        <v/>
      </c>
      <c r="X424" s="226" t="str">
        <f ca="1">_xll.DBRW(Server&amp;Cube1,$F$17,$F$18,$F$19,$F$16,$C$14,$F$15,$F$14,$F$20,X$2,X$1,$C424)</f>
        <v/>
      </c>
      <c r="Y424" s="226" t="str">
        <f ca="1">_xll.DBRW(Server&amp;Cube1,$F$17,$F$18,$F$19,$F$16,$C$14,$F$15,$F$14,$F$20,Y$2,Y$1,$C424)</f>
        <v/>
      </c>
      <c r="Z424" s="226" t="str">
        <f ca="1">_xll.DBRW(Server&amp;Cube1,$F$17,$F$18,$F$19,$F$16,$C$14,$F$15,$F$14,$F$20,Z$2,Z$1,$C424)</f>
        <v/>
      </c>
      <c r="AA424" s="226" t="str">
        <f ca="1">_xll.DBRW(Server&amp;Cube1,$F$17,$F$18,$F$19,$F$16,$C$14,$F$15,$F$14,$F$20,AA$2,AA$1,$C424)</f>
        <v/>
      </c>
      <c r="AB424" s="226" t="str">
        <f ca="1">_xll.DBRW(Server&amp;Cube1,$F$17,$F$18,$F$19,$F$16,$C$14,$F$15,$F$14,$F$20,AB$2,AB$1,$C424)</f>
        <v/>
      </c>
      <c r="AC424" s="226" t="str">
        <f ca="1">_xll.DBRW(Server&amp;Cube1,$F$17,$F$18,$F$19,$F$16,$C$14,$F$15,$F$14,$F$20,AC$2,AC$1,$C424)</f>
        <v/>
      </c>
      <c r="AD424" s="226" t="str">
        <f ca="1">_xll.DBRW(Server&amp;Cube1,$F$17,$F$18,$F$19,$F$16,$C$14,$F$15,$F$14,$F$20,AD$2,AD$1,$C424)</f>
        <v/>
      </c>
      <c r="AE424" s="226" t="str">
        <f ca="1">_xll.DBRW(Server&amp;Cube1,$F$17,$F$18,$F$19,$F$16,$C$14,$F$15,$F$14,$F$20,AE$2,AE$1,$C424)</f>
        <v/>
      </c>
      <c r="AF424" s="226" t="str">
        <f ca="1">_xll.DBRW(Server&amp;Cube1,$F$17,$F$18,$F$19,$F$16,$C$14,$F$15,$F$14,$F$20,AF$2,$AF$1,$C424)</f>
        <v/>
      </c>
      <c r="AG424" s="53"/>
      <c r="AH424" s="53"/>
      <c r="AI424" s="53"/>
      <c r="AJ424" s="53"/>
      <c r="AK424" s="53"/>
      <c r="AL424" s="53"/>
      <c r="AM424" s="53"/>
      <c r="AN424" s="53"/>
      <c r="AO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</row>
    <row r="425" spans="1:53" s="9" customFormat="1" ht="24" customHeight="1" x14ac:dyDescent="0.35">
      <c r="A425" s="181" t="e">
        <f ca="1">IF($AT$35="YES",1,IF(_xll.ELCOMPN(Server&amp;$C$24,C425)&lt;&gt;0,1,IF(OR(B425=$AZ$35,B425="ALL"),1,0)))</f>
        <v>#VALUE!</v>
      </c>
      <c r="B425" s="181" t="s">
        <v>484</v>
      </c>
      <c r="C425" s="158" t="s">
        <v>465</v>
      </c>
      <c r="E425" s="268" t="str">
        <f ca="1">_xll.DBRA(Server&amp;$C$24,$C425,$F$21)</f>
        <v>Pertes de valeurs (hors BFR) et provisions - liées aux frais de personnel (DC)</v>
      </c>
      <c r="F425" s="268"/>
      <c r="G425" s="268"/>
      <c r="H425" s="40"/>
      <c r="I425" s="221" t="str">
        <f ca="1">_xll.DBRW(Server&amp;Cube1,$F$17,$F$18,$F$19,$F$16,$C$14,$F$15,$F$14,$F$20,I$2,I$1,$C425)</f>
        <v/>
      </c>
      <c r="J425" s="221" t="str">
        <f ca="1">_xll.DBRW(Server&amp;Cube1,$F$17,$F$18,$F$19,$F$16,$C$14,$F$15,$F$14,$F$20,J$2,J$1,$C425)</f>
        <v/>
      </c>
      <c r="K425" s="221" t="e">
        <f ca="1">_xll.DBRW(Server&amp;Cube1,$F$17,$F$18,$F$19,$F$16,$C$14,$F$15,$F$14,$F$20,I$2,I$1,$C425) -_xll.DBRW(Server&amp;Cube1,$F$17,$F$18,$F$19,$F$16,$C$14,$F$15,$F$14,$F$20,K$2,I$1,$C425)</f>
        <v>#VALUE!</v>
      </c>
      <c r="L425" s="221" t="e">
        <f t="shared" ca="1" si="22"/>
        <v>#VALUE!</v>
      </c>
      <c r="M425" s="221" t="e">
        <f t="shared" ca="1" si="21"/>
        <v>#VALUE!</v>
      </c>
      <c r="N425" s="226"/>
      <c r="O425" s="221" t="str">
        <f ca="1">_xll.DBRW(Server&amp;Cube1,$F$17,$F$18,$F$19,$F$16,$C$14,$F$15,$F$14,$F$20,O$2,O$1,$C425)</f>
        <v/>
      </c>
      <c r="P425" s="226"/>
      <c r="Q425" s="240" t="str">
        <f ca="1">IF(_xll.ELCOMPN(Server&amp;$C$24,C425)=0,"YES","NO")</f>
        <v>YES</v>
      </c>
      <c r="R425" s="241">
        <v>0</v>
      </c>
      <c r="S425" s="226"/>
      <c r="T425" s="227" t="str">
        <f ca="1">_xll.DBRW(Server&amp;Cube1,$F$17,$F$18,$F$19,$F$16,$C$14,$F$15,$F$14,$F$20,T$2,$T$1,$C425)</f>
        <v/>
      </c>
      <c r="U425" s="227" t="str">
        <f ca="1">_xll.DBRW(Server&amp;Cube1,$F$17,$F$18,$F$19,$F$16,$C$14,$F$15,$F$14,$F$20,U$2,$U$1,$C425)</f>
        <v/>
      </c>
      <c r="V425" s="227" t="str">
        <f ca="1">_xll.DBRW(Server&amp;Cube1,$F$17,$F$18,$F$19,$F$16,$C$14,$F$15,$F$14,$F$20,V$2,V$1,$C425)</f>
        <v/>
      </c>
      <c r="W425" s="227" t="str">
        <f ca="1">_xll.DBRW(Server&amp;Cube1,$F$17,$F$18,$F$19,$F$16,$C$14,$F$15,$F$14,$F$20,W$2,W$1,$C425)</f>
        <v/>
      </c>
      <c r="X425" s="227" t="str">
        <f ca="1">_xll.DBRW(Server&amp;Cube1,$F$17,$F$18,$F$19,$F$16,$C$14,$F$15,$F$14,$F$20,X$2,X$1,$C425)</f>
        <v/>
      </c>
      <c r="Y425" s="227" t="str">
        <f ca="1">_xll.DBRW(Server&amp;Cube1,$F$17,$F$18,$F$19,$F$16,$C$14,$F$15,$F$14,$F$20,Y$2,Y$1,$C425)</f>
        <v/>
      </c>
      <c r="Z425" s="241"/>
      <c r="AA425" s="241"/>
      <c r="AB425" s="241"/>
      <c r="AC425" s="241"/>
      <c r="AD425" s="241"/>
      <c r="AE425" s="241"/>
      <c r="AF425" s="221" t="str">
        <f ca="1">_xll.DBRW(Server&amp;Cube1,$F$17,$F$18,$F$19,$F$16,$C$14,$F$15,$F$14,$F$20,AF$2,$AF$1,$C425)</f>
        <v/>
      </c>
      <c r="AG425" s="53"/>
      <c r="AH425" s="53"/>
      <c r="AI425" s="53"/>
      <c r="AJ425" s="53"/>
      <c r="AK425" s="53"/>
      <c r="AL425" s="53"/>
      <c r="AM425" s="53"/>
      <c r="AN425" s="53"/>
      <c r="AO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</row>
    <row r="426" spans="1:53" s="9" customFormat="1" ht="11.25" customHeight="1" thickBot="1" x14ac:dyDescent="0.4">
      <c r="A426" s="181" t="e">
        <f ca="1">IF($AT$35="YES",1,IF(_xll.ELCOMPN(Server&amp;$C$24,C426)&lt;&gt;0,1,IF(OR(B426=$AZ$35,B426="ALL"),1,0)))</f>
        <v>#VALUE!</v>
      </c>
      <c r="B426" s="181" t="s">
        <v>484</v>
      </c>
      <c r="C426" s="120"/>
      <c r="E426" s="89"/>
      <c r="F426" s="89"/>
      <c r="G426" s="89"/>
      <c r="H426" s="40"/>
      <c r="I426" s="222"/>
      <c r="J426" s="222"/>
      <c r="K426" s="222"/>
      <c r="L426" s="222"/>
      <c r="M426" s="222">
        <f t="shared" si="21"/>
        <v>0</v>
      </c>
      <c r="N426" s="242"/>
      <c r="O426" s="242"/>
      <c r="P426" s="242"/>
      <c r="Q426" s="242"/>
      <c r="R426" s="242"/>
      <c r="S426" s="242"/>
      <c r="T426" s="233"/>
      <c r="U426" s="233"/>
      <c r="V426" s="234"/>
      <c r="W426" s="233"/>
      <c r="X426" s="222"/>
      <c r="Y426" s="222"/>
      <c r="Z426" s="222"/>
      <c r="AA426" s="222"/>
      <c r="AB426" s="222"/>
      <c r="AC426" s="222"/>
      <c r="AD426" s="222"/>
      <c r="AE426" s="222"/>
      <c r="AF426" s="222"/>
      <c r="AG426" s="53"/>
      <c r="AH426" s="53"/>
      <c r="AI426" s="53"/>
      <c r="AJ426" s="53"/>
      <c r="AK426" s="53"/>
      <c r="AL426" s="53"/>
      <c r="AM426" s="53"/>
      <c r="AN426" s="53"/>
      <c r="AO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</row>
    <row r="427" spans="1:53" s="9" customFormat="1" ht="24" customHeight="1" thickBot="1" x14ac:dyDescent="0.4">
      <c r="A427" s="181">
        <f ca="1">IF($AT$35="YES",1,IF(_xll.ELCOMPN(Server&amp;$C$24,C427)&lt;&gt;0,1,IF(OR(B427=$AZ$35,B427="ALL"),1,0)))</f>
        <v>1</v>
      </c>
      <c r="B427" s="181" t="s">
        <v>484</v>
      </c>
      <c r="C427" s="116" t="s">
        <v>132</v>
      </c>
      <c r="E427" s="276" t="str">
        <f ca="1">_xll.DBRA(Server&amp;$C$24,$C427,$F$21)</f>
        <v>RESULTAT OPERATIONNEL AVANT MF</v>
      </c>
      <c r="F427" s="276"/>
      <c r="G427" s="276"/>
      <c r="H427" s="40"/>
      <c r="I427" s="253" t="str">
        <f ca="1">_xll.DBRW(Server&amp;Cube1,$F$17,$F$18,$F$19,$F$16,$C$14,$F$15,$F$14,$F$20,I$2,I$1,$C427)</f>
        <v/>
      </c>
      <c r="J427" s="253" t="str">
        <f ca="1">_xll.DBRW(Server&amp;Cube1,$F$17,$F$18,$F$19,$F$16,$C$14,$F$15,$F$14,$F$20,J$2,J$1,$C427)</f>
        <v/>
      </c>
      <c r="K427" s="253" t="e">
        <f ca="1">_xll.DBRW(Server&amp;Cube1,$F$17,$F$18,$F$19,$F$16,$C$14,$F$15,$F$14,$F$20,I$2,I$1,$C427) -_xll.DBRW(Server&amp;Cube1,$F$17,$F$18,$F$19,$F$16,$C$14,$F$15,$F$14,$F$20,K$2,I$1,$C427)</f>
        <v>#VALUE!</v>
      </c>
      <c r="L427" s="253" t="e">
        <f ca="1">$K427+$J427</f>
        <v>#VALUE!</v>
      </c>
      <c r="M427" s="253" t="e">
        <f t="shared" ca="1" si="21"/>
        <v>#VALUE!</v>
      </c>
      <c r="N427" s="235"/>
      <c r="O427" s="253" t="str">
        <f ca="1">_xll.DBRW(Server&amp;Cube1,$F$17,$F$18,$F$19,$F$16,$C$14,$F$15,$F$14,$F$20,O$2,O$1,$C427)</f>
        <v/>
      </c>
      <c r="P427" s="235"/>
      <c r="Q427" s="240" t="str">
        <f ca="1">IF(_xll.ELCOMPN(Server&amp;$C$24,C427)=0,"YES","NO")</f>
        <v>NO</v>
      </c>
      <c r="R427" s="253"/>
      <c r="S427" s="235"/>
      <c r="T427" s="253" t="str">
        <f ca="1">_xll.DBRW(Server&amp;Cube1,$F$17,$F$18,$F$19,$F$16,$C$14,$F$15,$F$14,$F$20,T$2,$T$1,$C427)</f>
        <v/>
      </c>
      <c r="U427" s="253" t="str">
        <f ca="1">_xll.DBRW(Server&amp;Cube1,$F$17,$F$18,$F$19,$F$16,$C$14,$F$15,$F$14,$F$20,U$2,$U$1,$C427)</f>
        <v/>
      </c>
      <c r="V427" s="253" t="str">
        <f ca="1">_xll.DBRW(Server&amp;Cube1,$F$17,$F$18,$F$19,$F$16,$C$14,$F$15,$F$14,$F$20,V$2,V$1,$C427)</f>
        <v/>
      </c>
      <c r="W427" s="253" t="str">
        <f ca="1">_xll.DBRW(Server&amp;Cube1,$F$17,$F$18,$F$19,$F$16,$C$14,$F$15,$F$14,$F$20,W$2,W$1,$C427)</f>
        <v/>
      </c>
      <c r="X427" s="253" t="str">
        <f ca="1">_xll.DBRW(Server&amp;Cube1,$F$17,$F$18,$F$19,$F$16,$C$14,$F$15,$F$14,$F$20,X$2,X$1,$C427)</f>
        <v/>
      </c>
      <c r="Y427" s="253" t="str">
        <f ca="1">_xll.DBRW(Server&amp;Cube1,$F$17,$F$18,$F$19,$F$16,$C$14,$F$15,$F$14,$F$20,Y$2,Y$1,$C427)</f>
        <v/>
      </c>
      <c r="Z427" s="253" t="str">
        <f ca="1">_xll.DBRW(Server&amp;Cube1,$F$17,$F$18,$F$19,$F$16,$C$14,$F$15,$F$14,$F$20,Z$2,Z$1,$C427)</f>
        <v/>
      </c>
      <c r="AA427" s="253" t="str">
        <f ca="1">_xll.DBRW(Server&amp;Cube1,$F$17,$F$18,$F$19,$F$16,$C$14,$F$15,$F$14,$F$20,AA$2,AA$1,$C427)</f>
        <v/>
      </c>
      <c r="AB427" s="253" t="str">
        <f ca="1">_xll.DBRW(Server&amp;Cube1,$F$17,$F$18,$F$19,$F$16,$C$14,$F$15,$F$14,$F$20,AB$2,AB$1,$C427)</f>
        <v/>
      </c>
      <c r="AC427" s="253" t="str">
        <f ca="1">_xll.DBRW(Server&amp;Cube1,$F$17,$F$18,$F$19,$F$16,$C$14,$F$15,$F$14,$F$20,AC$2,AC$1,$C427)</f>
        <v/>
      </c>
      <c r="AD427" s="253" t="str">
        <f ca="1">_xll.DBRW(Server&amp;Cube1,$F$17,$F$18,$F$19,$F$16,$C$14,$F$15,$F$14,$F$20,AD$2,AD$1,$C427)</f>
        <v/>
      </c>
      <c r="AE427" s="253" t="str">
        <f ca="1">_xll.DBRW(Server&amp;Cube1,$F$17,$F$18,$F$19,$F$16,$C$14,$F$15,$F$14,$F$20,AE$2,AE$1,$C427)</f>
        <v/>
      </c>
      <c r="AF427" s="253" t="str">
        <f ca="1">_xll.DBRW(Server&amp;Cube1,$F$17,$F$18,$F$19,$F$16,$C$14,$F$15,$F$14,$F$20,AF$2,$AF$1,$C427)</f>
        <v/>
      </c>
      <c r="AG427" s="53"/>
      <c r="AH427" s="53"/>
      <c r="AI427" s="53"/>
      <c r="AJ427" s="53"/>
      <c r="AK427" s="53"/>
      <c r="AL427" s="53"/>
      <c r="AM427" s="53"/>
      <c r="AN427" s="53"/>
      <c r="AO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</row>
    <row r="428" spans="1:53" s="9" customFormat="1" ht="6" customHeight="1" x14ac:dyDescent="0.35">
      <c r="A428" s="181" t="e">
        <f ca="1">IF($AT$35="YES",1,IF(_xll.ELCOMPN(Server&amp;$C$24,C428)&lt;&gt;0,1,IF(OR(B428=$AZ$35,B428="ALL"),1,0)))</f>
        <v>#VALUE!</v>
      </c>
      <c r="B428" s="181" t="s">
        <v>484</v>
      </c>
      <c r="C428" s="119"/>
      <c r="E428" s="99"/>
      <c r="F428" s="100"/>
      <c r="G428" s="89"/>
      <c r="H428" s="40"/>
      <c r="I428" s="223"/>
      <c r="J428" s="223"/>
      <c r="K428" s="223"/>
      <c r="L428" s="223"/>
      <c r="M428" s="223"/>
      <c r="N428" s="235"/>
      <c r="O428" s="235"/>
      <c r="P428" s="235"/>
      <c r="Q428" s="235"/>
      <c r="R428" s="235"/>
      <c r="S428" s="235"/>
      <c r="T428" s="235"/>
      <c r="U428" s="235"/>
      <c r="V428" s="235"/>
      <c r="W428" s="235"/>
      <c r="X428" s="235"/>
      <c r="Y428" s="235"/>
      <c r="Z428" s="235"/>
      <c r="AA428" s="235"/>
      <c r="AB428" s="235"/>
      <c r="AC428" s="235"/>
      <c r="AD428" s="235"/>
      <c r="AE428" s="235"/>
      <c r="AF428" s="235"/>
      <c r="AG428" s="53"/>
      <c r="AH428" s="53"/>
      <c r="AI428" s="53"/>
      <c r="AJ428" s="53"/>
      <c r="AK428" s="53"/>
      <c r="AL428" s="53"/>
      <c r="AM428" s="53"/>
      <c r="AN428" s="53"/>
      <c r="AO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</row>
    <row r="429" spans="1:53" s="9" customFormat="1" ht="21" customHeight="1" x14ac:dyDescent="0.35">
      <c r="A429" s="181">
        <f ca="1">IF($AT$35="YES",1,IF(_xll.ELCOMPN(Server&amp;$C$24,C429)&lt;&gt;0,1,IF(OR(B429=$AZ$35,B429="ALL"),1,0)))</f>
        <v>1</v>
      </c>
      <c r="B429" s="181" t="s">
        <v>484</v>
      </c>
      <c r="C429" s="119" t="s">
        <v>133</v>
      </c>
      <c r="E429" s="269" t="str">
        <f ca="1">_xll.DBRA(Server&amp;$C$24,$C429,$F$21)</f>
        <v>Management fees - Refacturation de MF</v>
      </c>
      <c r="F429" s="269"/>
      <c r="G429" s="269"/>
      <c r="H429" s="40"/>
      <c r="I429" s="220" t="str">
        <f ca="1">_xll.DBRW(Server&amp;Cube1,$F$17,$F$18,$F$19,$F$16,$C$14,$F$15,$F$14,$F$20,I$2,I$1,$C429)</f>
        <v/>
      </c>
      <c r="J429" s="220" t="str">
        <f ca="1">_xll.DBRW(Server&amp;Cube1,$F$17,$F$18,$F$19,$F$16,$C$14,$F$15,$F$14,$F$20,J$2,J$1,$C429)</f>
        <v/>
      </c>
      <c r="K429" s="220" t="e">
        <f ca="1">_xll.DBRW(Server&amp;Cube1,$F$17,$F$18,$F$19,$F$16,$C$14,$F$15,$F$14,$F$20,I$2,I$1,$C429) -_xll.DBRW(Server&amp;Cube1,$F$17,$F$18,$F$19,$F$16,$C$14,$F$15,$F$14,$F$20,K$2,I$1,$C429)</f>
        <v>#VALUE!</v>
      </c>
      <c r="L429" s="220" t="e">
        <f ca="1">$K429+$J429</f>
        <v>#VALUE!</v>
      </c>
      <c r="M429" s="220" t="e">
        <f t="shared" ca="1" si="21"/>
        <v>#VALUE!</v>
      </c>
      <c r="N429" s="229"/>
      <c r="O429" s="228" t="str">
        <f ca="1">_xll.DBRW(Server&amp;Cube1,$F$17,$F$18,$F$19,$F$16,$C$14,$F$15,$F$14,$F$20,O$2,O$1,$C429)</f>
        <v/>
      </c>
      <c r="P429" s="235"/>
      <c r="Q429" s="240" t="str">
        <f ca="1">IF(_xll.ELCOMPN(Server&amp;$C$24,C429)=0,"YES","NO")</f>
        <v>NO</v>
      </c>
      <c r="R429" s="235"/>
      <c r="S429" s="235"/>
      <c r="T429" s="231" t="str">
        <f ca="1">_xll.DBRW(Server&amp;Cube1,$F$17,$F$18,$F$19,$F$16,$C$14,$F$15,$F$14,$F$20,T$2,$T$1,$C429)</f>
        <v/>
      </c>
      <c r="U429" s="231" t="str">
        <f ca="1">_xll.DBRW(Server&amp;Cube1,$F$17,$F$18,$F$19,$F$16,$C$14,$F$15,$F$14,$F$20,U$2,$U$1,$C429)</f>
        <v/>
      </c>
      <c r="V429" s="231" t="str">
        <f ca="1">_xll.DBRW(Server&amp;Cube1,$F$17,$F$18,$F$19,$F$16,$C$14,$F$15,$F$14,$F$20,V$2,V$1,$C429)</f>
        <v/>
      </c>
      <c r="W429" s="231" t="str">
        <f ca="1">_xll.DBRW(Server&amp;Cube1,$F$17,$F$18,$F$19,$F$16,$C$14,$F$15,$F$14,$F$20,W$2,W$1,$C429)</f>
        <v/>
      </c>
      <c r="X429" s="228" t="str">
        <f ca="1">_xll.DBRW(Server&amp;Cube1,$F$17,$F$18,$F$19,$F$16,$C$14,$F$15,$F$14,$F$20,X$2,X$1,$C429)</f>
        <v/>
      </c>
      <c r="Y429" s="228" t="str">
        <f ca="1">_xll.DBRW(Server&amp;Cube1,$F$17,$F$18,$F$19,$F$16,$C$14,$F$15,$F$14,$F$20,Y$2,Y$1,$C429)</f>
        <v/>
      </c>
      <c r="Z429" s="228" t="str">
        <f ca="1">_xll.DBRW(Server&amp;Cube1,$F$17,$F$18,$F$19,$F$16,$C$14,$F$15,$F$14,$F$20,Z$2,Z$1,$C429)</f>
        <v/>
      </c>
      <c r="AA429" s="228" t="str">
        <f ca="1">_xll.DBRW(Server&amp;Cube1,$F$17,$F$18,$F$19,$F$16,$C$14,$F$15,$F$14,$F$20,AA$2,AA$1,$C429)</f>
        <v/>
      </c>
      <c r="AB429" s="228" t="str">
        <f ca="1">_xll.DBRW(Server&amp;Cube1,$F$17,$F$18,$F$19,$F$16,$C$14,$F$15,$F$14,$F$20,AB$2,AB$1,$C429)</f>
        <v/>
      </c>
      <c r="AC429" s="228" t="str">
        <f ca="1">_xll.DBRW(Server&amp;Cube1,$F$17,$F$18,$F$19,$F$16,$C$14,$F$15,$F$14,$F$20,AC$2,AC$1,$C429)</f>
        <v/>
      </c>
      <c r="AD429" s="228" t="str">
        <f ca="1">_xll.DBRW(Server&amp;Cube1,$F$17,$F$18,$F$19,$F$16,$C$14,$F$15,$F$14,$F$20,AD$2,AD$1,$C429)</f>
        <v/>
      </c>
      <c r="AE429" s="228" t="str">
        <f ca="1">_xll.DBRW(Server&amp;Cube1,$F$17,$F$18,$F$19,$F$16,$C$14,$F$15,$F$14,$F$20,AE$2,AE$1,$C429)</f>
        <v/>
      </c>
      <c r="AF429" s="228" t="str">
        <f ca="1">_xll.DBRW(Server&amp;Cube1,$F$17,$F$18,$F$19,$F$16,$C$14,$F$15,$F$14,$F$20,AF$2,$AF$1,$C429)</f>
        <v/>
      </c>
      <c r="AG429" s="53"/>
      <c r="AH429" s="53"/>
      <c r="AI429" s="53"/>
      <c r="AJ429" s="53"/>
      <c r="AK429" s="53"/>
      <c r="AL429" s="53"/>
      <c r="AM429" s="53"/>
      <c r="AN429" s="53"/>
      <c r="AO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</row>
    <row r="430" spans="1:53" s="9" customFormat="1" ht="21" customHeight="1" x14ac:dyDescent="0.35">
      <c r="A430" s="181" t="e">
        <f ca="1">IF($AT$35="YES",1,IF(_xll.ELCOMPN(Server&amp;$C$24,C430)&lt;&gt;0,1,IF(OR(B430=$AZ$35,B430="ALL"),1,0)))</f>
        <v>#VALUE!</v>
      </c>
      <c r="B430" s="181" t="s">
        <v>484</v>
      </c>
      <c r="C430" s="117" t="s">
        <v>543</v>
      </c>
      <c r="E430" s="270" t="str">
        <f ca="1">_xll.DBRA(Server&amp;$C$24,$C430,$F$21)</f>
        <v>Management Fees et redevance de marque (1)</v>
      </c>
      <c r="F430" s="270"/>
      <c r="G430" s="270"/>
      <c r="H430" s="40"/>
      <c r="I430" s="218" t="str">
        <f ca="1">_xll.DBRW(Server&amp;Cube1,$F$17,$F$18,$F$19,$F$16,$C$14,$F$15,$F$14,$F$20,I$2,I$1,$C430)</f>
        <v/>
      </c>
      <c r="J430" s="218" t="str">
        <f ca="1">_xll.DBRW(Server&amp;Cube1,$F$17,$F$18,$F$19,$F$16,$C$14,$F$15,$F$14,$F$20,J$2,J$1,$C430)</f>
        <v/>
      </c>
      <c r="K430" s="218" t="e">
        <f ca="1">_xll.DBRW(Server&amp;Cube1,$F$17,$F$18,$F$19,$F$16,$C$14,$F$15,$F$14,$F$20,I$2,I$1,$C430) -_xll.DBRW(Server&amp;Cube1,$F$17,$F$18,$F$19,$F$16,$C$14,$F$15,$F$14,$F$20,K$2,I$1,$C430)</f>
        <v>#VALUE!</v>
      </c>
      <c r="L430" s="218" t="e">
        <f ca="1">$K430+$J430</f>
        <v>#VALUE!</v>
      </c>
      <c r="M430" s="218" t="e">
        <f t="shared" ca="1" si="21"/>
        <v>#VALUE!</v>
      </c>
      <c r="N430" s="226"/>
      <c r="O430" s="221" t="str">
        <f ca="1">_xll.DBRW(Server&amp;Cube1,$F$17,$F$18,$F$19,$F$16,$C$14,$F$15,$F$14,$F$20,O$2,O$1,$C430)</f>
        <v/>
      </c>
      <c r="P430" s="235"/>
      <c r="Q430" s="240" t="str">
        <f ca="1">IF(_xll.ELCOMPN(Server&amp;$C$24,C430)=0,"YES","NO")</f>
        <v>YES</v>
      </c>
      <c r="R430" s="241">
        <v>0</v>
      </c>
      <c r="S430" s="235"/>
      <c r="T430" s="221" t="str">
        <f ca="1">_xll.DBRW(Server&amp;Cube1,$F$17,$F$18,$F$19,$F$16,$C$14,$F$15,$F$14,$F$20,T$2,$T$1,$C430)</f>
        <v/>
      </c>
      <c r="U430" s="221" t="str">
        <f ca="1">_xll.DBRW(Server&amp;Cube1,$F$17,$F$18,$F$19,$F$16,$C$14,$F$15,$F$14,$F$20,U$2,$U$1,$C430)</f>
        <v/>
      </c>
      <c r="V430" s="227" t="str">
        <f ca="1">_xll.DBRW(Server&amp;Cube1,$F$17,$F$18,$F$19,$F$16,$C$14,$F$15,$F$14,$F$20,V$2,V$1,$C430)</f>
        <v/>
      </c>
      <c r="W430" s="227" t="str">
        <f ca="1">_xll.DBRW(Server&amp;Cube1,$F$17,$F$18,$F$19,$F$16,$C$14,$F$15,$F$14,$F$20,W$2,W$1,$C430)</f>
        <v/>
      </c>
      <c r="X430" s="227" t="str">
        <f ca="1">_xll.DBRW(Server&amp;Cube1,$F$17,$F$18,$F$19,$F$16,$C$14,$F$15,$F$14,$F$20,X$2,X$1,$C430)</f>
        <v/>
      </c>
      <c r="Y430" s="227" t="str">
        <f ca="1">_xll.DBRW(Server&amp;Cube1,$F$17,$F$18,$F$19,$F$16,$C$14,$F$15,$F$14,$F$20,Y$2,Y$1,$C430)</f>
        <v/>
      </c>
      <c r="Z430" s="241"/>
      <c r="AA430" s="241"/>
      <c r="AB430" s="241"/>
      <c r="AC430" s="241"/>
      <c r="AD430" s="241"/>
      <c r="AE430" s="241"/>
      <c r="AF430" s="221" t="str">
        <f ca="1">_xll.DBRW(Server&amp;Cube1,$F$17,$F$18,$F$19,$F$16,$C$14,$F$15,$F$14,$F$20,AF$2,$AF$1,$C430)</f>
        <v/>
      </c>
      <c r="AG430" s="53"/>
      <c r="AH430" s="53"/>
      <c r="AI430" s="53"/>
      <c r="AJ430" s="53"/>
      <c r="AK430" s="53"/>
      <c r="AL430" s="53"/>
      <c r="AM430" s="53"/>
      <c r="AN430" s="53"/>
      <c r="AO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</row>
    <row r="431" spans="1:53" s="9" customFormat="1" ht="24" customHeight="1" x14ac:dyDescent="0.35">
      <c r="A431" s="181" t="e">
        <f ca="1">IF($AT$35="YES",1,IF(_xll.ELCOMPN(Server&amp;$C$24,C431)&lt;&gt;0,1,IF(OR(B431=$AZ$35,B431="ALL"),1,0)))</f>
        <v>#VALUE!</v>
      </c>
      <c r="B431" s="181" t="s">
        <v>484</v>
      </c>
      <c r="C431" s="117" t="s">
        <v>544</v>
      </c>
      <c r="E431" s="270" t="str">
        <f ca="1">_xll.DBRA(Server&amp;$C$24,$C431,$F$21)</f>
        <v>Management Fees et redevance de marque (2)</v>
      </c>
      <c r="F431" s="270"/>
      <c r="G431" s="270"/>
      <c r="H431" s="40"/>
      <c r="I431" s="218" t="str">
        <f ca="1">_xll.DBRW(Server&amp;Cube1,$F$17,$F$18,$F$19,$F$16,$C$14,$F$15,$F$14,$F$20,I$2,I$1,$C431)</f>
        <v/>
      </c>
      <c r="J431" s="218" t="str">
        <f ca="1">_xll.DBRW(Server&amp;Cube1,$F$17,$F$18,$F$19,$F$16,$C$14,$F$15,$F$14,$F$20,J$2,J$1,$C431)</f>
        <v/>
      </c>
      <c r="K431" s="218" t="e">
        <f ca="1">_xll.DBRW(Server&amp;Cube1,$F$17,$F$18,$F$19,$F$16,$C$14,$F$15,$F$14,$F$20,I$2,I$1,$C431) -_xll.DBRW(Server&amp;Cube1,$F$17,$F$18,$F$19,$F$16,$C$14,$F$15,$F$14,$F$20,K$2,I$1,$C431)</f>
        <v>#VALUE!</v>
      </c>
      <c r="L431" s="218" t="e">
        <f ca="1">$K431+$J431</f>
        <v>#VALUE!</v>
      </c>
      <c r="M431" s="218" t="e">
        <f t="shared" ca="1" si="21"/>
        <v>#VALUE!</v>
      </c>
      <c r="N431" s="226"/>
      <c r="O431" s="221" t="str">
        <f ca="1">_xll.DBRW(Server&amp;Cube1,$F$17,$F$18,$F$19,$F$16,$C$14,$F$15,$F$14,$F$20,O$2,O$1,$C431)</f>
        <v/>
      </c>
      <c r="P431" s="226"/>
      <c r="Q431" s="240" t="str">
        <f ca="1">IF(_xll.ELCOMPN(Server&amp;$C$24,C431)=0,"YES","NO")</f>
        <v>YES</v>
      </c>
      <c r="R431" s="241">
        <v>0</v>
      </c>
      <c r="S431" s="226"/>
      <c r="T431" s="221" t="str">
        <f ca="1">_xll.DBRW(Server&amp;Cube1,$F$17,$F$18,$F$19,$F$16,$C$14,$F$15,$F$14,$F$20,T$2,$T$1,$C431)</f>
        <v/>
      </c>
      <c r="U431" s="221" t="str">
        <f ca="1">_xll.DBRW(Server&amp;Cube1,$F$17,$F$18,$F$19,$F$16,$C$14,$F$15,$F$14,$F$20,U$2,$U$1,$C431)</f>
        <v/>
      </c>
      <c r="V431" s="227" t="str">
        <f ca="1">_xll.DBRW(Server&amp;Cube1,$F$17,$F$18,$F$19,$F$16,$C$14,$F$15,$F$14,$F$20,V$2,V$1,$C431)</f>
        <v/>
      </c>
      <c r="W431" s="227" t="str">
        <f ca="1">_xll.DBRW(Server&amp;Cube1,$F$17,$F$18,$F$19,$F$16,$C$14,$F$15,$F$14,$F$20,W$2,W$1,$C431)</f>
        <v/>
      </c>
      <c r="X431" s="227" t="str">
        <f ca="1">_xll.DBRW(Server&amp;Cube1,$F$17,$F$18,$F$19,$F$16,$C$14,$F$15,$F$14,$F$20,X$2,X$1,$C431)</f>
        <v/>
      </c>
      <c r="Y431" s="227" t="str">
        <f ca="1">_xll.DBRW(Server&amp;Cube1,$F$17,$F$18,$F$19,$F$16,$C$14,$F$15,$F$14,$F$20,Y$2,Y$1,$C431)</f>
        <v/>
      </c>
      <c r="Z431" s="241"/>
      <c r="AA431" s="241"/>
      <c r="AB431" s="241"/>
      <c r="AC431" s="241"/>
      <c r="AD431" s="241"/>
      <c r="AE431" s="241"/>
      <c r="AF431" s="221" t="str">
        <f ca="1">_xll.DBRW(Server&amp;Cube1,$F$17,$F$18,$F$19,$F$16,$C$14,$F$15,$F$14,$F$20,AF$2,$AF$1,$C431)</f>
        <v/>
      </c>
      <c r="AG431" s="53"/>
      <c r="AH431" s="53"/>
      <c r="AI431" s="53"/>
      <c r="AJ431" s="53"/>
      <c r="AK431" s="53"/>
      <c r="AL431" s="53"/>
      <c r="AM431" s="53"/>
      <c r="AN431" s="53"/>
      <c r="AO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</row>
    <row r="432" spans="1:53" s="9" customFormat="1" ht="7.5" customHeight="1" thickBot="1" x14ac:dyDescent="0.4">
      <c r="A432" s="181" t="e">
        <f ca="1">IF($AT$35="YES",1,IF(_xll.ELCOMPN(Server&amp;$C$24,C432)&lt;&gt;0,1,IF(OR(B432=$AZ$35,B432="ALL"),1,0)))</f>
        <v>#VALUE!</v>
      </c>
      <c r="B432" s="181" t="s">
        <v>484</v>
      </c>
      <c r="C432" s="119"/>
      <c r="E432" s="99"/>
      <c r="F432" s="100"/>
      <c r="G432" s="89"/>
      <c r="H432" s="40"/>
      <c r="I432" s="223"/>
      <c r="J432" s="223"/>
      <c r="K432" s="223"/>
      <c r="L432" s="223"/>
      <c r="M432" s="223"/>
      <c r="N432" s="235"/>
      <c r="O432" s="235"/>
      <c r="P432" s="235"/>
      <c r="Q432" s="235"/>
      <c r="R432" s="235"/>
      <c r="S432" s="235"/>
      <c r="T432" s="236"/>
      <c r="U432" s="236"/>
      <c r="V432" s="237"/>
      <c r="W432" s="236"/>
      <c r="X432" s="223"/>
      <c r="Y432" s="223"/>
      <c r="Z432" s="223"/>
      <c r="AA432" s="223"/>
      <c r="AB432" s="223"/>
      <c r="AC432" s="223"/>
      <c r="AD432" s="223"/>
      <c r="AE432" s="223"/>
      <c r="AF432" s="223"/>
      <c r="AG432" s="53"/>
      <c r="AH432" s="53"/>
      <c r="AI432" s="53"/>
      <c r="AJ432" s="53"/>
      <c r="AK432" s="53"/>
      <c r="AL432" s="53"/>
      <c r="AM432" s="53"/>
      <c r="AN432" s="53"/>
      <c r="AO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</row>
    <row r="433" spans="1:53" s="9" customFormat="1" ht="24" customHeight="1" thickBot="1" x14ac:dyDescent="0.4">
      <c r="A433" s="181">
        <f ca="1">IF($AT$35="YES",1,IF(_xll.ELCOMPN(Server&amp;$C$24,C433)&lt;&gt;0,1,IF(OR(B433=$AZ$35,B433="ALL"),1,0)))</f>
        <v>1</v>
      </c>
      <c r="B433" s="181" t="s">
        <v>484</v>
      </c>
      <c r="C433" s="116" t="s">
        <v>134</v>
      </c>
      <c r="E433" s="276" t="str">
        <f ca="1">_xll.DBRA(Server&amp;$C$24,$C433,$F$21)</f>
        <v>RESULTAT OPERATIONNEL APRES MF</v>
      </c>
      <c r="F433" s="276"/>
      <c r="G433" s="276"/>
      <c r="H433" s="40"/>
      <c r="I433" s="253" t="str">
        <f ca="1">_xll.DBRW(Server&amp;Cube1,$F$17,$F$18,$F$19,$F$16,$C$14,$F$15,$F$14,$F$20,I$2,I$1,$C433)</f>
        <v/>
      </c>
      <c r="J433" s="253" t="str">
        <f ca="1">_xll.DBRW(Server&amp;Cube1,$F$17,$F$18,$F$19,$F$16,$C$14,$F$15,$F$14,$F$20,J$2,J$1,$C433)</f>
        <v/>
      </c>
      <c r="K433" s="253" t="e">
        <f ca="1">_xll.DBRW(Server&amp;Cube1,$F$17,$F$18,$F$19,$F$16,$C$14,$F$15,$F$14,$F$20,I$2,I$1,$C433) -_xll.DBRW(Server&amp;Cube1,$F$17,$F$18,$F$19,$F$16,$C$14,$F$15,$F$14,$F$20,K$2,I$1,$C433)</f>
        <v>#VALUE!</v>
      </c>
      <c r="L433" s="253" t="e">
        <f ca="1">$K433+$J433</f>
        <v>#VALUE!</v>
      </c>
      <c r="M433" s="253" t="e">
        <f t="shared" ca="1" si="21"/>
        <v>#VALUE!</v>
      </c>
      <c r="N433" s="235"/>
      <c r="O433" s="253" t="str">
        <f ca="1">_xll.DBRW(Server&amp;Cube1,$F$17,$F$18,$F$19,$F$16,$C$14,$F$15,$F$14,$F$20,O$2,O$1,$C433)</f>
        <v/>
      </c>
      <c r="P433" s="235"/>
      <c r="Q433" s="240" t="str">
        <f ca="1">IF(_xll.ELCOMPN(Server&amp;$C$24,C433)=0,"YES","NO")</f>
        <v>NO</v>
      </c>
      <c r="R433" s="253"/>
      <c r="S433" s="235"/>
      <c r="T433" s="253" t="str">
        <f ca="1">_xll.DBRW(Server&amp;Cube1,$F$17,$F$18,$F$19,$F$16,$C$14,$F$15,$F$14,$F$20,T$2,$T$1,$C433)</f>
        <v/>
      </c>
      <c r="U433" s="253" t="str">
        <f ca="1">_xll.DBRW(Server&amp;Cube1,$F$17,$F$18,$F$19,$F$16,$C$14,$F$15,$F$14,$F$20,U$2,$U$1,$C433)</f>
        <v/>
      </c>
      <c r="V433" s="253" t="str">
        <f ca="1">_xll.DBRW(Server&amp;Cube1,$F$17,$F$18,$F$19,$F$16,$C$14,$F$15,$F$14,$F$20,V$2,V$1,$C433)</f>
        <v/>
      </c>
      <c r="W433" s="253" t="str">
        <f ca="1">_xll.DBRW(Server&amp;Cube1,$F$17,$F$18,$F$19,$F$16,$C$14,$F$15,$F$14,$F$20,W$2,W$1,$C433)</f>
        <v/>
      </c>
      <c r="X433" s="253" t="str">
        <f ca="1">_xll.DBRW(Server&amp;Cube1,$F$17,$F$18,$F$19,$F$16,$C$14,$F$15,$F$14,$F$20,X$2,X$1,$C433)</f>
        <v/>
      </c>
      <c r="Y433" s="253" t="str">
        <f ca="1">_xll.DBRW(Server&amp;Cube1,$F$17,$F$18,$F$19,$F$16,$C$14,$F$15,$F$14,$F$20,Y$2,Y$1,$C433)</f>
        <v/>
      </c>
      <c r="Z433" s="253" t="str">
        <f ca="1">_xll.DBRW(Server&amp;Cube1,$F$17,$F$18,$F$19,$F$16,$C$14,$F$15,$F$14,$F$20,Z$2,Z$1,$C433)</f>
        <v/>
      </c>
      <c r="AA433" s="253" t="str">
        <f ca="1">_xll.DBRW(Server&amp;Cube1,$F$17,$F$18,$F$19,$F$16,$C$14,$F$15,$F$14,$F$20,AA$2,AA$1,$C433)</f>
        <v/>
      </c>
      <c r="AB433" s="253" t="str">
        <f ca="1">_xll.DBRW(Server&amp;Cube1,$F$17,$F$18,$F$19,$F$16,$C$14,$F$15,$F$14,$F$20,AB$2,AB$1,$C433)</f>
        <v/>
      </c>
      <c r="AC433" s="253" t="str">
        <f ca="1">_xll.DBRW(Server&amp;Cube1,$F$17,$F$18,$F$19,$F$16,$C$14,$F$15,$F$14,$F$20,AC$2,AC$1,$C433)</f>
        <v/>
      </c>
      <c r="AD433" s="253" t="str">
        <f ca="1">_xll.DBRW(Server&amp;Cube1,$F$17,$F$18,$F$19,$F$16,$C$14,$F$15,$F$14,$F$20,AD$2,AD$1,$C433)</f>
        <v/>
      </c>
      <c r="AE433" s="253" t="str">
        <f ca="1">_xll.DBRW(Server&amp;Cube1,$F$17,$F$18,$F$19,$F$16,$C$14,$F$15,$F$14,$F$20,AE$2,AE$1,$C433)</f>
        <v/>
      </c>
      <c r="AF433" s="253" t="str">
        <f ca="1">_xll.DBRW(Server&amp;Cube1,$F$17,$F$18,$F$19,$F$16,$C$14,$F$15,$F$14,$F$20,AF$2,$AF$1,$C433)</f>
        <v/>
      </c>
      <c r="AG433" s="53"/>
      <c r="AH433" s="53"/>
      <c r="AI433" s="53"/>
      <c r="AJ433" s="53"/>
      <c r="AK433" s="53"/>
      <c r="AL433" s="53"/>
      <c r="AM433" s="53"/>
      <c r="AN433" s="53"/>
      <c r="AO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</row>
    <row r="434" spans="1:53" s="9" customFormat="1" ht="7.5" customHeight="1" thickBot="1" x14ac:dyDescent="0.4">
      <c r="A434" s="181" t="e">
        <f ca="1">IF($AT$35="YES",1,IF(_xll.ELCOMPN(Server&amp;$C$24,C434)&lt;&gt;0,1,IF(OR(B434=$AZ$35,B434="ALL"),1,0)))</f>
        <v>#VALUE!</v>
      </c>
      <c r="B434" s="181" t="s">
        <v>484</v>
      </c>
      <c r="C434" s="119"/>
      <c r="E434" s="101"/>
      <c r="F434" s="102"/>
      <c r="G434" s="89"/>
      <c r="H434" s="40"/>
      <c r="I434" s="224"/>
      <c r="J434" s="224"/>
      <c r="K434" s="224"/>
      <c r="L434" s="224"/>
      <c r="M434" s="224"/>
      <c r="N434" s="229"/>
      <c r="O434" s="229"/>
      <c r="P434" s="229"/>
      <c r="Q434" s="229"/>
      <c r="R434" s="229"/>
      <c r="S434" s="229"/>
      <c r="T434" s="229"/>
      <c r="U434" s="229"/>
      <c r="V434" s="229"/>
      <c r="W434" s="229"/>
      <c r="X434" s="229"/>
      <c r="Y434" s="229"/>
      <c r="Z434" s="229"/>
      <c r="AA434" s="229"/>
      <c r="AB434" s="229"/>
      <c r="AC434" s="229"/>
      <c r="AD434" s="229"/>
      <c r="AE434" s="229"/>
      <c r="AF434" s="229"/>
      <c r="AG434" s="53"/>
      <c r="AH434" s="53"/>
      <c r="AI434" s="53"/>
      <c r="AJ434" s="53"/>
      <c r="AK434" s="53"/>
      <c r="AL434" s="53"/>
      <c r="AM434" s="53"/>
      <c r="AN434" s="53"/>
      <c r="AO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</row>
    <row r="435" spans="1:53" s="9" customFormat="1" ht="24" customHeight="1" thickBot="1" x14ac:dyDescent="0.4">
      <c r="A435" s="181" t="e">
        <f ca="1">IF($AT$35="YES",1,IF(_xll.ELCOMPN(Server&amp;$C$24,C435)&lt;&gt;0,1,IF(OR(B435=$AZ$35,B435="ALL"),1,0)))</f>
        <v>#VALUE!</v>
      </c>
      <c r="B435" s="181" t="s">
        <v>484</v>
      </c>
      <c r="C435" s="116" t="s">
        <v>135</v>
      </c>
      <c r="E435" s="276" t="str">
        <f ca="1">_xll.DBRA(Server&amp;$C$24,$C435,$F$21)</f>
        <v>Total CAPEX</v>
      </c>
      <c r="F435" s="276"/>
      <c r="G435" s="276"/>
      <c r="H435" s="40"/>
      <c r="I435" s="253" t="str">
        <f ca="1">_xll.DBRW(Server&amp;Cube1,$F$17,$F$18,$F$19,$F$16,$C$14,$F$15,$F$14,$F$20,I$2,I$1,$C435)</f>
        <v/>
      </c>
      <c r="J435" s="253" t="str">
        <f ca="1">_xll.DBRW(Server&amp;Cube1,$F$17,$F$18,$F$19,$F$16,$C$14,$F$15,$F$14,$F$20,J$2,J$1,$C435)</f>
        <v/>
      </c>
      <c r="K435" s="253" t="e">
        <f ca="1">_xll.DBRW(Server&amp;Cube1,$F$17,$F$18,$F$19,$F$16,$C$14,$F$15,$F$14,$F$20,I$2,I$1,$C435) -_xll.DBRW(Server&amp;Cube1,$F$17,$F$18,$F$19,$F$16,$C$14,$F$15,$F$14,$F$20,K$2,I$1,$C435)</f>
        <v>#VALUE!</v>
      </c>
      <c r="L435" s="253" t="e">
        <f ca="1">$K435+$J435</f>
        <v>#VALUE!</v>
      </c>
      <c r="M435" s="253" t="e">
        <f t="shared" ca="1" si="21"/>
        <v>#VALUE!</v>
      </c>
      <c r="N435" s="235"/>
      <c r="O435" s="253" t="str">
        <f ca="1">_xll.DBRW(Server&amp;Cube1,$F$17,$F$18,$F$19,$F$16,$C$14,$F$15,$F$14,$F$20,O$2,O$1,$C435)</f>
        <v/>
      </c>
      <c r="P435" s="235"/>
      <c r="Q435" s="240" t="str">
        <f ca="1">IF(_xll.ELCOMPN(Server&amp;$C$24,C435)=0,"YES","NO")</f>
        <v>YES</v>
      </c>
      <c r="R435" s="253">
        <v>0</v>
      </c>
      <c r="S435" s="235"/>
      <c r="T435" s="253" t="str">
        <f ca="1">_xll.DBRW(Server&amp;Cube1,$F$17,$F$18,$F$19,$F$16,$C$14,$F$15,$F$14,$F$20,T$2,$T$1,$C435)</f>
        <v/>
      </c>
      <c r="U435" s="253" t="str">
        <f ca="1">_xll.DBRW(Server&amp;Cube1,$F$17,$F$18,$F$19,$F$16,$C$14,$F$15,$F$14,$F$20,U$2,$U$1,$C435)</f>
        <v/>
      </c>
      <c r="V435" s="253" t="str">
        <f ca="1">_xll.DBRW(Server&amp;Cube1,$F$17,$F$18,$F$19,$F$16,$C$14,$F$15,$F$14,$F$20,V$2,V$1,$C435)</f>
        <v/>
      </c>
      <c r="W435" s="253" t="str">
        <f ca="1">_xll.DBRW(Server&amp;Cube1,$F$17,$F$18,$F$19,$F$16,$C$14,$F$15,$F$14,$F$20,W$2,W$1,$C435)</f>
        <v/>
      </c>
      <c r="X435" s="253" t="str">
        <f ca="1">_xll.DBRW(Server&amp;Cube1,$F$17,$F$18,$F$19,$F$16,$C$14,$F$15,$F$14,$F$20,X$2,X$1,$C435)</f>
        <v/>
      </c>
      <c r="Y435" s="253" t="str">
        <f ca="1">_xll.DBRW(Server&amp;Cube1,$F$17,$F$18,$F$19,$F$16,$C$14,$F$15,$F$14,$F$20,Y$2,Y$1,$C435)</f>
        <v/>
      </c>
      <c r="Z435" s="253"/>
      <c r="AA435" s="253"/>
      <c r="AB435" s="253"/>
      <c r="AC435" s="253"/>
      <c r="AD435" s="253"/>
      <c r="AE435" s="253"/>
      <c r="AF435" s="253" t="str">
        <f ca="1">_xll.DBRW(Server&amp;Cube1,$F$17,$F$18,$F$19,$F$16,$C$14,$F$15,$F$14,$F$20,AF$2,$AF$1,$C435)</f>
        <v/>
      </c>
      <c r="AG435" s="53"/>
      <c r="AH435" s="53"/>
      <c r="AI435" s="53"/>
      <c r="AJ435" s="53"/>
      <c r="AK435" s="53"/>
      <c r="AL435" s="53"/>
      <c r="AM435" s="53"/>
      <c r="AN435" s="53"/>
      <c r="AO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</row>
    <row r="436" spans="1:53" s="9" customFormat="1" ht="9" customHeight="1" thickBot="1" x14ac:dyDescent="0.4">
      <c r="A436" s="181" t="e">
        <f ca="1">IF($AT$35="YES",1,IF(_xll.ELCOMPN(Server&amp;$C$24,C436)&lt;&gt;0,1,IF(OR(B436=$AZ$35,B436="ALL"),1,0)))</f>
        <v>#VALUE!</v>
      </c>
      <c r="B436" s="181" t="s">
        <v>484</v>
      </c>
      <c r="C436" s="119"/>
      <c r="E436" s="103"/>
      <c r="F436" s="104"/>
      <c r="G436" s="89"/>
      <c r="H436" s="40"/>
      <c r="I436" s="225"/>
      <c r="J436" s="225"/>
      <c r="K436" s="225"/>
      <c r="L436" s="225"/>
      <c r="M436" s="225"/>
      <c r="N436" s="235"/>
      <c r="O436" s="235"/>
      <c r="P436" s="235"/>
      <c r="Q436" s="235"/>
      <c r="R436" s="235"/>
      <c r="S436" s="235"/>
      <c r="T436" s="235"/>
      <c r="U436" s="235"/>
      <c r="V436" s="235"/>
      <c r="W436" s="235"/>
      <c r="X436" s="235"/>
      <c r="Y436" s="235"/>
      <c r="Z436" s="235"/>
      <c r="AA436" s="235"/>
      <c r="AB436" s="235"/>
      <c r="AC436" s="235"/>
      <c r="AD436" s="235"/>
      <c r="AE436" s="235"/>
      <c r="AF436" s="235"/>
      <c r="AG436" s="53"/>
      <c r="AH436" s="53"/>
      <c r="AI436" s="53"/>
      <c r="AJ436" s="53"/>
      <c r="AK436" s="53"/>
      <c r="AL436" s="53"/>
      <c r="AM436" s="53"/>
      <c r="AN436" s="53"/>
      <c r="AO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</row>
    <row r="437" spans="1:53" s="9" customFormat="1" ht="24" customHeight="1" thickBot="1" x14ac:dyDescent="0.4">
      <c r="A437" s="181" t="e">
        <f ca="1">IF($AT$35="YES",1,IF(_xll.ELCOMPN(Server&amp;$C$24,C437)&lt;&gt;0,1,IF(OR(B437=$AZ$35,B437="ALL"),1,0)))</f>
        <v>#VALUE!</v>
      </c>
      <c r="B437" s="181" t="s">
        <v>484</v>
      </c>
      <c r="C437" s="116" t="s">
        <v>131</v>
      </c>
      <c r="E437" s="276" t="str">
        <f ca="1">_xll.DBRA(Server&amp;$C$24,$C437,$F$21)</f>
        <v>CAFOP</v>
      </c>
      <c r="F437" s="276"/>
      <c r="G437" s="276"/>
      <c r="H437" s="40"/>
      <c r="I437" s="253" t="str">
        <f ca="1">_xll.DBRW(Server&amp;Cube1,$F$17,$F$18,$F$19,$F$16,$C$14,$F$15,$F$14,$F$20,I$2,I$1,$C437)</f>
        <v/>
      </c>
      <c r="J437" s="253" t="str">
        <f ca="1">_xll.DBRW(Server&amp;Cube1,$F$17,$F$18,$F$19,$F$16,$C$14,$F$15,$F$14,$F$20,J$2,J$1,$C437)</f>
        <v/>
      </c>
      <c r="K437" s="253" t="e">
        <f ca="1">_xll.DBRW(Server&amp;Cube1,$F$17,$F$18,$F$19,$F$16,$C$14,$F$15,$F$14,$F$20,I$2,I$1,$C437) -_xll.DBRW(Server&amp;Cube1,$F$17,$F$18,$F$19,$F$16,$C$14,$F$15,$F$14,$F$20,K$2,I$1,$C437)</f>
        <v>#VALUE!</v>
      </c>
      <c r="L437" s="253" t="e">
        <f ca="1">$K437+$J437</f>
        <v>#VALUE!</v>
      </c>
      <c r="M437" s="253" t="e">
        <f t="shared" ca="1" si="21"/>
        <v>#VALUE!</v>
      </c>
      <c r="N437" s="235"/>
      <c r="O437" s="253" t="str">
        <f ca="1">_xll.DBRW(Server&amp;Cube1,$F$17,$F$18,$F$19,$F$16,$C$14,$F$15,$F$14,$F$20,O$2,O$1,$C437)</f>
        <v/>
      </c>
      <c r="P437" s="235"/>
      <c r="Q437" s="240" t="str">
        <f ca="1">IF(_xll.ELCOMPN(Server&amp;$C$24,C437)=0,"YES","NO")</f>
        <v>YES</v>
      </c>
      <c r="R437" s="253"/>
      <c r="S437" s="235"/>
      <c r="T437" s="253" t="str">
        <f ca="1">_xll.DBRW(Server&amp;Cube1,$F$17,$F$18,$F$19,$F$16,$C$14,$F$15,$F$14,$F$20,T$2,$T$1,$C437)</f>
        <v/>
      </c>
      <c r="U437" s="253" t="str">
        <f ca="1">_xll.DBRW(Server&amp;Cube1,$F$17,$F$18,$F$19,$F$16,$C$14,$F$15,$F$14,$F$20,U$2,$U$1,$C437)</f>
        <v/>
      </c>
      <c r="V437" s="253" t="str">
        <f ca="1">_xll.DBRW(Server&amp;Cube1,$F$17,$F$18,$F$19,$F$16,$C$14,$F$15,$F$14,$F$20,V$2,V$1,$C437)</f>
        <v/>
      </c>
      <c r="W437" s="253" t="str">
        <f ca="1">_xll.DBRW(Server&amp;Cube1,$F$17,$F$18,$F$19,$F$16,$C$14,$F$15,$F$14,$F$20,W$2,W$1,$C437)</f>
        <v/>
      </c>
      <c r="X437" s="253" t="str">
        <f ca="1">_xll.DBRW(Server&amp;Cube1,$F$17,$F$18,$F$19,$F$16,$C$14,$F$15,$F$14,$F$20,X$2,X$1,$C437)</f>
        <v/>
      </c>
      <c r="Y437" s="253" t="str">
        <f ca="1">_xll.DBRW(Server&amp;Cube1,$F$17,$F$18,$F$19,$F$16,$C$14,$F$15,$F$14,$F$20,Y$2,Y$1,$C437)</f>
        <v/>
      </c>
      <c r="Z437" s="253" t="str">
        <f ca="1">_xll.DBRW(Server&amp;Cube1,$F$17,$F$18,$F$19,$F$16,$C$14,$F$15,$F$14,$F$20,Z$2,Z$1,$C437)</f>
        <v/>
      </c>
      <c r="AA437" s="253" t="str">
        <f ca="1">_xll.DBRW(Server&amp;Cube1,$F$17,$F$18,$F$19,$F$16,$C$14,$F$15,$F$14,$F$20,AA$2,AA$1,$C437)</f>
        <v/>
      </c>
      <c r="AB437" s="253" t="str">
        <f ca="1">_xll.DBRW(Server&amp;Cube1,$F$17,$F$18,$F$19,$F$16,$C$14,$F$15,$F$14,$F$20,AB$2,AB$1,$C437)</f>
        <v/>
      </c>
      <c r="AC437" s="253" t="str">
        <f ca="1">_xll.DBRW(Server&amp;Cube1,$F$17,$F$18,$F$19,$F$16,$C$14,$F$15,$F$14,$F$20,AC$2,AC$1,$C437)</f>
        <v/>
      </c>
      <c r="AD437" s="253" t="str">
        <f ca="1">_xll.DBRW(Server&amp;Cube1,$F$17,$F$18,$F$19,$F$16,$C$14,$F$15,$F$14,$F$20,AD$2,AD$1,$C437)</f>
        <v/>
      </c>
      <c r="AE437" s="253" t="str">
        <f ca="1">_xll.DBRW(Server&amp;Cube1,$F$17,$F$18,$F$19,$F$16,$C$14,$F$15,$F$14,$F$20,AE$2,AE$1,$C437)</f>
        <v/>
      </c>
      <c r="AF437" s="253" t="str">
        <f ca="1">_xll.DBRW(Server&amp;Cube1,$F$17,$F$18,$F$19,$F$16,$C$14,$F$15,$F$14,$F$20,AF$2,$AF$1,$C437)</f>
        <v/>
      </c>
      <c r="AG437" s="53"/>
      <c r="AH437" s="53"/>
      <c r="AI437" s="53"/>
      <c r="AJ437" s="53"/>
      <c r="AK437" s="53"/>
      <c r="AL437" s="53"/>
      <c r="AM437" s="53"/>
      <c r="AN437" s="53"/>
      <c r="AO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</row>
    <row r="438" spans="1:53" ht="22.5" customHeight="1" x14ac:dyDescent="0.35">
      <c r="C438" s="121"/>
      <c r="D438" s="57"/>
      <c r="E438" s="105"/>
      <c r="F438" s="105"/>
      <c r="G438" s="105"/>
      <c r="H438" s="82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54"/>
      <c r="V438" s="54"/>
      <c r="W438" s="139"/>
      <c r="X438" s="139"/>
      <c r="Y438" s="54"/>
      <c r="Z438" s="54"/>
      <c r="AA438" s="54"/>
      <c r="AB438" s="54"/>
      <c r="AC438" s="54"/>
      <c r="AD438" s="54"/>
      <c r="AE438" s="54"/>
      <c r="AF438" s="54"/>
      <c r="AG438" s="53"/>
      <c r="AH438" s="53"/>
      <c r="AI438" s="53"/>
      <c r="AJ438" s="53"/>
      <c r="AK438" s="53"/>
      <c r="AL438" s="53"/>
      <c r="AM438" s="53"/>
      <c r="AN438" s="53"/>
      <c r="AO438" s="53"/>
      <c r="AP438" s="9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</row>
    <row r="439" spans="1:53" ht="10.5" customHeight="1" x14ac:dyDescent="0.3">
      <c r="C439" s="122"/>
      <c r="D439" s="57"/>
      <c r="E439" s="42"/>
      <c r="F439" s="42"/>
      <c r="G439" s="42"/>
      <c r="H439" s="43"/>
      <c r="I439" s="140"/>
      <c r="J439" s="140"/>
      <c r="K439" s="141"/>
      <c r="L439" s="141"/>
      <c r="M439" s="126"/>
      <c r="N439" s="126"/>
      <c r="O439" s="126"/>
      <c r="P439" s="126"/>
      <c r="Q439" s="126"/>
      <c r="R439" s="126"/>
      <c r="S439" s="126"/>
      <c r="T439" s="126"/>
      <c r="U439" s="10"/>
      <c r="V439" s="10"/>
      <c r="W439" s="126"/>
      <c r="X439" s="126"/>
      <c r="Y439" s="10"/>
      <c r="Z439" s="10"/>
      <c r="AA439" s="10"/>
      <c r="AB439" s="10"/>
      <c r="AC439" s="10"/>
      <c r="AD439" s="10"/>
      <c r="AE439" s="10"/>
      <c r="AF439" s="10"/>
      <c r="AG439" s="53"/>
      <c r="AH439" s="53"/>
      <c r="AI439" s="53"/>
      <c r="AJ439" s="53"/>
      <c r="AK439" s="53"/>
      <c r="AL439" s="53"/>
      <c r="AM439" s="53"/>
      <c r="AN439" s="53"/>
      <c r="AO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</row>
    <row r="440" spans="1:53" ht="22.5" customHeight="1" x14ac:dyDescent="0.3">
      <c r="C440" s="83"/>
      <c r="D440" s="24"/>
      <c r="E440" s="42"/>
      <c r="F440" s="42"/>
      <c r="G440" s="42"/>
      <c r="H440" s="43"/>
      <c r="I440" s="41"/>
      <c r="J440" s="41"/>
      <c r="K440" s="44"/>
      <c r="L440" s="44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</row>
    <row r="441" spans="1:53" s="46" customFormat="1" ht="20.25" customHeight="1" thickBot="1" x14ac:dyDescent="0.35">
      <c r="A441" s="163"/>
      <c r="B441" s="163"/>
      <c r="C441" s="26" t="s">
        <v>10</v>
      </c>
      <c r="D441" s="45"/>
      <c r="E441" s="11" t="str">
        <f ca="1">_xll.DBRA(Server&amp;$AP$11,C441,$AP$10)</f>
        <v>Commentaires</v>
      </c>
      <c r="F441" s="11"/>
      <c r="G441" s="8"/>
      <c r="H441" s="4"/>
      <c r="I441" s="12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</row>
    <row r="442" spans="1:53" s="46" customFormat="1" ht="23.25" customHeight="1" x14ac:dyDescent="0.2">
      <c r="A442" s="163"/>
      <c r="B442" s="163"/>
      <c r="C442" s="26" t="s">
        <v>28</v>
      </c>
      <c r="D442" s="45"/>
      <c r="E442" s="281"/>
      <c r="F442" s="282"/>
      <c r="G442" s="282"/>
      <c r="H442" s="282"/>
      <c r="I442" s="282"/>
      <c r="J442" s="282"/>
      <c r="K442" s="282"/>
      <c r="L442" s="282"/>
      <c r="M442" s="282"/>
      <c r="N442" s="282"/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  <c r="AF442" s="282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</row>
    <row r="443" spans="1:53" s="46" customFormat="1" ht="23.25" customHeight="1" x14ac:dyDescent="0.2">
      <c r="A443" s="163"/>
      <c r="B443" s="163"/>
      <c r="C443" s="26" t="s">
        <v>29</v>
      </c>
      <c r="D443" s="45"/>
      <c r="E443" s="277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8"/>
      <c r="R443" s="278"/>
      <c r="S443" s="278"/>
      <c r="T443" s="278"/>
      <c r="U443" s="278"/>
      <c r="V443" s="278"/>
      <c r="W443" s="278"/>
      <c r="X443" s="278"/>
      <c r="Y443" s="278"/>
      <c r="Z443" s="278"/>
      <c r="AA443" s="278"/>
      <c r="AB443" s="278"/>
      <c r="AC443" s="278"/>
      <c r="AD443" s="278"/>
      <c r="AE443" s="278"/>
      <c r="AF443" s="278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</row>
    <row r="444" spans="1:53" s="46" customFormat="1" ht="23.25" customHeight="1" x14ac:dyDescent="0.2">
      <c r="A444" s="163"/>
      <c r="B444" s="163"/>
      <c r="C444" s="26" t="s">
        <v>30</v>
      </c>
      <c r="D444" s="45"/>
      <c r="E444" s="277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8"/>
      <c r="R444" s="278"/>
      <c r="S444" s="278"/>
      <c r="T444" s="278"/>
      <c r="U444" s="278"/>
      <c r="V444" s="278"/>
      <c r="W444" s="278"/>
      <c r="X444" s="278"/>
      <c r="Y444" s="278"/>
      <c r="Z444" s="278"/>
      <c r="AA444" s="278"/>
      <c r="AB444" s="278"/>
      <c r="AC444" s="278"/>
      <c r="AD444" s="278"/>
      <c r="AE444" s="278"/>
      <c r="AF444" s="278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</row>
    <row r="445" spans="1:53" s="46" customFormat="1" ht="23.25" customHeight="1" thickBot="1" x14ac:dyDescent="0.25">
      <c r="A445" s="163"/>
      <c r="B445" s="163"/>
      <c r="C445" s="26" t="s">
        <v>31</v>
      </c>
      <c r="D445" s="45"/>
      <c r="E445" s="279"/>
      <c r="F445" s="280"/>
      <c r="G445" s="280"/>
      <c r="H445" s="280"/>
      <c r="I445" s="280"/>
      <c r="J445" s="280"/>
      <c r="K445" s="280"/>
      <c r="L445" s="280"/>
      <c r="M445" s="280"/>
      <c r="N445" s="280"/>
      <c r="O445" s="280"/>
      <c r="P445" s="280"/>
      <c r="Q445" s="280"/>
      <c r="R445" s="280"/>
      <c r="S445" s="280"/>
      <c r="T445" s="280"/>
      <c r="U445" s="280"/>
      <c r="V445" s="280"/>
      <c r="W445" s="280"/>
      <c r="X445" s="280"/>
      <c r="Y445" s="280"/>
      <c r="Z445" s="280"/>
      <c r="AA445" s="280"/>
      <c r="AB445" s="280"/>
      <c r="AC445" s="280"/>
      <c r="AD445" s="280"/>
      <c r="AE445" s="280"/>
      <c r="AF445" s="280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</row>
    <row r="446" spans="1:53" s="46" customFormat="1" ht="12.75" x14ac:dyDescent="0.2">
      <c r="A446" s="163"/>
      <c r="B446" s="163"/>
      <c r="C446" s="26"/>
      <c r="D446" s="45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</row>
    <row r="447" spans="1:53" s="46" customFormat="1" ht="12.75" x14ac:dyDescent="0.2">
      <c r="A447" s="163"/>
      <c r="B447" s="163"/>
      <c r="C447" s="26"/>
      <c r="D447" s="45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</row>
    <row r="448" spans="1:53" s="46" customFormat="1" ht="12.75" x14ac:dyDescent="0.2">
      <c r="A448" s="163"/>
      <c r="B448" s="163"/>
      <c r="C448" s="26"/>
      <c r="D448" s="45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</row>
    <row r="449" spans="1:32" s="23" customFormat="1" ht="12.75" x14ac:dyDescent="0.2">
      <c r="A449" s="163"/>
      <c r="B449" s="163"/>
      <c r="C449" s="26"/>
      <c r="D449" s="24"/>
      <c r="J449" s="53"/>
      <c r="L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</row>
    <row r="450" spans="1:32" s="23" customFormat="1" ht="18" customHeight="1" x14ac:dyDescent="0.2">
      <c r="A450" s="163"/>
      <c r="B450" s="163"/>
      <c r="C450" s="26"/>
      <c r="D450" s="24"/>
      <c r="J450" s="53"/>
      <c r="L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</row>
    <row r="451" spans="1:32" s="23" customFormat="1" ht="18" customHeight="1" x14ac:dyDescent="0.2">
      <c r="A451" s="163"/>
      <c r="B451" s="163"/>
      <c r="J451" s="53"/>
      <c r="L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</row>
    <row r="452" spans="1:32" s="23" customFormat="1" ht="18" customHeight="1" x14ac:dyDescent="0.2">
      <c r="A452" s="163"/>
      <c r="B452" s="163"/>
      <c r="J452" s="53"/>
      <c r="L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</row>
    <row r="453" spans="1:32" s="23" customFormat="1" ht="18" customHeight="1" x14ac:dyDescent="0.2">
      <c r="A453" s="163"/>
      <c r="B453" s="163"/>
      <c r="J453" s="53"/>
      <c r="L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</row>
    <row r="454" spans="1:32" s="23" customFormat="1" ht="18" customHeight="1" x14ac:dyDescent="0.2">
      <c r="A454" s="163"/>
      <c r="B454" s="163"/>
      <c r="J454" s="53"/>
      <c r="L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</row>
    <row r="455" spans="1:32" s="23" customFormat="1" ht="18" customHeight="1" x14ac:dyDescent="0.2">
      <c r="A455" s="163"/>
      <c r="B455" s="163"/>
      <c r="C455" s="55"/>
      <c r="J455" s="53"/>
      <c r="L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</row>
    <row r="456" spans="1:32" s="23" customFormat="1" ht="18" customHeight="1" x14ac:dyDescent="0.2">
      <c r="A456" s="163"/>
      <c r="B456" s="163"/>
      <c r="J456" s="53"/>
      <c r="L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</row>
    <row r="457" spans="1:32" s="23" customFormat="1" ht="18" customHeight="1" x14ac:dyDescent="0.2">
      <c r="A457" s="163"/>
      <c r="B457" s="163"/>
      <c r="J457" s="53"/>
      <c r="L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</row>
    <row r="458" spans="1:32" s="23" customFormat="1" ht="18" customHeight="1" x14ac:dyDescent="0.2">
      <c r="A458" s="163"/>
      <c r="B458" s="163"/>
      <c r="J458" s="53"/>
      <c r="L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</row>
    <row r="459" spans="1:32" s="23" customFormat="1" ht="18" customHeight="1" x14ac:dyDescent="0.2">
      <c r="A459" s="163"/>
      <c r="B459" s="163"/>
      <c r="J459" s="53"/>
      <c r="L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</row>
    <row r="460" spans="1:32" s="23" customFormat="1" ht="18" customHeight="1" x14ac:dyDescent="0.2">
      <c r="A460" s="163"/>
      <c r="B460" s="163"/>
      <c r="J460" s="53"/>
      <c r="L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</row>
    <row r="461" spans="1:32" s="23" customFormat="1" ht="18" customHeight="1" x14ac:dyDescent="0.2">
      <c r="A461" s="163"/>
      <c r="B461" s="163"/>
      <c r="J461" s="53"/>
      <c r="L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</row>
    <row r="462" spans="1:32" s="23" customFormat="1" ht="18" customHeight="1" x14ac:dyDescent="0.2">
      <c r="A462" s="163"/>
      <c r="B462" s="163"/>
      <c r="J462" s="53"/>
      <c r="L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</row>
    <row r="463" spans="1:32" s="23" customFormat="1" ht="18" customHeight="1" x14ac:dyDescent="0.2">
      <c r="A463" s="163"/>
      <c r="B463" s="163"/>
      <c r="J463" s="53"/>
      <c r="L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</row>
    <row r="464" spans="1:32" s="23" customFormat="1" ht="18" customHeight="1" x14ac:dyDescent="0.2">
      <c r="A464" s="163"/>
      <c r="B464" s="163"/>
      <c r="J464" s="53"/>
      <c r="L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</row>
    <row r="465" spans="1:32" s="23" customFormat="1" ht="18" customHeight="1" x14ac:dyDescent="0.2">
      <c r="A465" s="163"/>
      <c r="B465" s="163"/>
      <c r="J465" s="53"/>
      <c r="L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</row>
    <row r="466" spans="1:32" s="23" customFormat="1" ht="18" customHeight="1" x14ac:dyDescent="0.2">
      <c r="A466" s="163"/>
      <c r="B466" s="163"/>
      <c r="J466" s="53"/>
      <c r="L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</row>
    <row r="467" spans="1:32" s="23" customFormat="1" ht="18" customHeight="1" x14ac:dyDescent="0.2">
      <c r="A467" s="163"/>
      <c r="B467" s="163"/>
      <c r="J467" s="53"/>
      <c r="L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</row>
    <row r="468" spans="1:32" s="23" customFormat="1" ht="18" customHeight="1" x14ac:dyDescent="0.2">
      <c r="A468" s="163"/>
      <c r="B468" s="163"/>
      <c r="J468" s="53"/>
      <c r="L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</row>
    <row r="469" spans="1:32" s="23" customFormat="1" ht="18" customHeight="1" x14ac:dyDescent="0.2">
      <c r="A469" s="163"/>
      <c r="B469" s="163"/>
      <c r="J469" s="53"/>
      <c r="L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</row>
    <row r="470" spans="1:32" s="23" customFormat="1" ht="18" customHeight="1" x14ac:dyDescent="0.2">
      <c r="A470" s="163"/>
      <c r="B470" s="163"/>
      <c r="J470" s="53"/>
      <c r="L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</row>
    <row r="471" spans="1:32" s="23" customFormat="1" ht="18" customHeight="1" x14ac:dyDescent="0.2">
      <c r="A471" s="163"/>
      <c r="B471" s="163"/>
      <c r="J471" s="53"/>
      <c r="L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</row>
    <row r="472" spans="1:32" s="23" customFormat="1" ht="18" customHeight="1" x14ac:dyDescent="0.2">
      <c r="A472" s="163"/>
      <c r="B472" s="163"/>
      <c r="J472" s="53"/>
      <c r="L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</row>
    <row r="473" spans="1:32" s="23" customFormat="1" ht="18" customHeight="1" x14ac:dyDescent="0.2">
      <c r="A473" s="163"/>
      <c r="B473" s="163"/>
      <c r="J473" s="53"/>
      <c r="L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</row>
    <row r="474" spans="1:32" s="23" customFormat="1" ht="18" customHeight="1" x14ac:dyDescent="0.2">
      <c r="A474" s="163"/>
      <c r="B474" s="163"/>
      <c r="J474" s="53"/>
      <c r="L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</row>
    <row r="475" spans="1:32" s="23" customFormat="1" ht="18" customHeight="1" x14ac:dyDescent="0.2">
      <c r="A475" s="163"/>
      <c r="B475" s="163"/>
      <c r="J475" s="53"/>
      <c r="L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</row>
    <row r="476" spans="1:32" s="23" customFormat="1" ht="18" customHeight="1" x14ac:dyDescent="0.2">
      <c r="A476" s="163"/>
      <c r="B476" s="163"/>
      <c r="J476" s="53"/>
      <c r="L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</row>
    <row r="477" spans="1:32" s="23" customFormat="1" ht="18" customHeight="1" x14ac:dyDescent="0.2">
      <c r="A477" s="163"/>
      <c r="B477" s="163"/>
      <c r="J477" s="53"/>
      <c r="L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</row>
    <row r="478" spans="1:32" s="23" customFormat="1" ht="18" customHeight="1" x14ac:dyDescent="0.2">
      <c r="A478" s="163"/>
      <c r="B478" s="163"/>
      <c r="J478" s="53"/>
      <c r="L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</row>
    <row r="479" spans="1:32" s="23" customFormat="1" ht="18" customHeight="1" x14ac:dyDescent="0.2">
      <c r="A479" s="163"/>
      <c r="B479" s="163"/>
      <c r="J479" s="53"/>
      <c r="L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</row>
    <row r="480" spans="1:32" s="23" customFormat="1" ht="18" customHeight="1" x14ac:dyDescent="0.2">
      <c r="A480" s="163"/>
      <c r="B480" s="163"/>
      <c r="J480" s="53"/>
      <c r="L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</row>
    <row r="481" spans="1:32" s="23" customFormat="1" ht="18" customHeight="1" x14ac:dyDescent="0.2">
      <c r="A481" s="163"/>
      <c r="B481" s="163"/>
      <c r="J481" s="53"/>
      <c r="L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</row>
    <row r="482" spans="1:32" s="23" customFormat="1" ht="18" customHeight="1" x14ac:dyDescent="0.2">
      <c r="A482" s="163"/>
      <c r="B482" s="163"/>
      <c r="J482" s="53"/>
      <c r="L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</row>
    <row r="483" spans="1:32" s="23" customFormat="1" ht="18" customHeight="1" x14ac:dyDescent="0.2">
      <c r="A483" s="163"/>
      <c r="B483" s="163"/>
      <c r="J483" s="53"/>
      <c r="L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</row>
    <row r="484" spans="1:32" s="23" customFormat="1" ht="18" customHeight="1" x14ac:dyDescent="0.2">
      <c r="A484" s="163"/>
      <c r="B484" s="163"/>
      <c r="J484" s="53"/>
      <c r="L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</row>
    <row r="485" spans="1:32" s="23" customFormat="1" ht="18" customHeight="1" x14ac:dyDescent="0.2">
      <c r="A485" s="163"/>
      <c r="B485" s="163"/>
      <c r="J485" s="53"/>
      <c r="L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</row>
    <row r="486" spans="1:32" s="23" customFormat="1" ht="18" customHeight="1" x14ac:dyDescent="0.2">
      <c r="A486" s="163"/>
      <c r="B486" s="163"/>
      <c r="J486" s="53"/>
      <c r="L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</row>
    <row r="487" spans="1:32" s="23" customFormat="1" ht="18" customHeight="1" x14ac:dyDescent="0.2">
      <c r="A487" s="163"/>
      <c r="B487" s="163"/>
      <c r="J487" s="53"/>
      <c r="L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</row>
    <row r="488" spans="1:32" s="23" customFormat="1" ht="18" customHeight="1" x14ac:dyDescent="0.2">
      <c r="A488" s="163"/>
      <c r="B488" s="163"/>
      <c r="J488" s="53"/>
      <c r="L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</row>
    <row r="489" spans="1:32" s="23" customFormat="1" ht="18" customHeight="1" x14ac:dyDescent="0.2">
      <c r="A489" s="163"/>
      <c r="B489" s="163"/>
      <c r="J489" s="53"/>
      <c r="L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</row>
    <row r="490" spans="1:32" s="23" customFormat="1" ht="18" customHeight="1" x14ac:dyDescent="0.2">
      <c r="A490" s="163"/>
      <c r="B490" s="163"/>
      <c r="J490" s="53"/>
      <c r="L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</row>
    <row r="491" spans="1:32" s="23" customFormat="1" ht="18" customHeight="1" x14ac:dyDescent="0.2">
      <c r="A491" s="163"/>
      <c r="B491" s="163"/>
      <c r="J491" s="53"/>
      <c r="L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</row>
    <row r="492" spans="1:32" s="23" customFormat="1" ht="18" customHeight="1" x14ac:dyDescent="0.2">
      <c r="A492" s="163"/>
      <c r="B492" s="163"/>
      <c r="J492" s="53"/>
      <c r="L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</row>
    <row r="493" spans="1:32" s="23" customFormat="1" ht="18" customHeight="1" x14ac:dyDescent="0.2">
      <c r="A493" s="163"/>
      <c r="B493" s="163"/>
      <c r="J493" s="53"/>
      <c r="L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</row>
    <row r="494" spans="1:32" s="23" customFormat="1" ht="18" customHeight="1" x14ac:dyDescent="0.2">
      <c r="A494" s="163"/>
      <c r="B494" s="163"/>
      <c r="J494" s="53"/>
      <c r="L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</row>
    <row r="495" spans="1:32" s="23" customFormat="1" ht="18" customHeight="1" x14ac:dyDescent="0.2">
      <c r="A495" s="163"/>
      <c r="B495" s="163"/>
      <c r="J495" s="53"/>
      <c r="L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</row>
    <row r="496" spans="1:32" s="23" customFormat="1" ht="18" customHeight="1" x14ac:dyDescent="0.2">
      <c r="A496" s="163"/>
      <c r="B496" s="163"/>
      <c r="J496" s="53"/>
      <c r="L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</row>
    <row r="497" spans="1:32" s="23" customFormat="1" ht="18" customHeight="1" x14ac:dyDescent="0.2">
      <c r="A497" s="163"/>
      <c r="B497" s="163"/>
      <c r="J497" s="53"/>
      <c r="L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</row>
    <row r="498" spans="1:32" s="23" customFormat="1" ht="18" customHeight="1" x14ac:dyDescent="0.2">
      <c r="A498" s="163"/>
      <c r="B498" s="163"/>
      <c r="J498" s="53"/>
      <c r="L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</row>
    <row r="499" spans="1:32" s="23" customFormat="1" ht="18" customHeight="1" x14ac:dyDescent="0.2">
      <c r="A499" s="163"/>
      <c r="B499" s="163"/>
      <c r="J499" s="53"/>
      <c r="L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</row>
    <row r="500" spans="1:32" s="23" customFormat="1" ht="18" customHeight="1" x14ac:dyDescent="0.2">
      <c r="A500" s="163"/>
      <c r="B500" s="163"/>
      <c r="J500" s="53"/>
      <c r="L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</row>
    <row r="501" spans="1:32" s="23" customFormat="1" ht="18" customHeight="1" x14ac:dyDescent="0.2">
      <c r="A501" s="163"/>
      <c r="B501" s="163"/>
      <c r="J501" s="53"/>
      <c r="L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</row>
    <row r="502" spans="1:32" s="23" customFormat="1" ht="18" customHeight="1" x14ac:dyDescent="0.2">
      <c r="A502" s="163"/>
      <c r="B502" s="163"/>
      <c r="J502" s="53"/>
      <c r="L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</row>
    <row r="503" spans="1:32" s="23" customFormat="1" ht="18" customHeight="1" x14ac:dyDescent="0.2">
      <c r="A503" s="163"/>
      <c r="B503" s="163"/>
      <c r="J503" s="53"/>
      <c r="L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</row>
    <row r="504" spans="1:32" s="23" customFormat="1" ht="18" customHeight="1" x14ac:dyDescent="0.2">
      <c r="A504" s="163"/>
      <c r="B504" s="163"/>
      <c r="J504" s="53"/>
      <c r="L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</row>
    <row r="505" spans="1:32" s="23" customFormat="1" ht="18" customHeight="1" x14ac:dyDescent="0.2">
      <c r="A505" s="163"/>
      <c r="B505" s="163"/>
      <c r="J505" s="53"/>
      <c r="L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</row>
    <row r="506" spans="1:32" s="23" customFormat="1" ht="18" customHeight="1" x14ac:dyDescent="0.2">
      <c r="A506" s="163"/>
      <c r="B506" s="163"/>
      <c r="J506" s="53"/>
      <c r="L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</row>
    <row r="507" spans="1:32" s="23" customFormat="1" ht="18" customHeight="1" x14ac:dyDescent="0.2">
      <c r="A507" s="163"/>
      <c r="B507" s="163"/>
      <c r="J507" s="53"/>
      <c r="L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</row>
    <row r="508" spans="1:32" s="23" customFormat="1" ht="18" customHeight="1" x14ac:dyDescent="0.2">
      <c r="A508" s="163"/>
      <c r="B508" s="163"/>
      <c r="J508" s="53"/>
      <c r="L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</row>
    <row r="509" spans="1:32" s="23" customFormat="1" ht="18" customHeight="1" x14ac:dyDescent="0.2">
      <c r="A509" s="163"/>
      <c r="B509" s="163"/>
      <c r="J509" s="53"/>
      <c r="L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</row>
    <row r="510" spans="1:32" s="23" customFormat="1" ht="18" customHeight="1" x14ac:dyDescent="0.2">
      <c r="A510" s="163"/>
      <c r="B510" s="163"/>
      <c r="J510" s="53"/>
      <c r="L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</row>
    <row r="511" spans="1:32" s="23" customFormat="1" ht="18" customHeight="1" x14ac:dyDescent="0.2">
      <c r="A511" s="163"/>
      <c r="B511" s="163"/>
      <c r="J511" s="53"/>
      <c r="L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</row>
    <row r="512" spans="1:32" s="23" customFormat="1" ht="18" customHeight="1" x14ac:dyDescent="0.2">
      <c r="A512" s="163"/>
      <c r="B512" s="163"/>
      <c r="J512" s="53"/>
      <c r="L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</row>
    <row r="513" spans="1:32" s="23" customFormat="1" ht="18" customHeight="1" x14ac:dyDescent="0.2">
      <c r="A513" s="163"/>
      <c r="B513" s="163"/>
      <c r="J513" s="53"/>
      <c r="L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</row>
    <row r="514" spans="1:32" s="23" customFormat="1" ht="18" customHeight="1" x14ac:dyDescent="0.2">
      <c r="A514" s="163"/>
      <c r="B514" s="163"/>
      <c r="J514" s="53"/>
      <c r="L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</row>
    <row r="515" spans="1:32" s="23" customFormat="1" ht="18" customHeight="1" x14ac:dyDescent="0.2">
      <c r="A515" s="163"/>
      <c r="B515" s="163"/>
      <c r="J515" s="53"/>
      <c r="L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</row>
    <row r="516" spans="1:32" s="23" customFormat="1" ht="18" customHeight="1" x14ac:dyDescent="0.2">
      <c r="A516" s="163"/>
      <c r="B516" s="163"/>
      <c r="J516" s="53"/>
      <c r="L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</row>
    <row r="517" spans="1:32" s="23" customFormat="1" ht="18" customHeight="1" x14ac:dyDescent="0.2">
      <c r="A517" s="163"/>
      <c r="B517" s="163"/>
      <c r="J517" s="53"/>
      <c r="L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</row>
  </sheetData>
  <sheetProtection password="D70F" sheet="1" objects="1" scenarios="1" formatColumns="0" formatRows="0"/>
  <protectedRanges>
    <protectedRange sqref="G442:AF444" name="Commentaires"/>
  </protectedRanges>
  <mergeCells count="457">
    <mergeCell ref="AF22:AF23"/>
    <mergeCell ref="V22:V23"/>
    <mergeCell ref="AF9:AF10"/>
    <mergeCell ref="AD9:AD10"/>
    <mergeCell ref="T20:AF21"/>
    <mergeCell ref="T22:T23"/>
    <mergeCell ref="L22:L23"/>
    <mergeCell ref="M18:M19"/>
    <mergeCell ref="I20:M21"/>
    <mergeCell ref="O22:O23"/>
    <mergeCell ref="R22:R23"/>
    <mergeCell ref="Q22:Q23"/>
    <mergeCell ref="O20:R21"/>
    <mergeCell ref="F9:AC10"/>
    <mergeCell ref="P22:P23"/>
    <mergeCell ref="E444:AF444"/>
    <mergeCell ref="E445:AF445"/>
    <mergeCell ref="E443:AF443"/>
    <mergeCell ref="E442:AF442"/>
    <mergeCell ref="AR27:AT27"/>
    <mergeCell ref="E30:G30"/>
    <mergeCell ref="E31:G31"/>
    <mergeCell ref="E32:G32"/>
    <mergeCell ref="E33:G33"/>
    <mergeCell ref="E34:G34"/>
    <mergeCell ref="E35:G35"/>
    <mergeCell ref="E49:G49"/>
    <mergeCell ref="E63:G63"/>
    <mergeCell ref="E148:G148"/>
    <mergeCell ref="E437:G437"/>
    <mergeCell ref="E77:G77"/>
    <mergeCell ref="E27:G27"/>
    <mergeCell ref="AR34:AT34"/>
    <mergeCell ref="E105:G105"/>
    <mergeCell ref="E106:G106"/>
    <mergeCell ref="E120:G120"/>
    <mergeCell ref="E134:G134"/>
    <mergeCell ref="E91:G91"/>
    <mergeCell ref="E96:G96"/>
    <mergeCell ref="E97:G97"/>
    <mergeCell ref="E98:G98"/>
    <mergeCell ref="E99:G99"/>
    <mergeCell ref="E100:G100"/>
    <mergeCell ref="E101:G101"/>
    <mergeCell ref="E102:G102"/>
    <mergeCell ref="E103:G103"/>
    <mergeCell ref="E104:G104"/>
    <mergeCell ref="E107:G107"/>
    <mergeCell ref="E108:G108"/>
    <mergeCell ref="E295:G295"/>
    <mergeCell ref="E324:G324"/>
    <mergeCell ref="E251:G251"/>
    <mergeCell ref="E266:G266"/>
    <mergeCell ref="E280:G280"/>
    <mergeCell ref="E296:G296"/>
    <mergeCell ref="E310:G310"/>
    <mergeCell ref="E253:G253"/>
    <mergeCell ref="E254:G254"/>
    <mergeCell ref="E255:G255"/>
    <mergeCell ref="E256:G256"/>
    <mergeCell ref="E257:G257"/>
    <mergeCell ref="E258:G258"/>
    <mergeCell ref="E259:G259"/>
    <mergeCell ref="E260:G260"/>
    <mergeCell ref="E261:G261"/>
    <mergeCell ref="E294:G294"/>
    <mergeCell ref="E225:G225"/>
    <mergeCell ref="E226:G226"/>
    <mergeCell ref="E227:G227"/>
    <mergeCell ref="E228:G228"/>
    <mergeCell ref="E229:G229"/>
    <mergeCell ref="E230:G230"/>
    <mergeCell ref="E162:G162"/>
    <mergeCell ref="E176:G176"/>
    <mergeCell ref="E190:G190"/>
    <mergeCell ref="E204:G204"/>
    <mergeCell ref="E218:G218"/>
    <mergeCell ref="E163:G163"/>
    <mergeCell ref="E164:G164"/>
    <mergeCell ref="E165:G165"/>
    <mergeCell ref="E166:G166"/>
    <mergeCell ref="E167:G167"/>
    <mergeCell ref="E168:G168"/>
    <mergeCell ref="E169:G169"/>
    <mergeCell ref="E170:G170"/>
    <mergeCell ref="E171:G171"/>
    <mergeCell ref="E172:G172"/>
    <mergeCell ref="E173:G173"/>
    <mergeCell ref="E180:G180"/>
    <mergeCell ref="E181:G181"/>
    <mergeCell ref="E182:G182"/>
    <mergeCell ref="E183:G183"/>
    <mergeCell ref="E184:G184"/>
    <mergeCell ref="E174:G174"/>
    <mergeCell ref="E175:G175"/>
    <mergeCell ref="E177:G177"/>
    <mergeCell ref="E427:G427"/>
    <mergeCell ref="E431:G431"/>
    <mergeCell ref="E433:G433"/>
    <mergeCell ref="E435:G435"/>
    <mergeCell ref="E420:G420"/>
    <mergeCell ref="E422:G422"/>
    <mergeCell ref="E424:G424"/>
    <mergeCell ref="E423:G423"/>
    <mergeCell ref="E425:G425"/>
    <mergeCell ref="E429:G429"/>
    <mergeCell ref="E430:G430"/>
    <mergeCell ref="E37:G37"/>
    <mergeCell ref="E38:G38"/>
    <mergeCell ref="E39:G39"/>
    <mergeCell ref="E40:G40"/>
    <mergeCell ref="E41:G41"/>
    <mergeCell ref="AD22:AD23"/>
    <mergeCell ref="AE22:AE23"/>
    <mergeCell ref="E28:G28"/>
    <mergeCell ref="E29:G29"/>
    <mergeCell ref="E36:G36"/>
    <mergeCell ref="U22:U23"/>
    <mergeCell ref="Z22:Z23"/>
    <mergeCell ref="AA22:AA23"/>
    <mergeCell ref="AB22:AB23"/>
    <mergeCell ref="AC22:AC23"/>
    <mergeCell ref="E25:G25"/>
    <mergeCell ref="E26:G26"/>
    <mergeCell ref="I22:I23"/>
    <mergeCell ref="J22:J23"/>
    <mergeCell ref="K22:K23"/>
    <mergeCell ref="M22:M23"/>
    <mergeCell ref="W22:W23"/>
    <mergeCell ref="X22:X23"/>
    <mergeCell ref="Y22:Y23"/>
    <mergeCell ref="E47:G47"/>
    <mergeCell ref="E48:G48"/>
    <mergeCell ref="E50:G50"/>
    <mergeCell ref="E51:G51"/>
    <mergeCell ref="E52:G52"/>
    <mergeCell ref="E42:G42"/>
    <mergeCell ref="E43:G43"/>
    <mergeCell ref="E44:G44"/>
    <mergeCell ref="E45:G45"/>
    <mergeCell ref="E46:G46"/>
    <mergeCell ref="E58:G58"/>
    <mergeCell ref="E59:G59"/>
    <mergeCell ref="E60:G60"/>
    <mergeCell ref="E61:G61"/>
    <mergeCell ref="E62:G62"/>
    <mergeCell ref="E53:G53"/>
    <mergeCell ref="E54:G54"/>
    <mergeCell ref="E55:G55"/>
    <mergeCell ref="E56:G56"/>
    <mergeCell ref="E57:G57"/>
    <mergeCell ref="E69:G69"/>
    <mergeCell ref="E70:G70"/>
    <mergeCell ref="E71:G71"/>
    <mergeCell ref="E72:G72"/>
    <mergeCell ref="E73:G73"/>
    <mergeCell ref="E64:G64"/>
    <mergeCell ref="E65:G65"/>
    <mergeCell ref="E66:G66"/>
    <mergeCell ref="E67:G67"/>
    <mergeCell ref="E68:G68"/>
    <mergeCell ref="E80:G80"/>
    <mergeCell ref="E81:G81"/>
    <mergeCell ref="E82:G82"/>
    <mergeCell ref="E83:G83"/>
    <mergeCell ref="E84:G84"/>
    <mergeCell ref="E74:G74"/>
    <mergeCell ref="E75:G75"/>
    <mergeCell ref="E76:G76"/>
    <mergeCell ref="E78:G78"/>
    <mergeCell ref="E79:G79"/>
    <mergeCell ref="E90:G90"/>
    <mergeCell ref="E92:G92"/>
    <mergeCell ref="E93:G93"/>
    <mergeCell ref="E94:G94"/>
    <mergeCell ref="E95:G95"/>
    <mergeCell ref="E85:G85"/>
    <mergeCell ref="E86:G86"/>
    <mergeCell ref="E87:G87"/>
    <mergeCell ref="E88:G88"/>
    <mergeCell ref="E89:G89"/>
    <mergeCell ref="E114:G114"/>
    <mergeCell ref="E115:G115"/>
    <mergeCell ref="E116:G116"/>
    <mergeCell ref="E117:G117"/>
    <mergeCell ref="E118:G118"/>
    <mergeCell ref="E109:G109"/>
    <mergeCell ref="E110:G110"/>
    <mergeCell ref="E111:G111"/>
    <mergeCell ref="E112:G112"/>
    <mergeCell ref="E113:G113"/>
    <mergeCell ref="E125:G125"/>
    <mergeCell ref="E126:G126"/>
    <mergeCell ref="E127:G127"/>
    <mergeCell ref="E128:G128"/>
    <mergeCell ref="E129:G129"/>
    <mergeCell ref="E119:G119"/>
    <mergeCell ref="E121:G121"/>
    <mergeCell ref="E122:G122"/>
    <mergeCell ref="E123:G123"/>
    <mergeCell ref="E124:G124"/>
    <mergeCell ref="E136:G136"/>
    <mergeCell ref="E137:G137"/>
    <mergeCell ref="E138:G138"/>
    <mergeCell ref="E139:G139"/>
    <mergeCell ref="E140:G140"/>
    <mergeCell ref="E130:G130"/>
    <mergeCell ref="E131:G131"/>
    <mergeCell ref="E132:G132"/>
    <mergeCell ref="E133:G133"/>
    <mergeCell ref="E135:G135"/>
    <mergeCell ref="E146:G146"/>
    <mergeCell ref="E147:G147"/>
    <mergeCell ref="E149:G149"/>
    <mergeCell ref="E150:G150"/>
    <mergeCell ref="E151:G151"/>
    <mergeCell ref="E141:G141"/>
    <mergeCell ref="E142:G142"/>
    <mergeCell ref="E143:G143"/>
    <mergeCell ref="E144:G144"/>
    <mergeCell ref="E145:G145"/>
    <mergeCell ref="E157:G157"/>
    <mergeCell ref="E158:G158"/>
    <mergeCell ref="E159:G159"/>
    <mergeCell ref="E160:G160"/>
    <mergeCell ref="E161:G161"/>
    <mergeCell ref="E152:G152"/>
    <mergeCell ref="E153:G153"/>
    <mergeCell ref="E154:G154"/>
    <mergeCell ref="E155:G155"/>
    <mergeCell ref="E156:G156"/>
    <mergeCell ref="E178:G178"/>
    <mergeCell ref="E179:G179"/>
    <mergeCell ref="E191:G191"/>
    <mergeCell ref="E192:G192"/>
    <mergeCell ref="E193:G193"/>
    <mergeCell ref="E194:G194"/>
    <mergeCell ref="E195:G195"/>
    <mergeCell ref="E185:G185"/>
    <mergeCell ref="E186:G186"/>
    <mergeCell ref="E187:G187"/>
    <mergeCell ref="E188:G188"/>
    <mergeCell ref="E189:G189"/>
    <mergeCell ref="E201:G201"/>
    <mergeCell ref="E202:G202"/>
    <mergeCell ref="E203:G203"/>
    <mergeCell ref="E205:G205"/>
    <mergeCell ref="E206:G206"/>
    <mergeCell ref="E196:G196"/>
    <mergeCell ref="E197:G197"/>
    <mergeCell ref="E198:G198"/>
    <mergeCell ref="E199:G199"/>
    <mergeCell ref="E200:G200"/>
    <mergeCell ref="E212:G212"/>
    <mergeCell ref="E213:G213"/>
    <mergeCell ref="E214:G214"/>
    <mergeCell ref="E215:G215"/>
    <mergeCell ref="E216:G216"/>
    <mergeCell ref="E207:G207"/>
    <mergeCell ref="E208:G208"/>
    <mergeCell ref="E209:G209"/>
    <mergeCell ref="E210:G210"/>
    <mergeCell ref="E211:G211"/>
    <mergeCell ref="E236:G236"/>
    <mergeCell ref="E238:G238"/>
    <mergeCell ref="E239:G239"/>
    <mergeCell ref="E240:G240"/>
    <mergeCell ref="E241:G241"/>
    <mergeCell ref="E217:G217"/>
    <mergeCell ref="E219:G219"/>
    <mergeCell ref="E222:G222"/>
    <mergeCell ref="E224:G224"/>
    <mergeCell ref="E223:G223"/>
    <mergeCell ref="E220:G220"/>
    <mergeCell ref="E221:G221"/>
    <mergeCell ref="E237:G237"/>
    <mergeCell ref="E231:G231"/>
    <mergeCell ref="E232:G232"/>
    <mergeCell ref="E233:G233"/>
    <mergeCell ref="E234:G234"/>
    <mergeCell ref="E235:G235"/>
    <mergeCell ref="E247:G247"/>
    <mergeCell ref="E248:G248"/>
    <mergeCell ref="E249:G249"/>
    <mergeCell ref="E250:G250"/>
    <mergeCell ref="E252:G252"/>
    <mergeCell ref="E242:G242"/>
    <mergeCell ref="E243:G243"/>
    <mergeCell ref="E244:G244"/>
    <mergeCell ref="E245:G245"/>
    <mergeCell ref="E246:G246"/>
    <mergeCell ref="E269:G269"/>
    <mergeCell ref="E270:G270"/>
    <mergeCell ref="E271:G271"/>
    <mergeCell ref="E272:G272"/>
    <mergeCell ref="E273:G273"/>
    <mergeCell ref="E262:G262"/>
    <mergeCell ref="E263:G263"/>
    <mergeCell ref="E264:G264"/>
    <mergeCell ref="E267:G267"/>
    <mergeCell ref="E268:G268"/>
    <mergeCell ref="E265:G265"/>
    <mergeCell ref="E279:G279"/>
    <mergeCell ref="E281:G281"/>
    <mergeCell ref="E282:G282"/>
    <mergeCell ref="E283:G283"/>
    <mergeCell ref="E284:G284"/>
    <mergeCell ref="E274:G274"/>
    <mergeCell ref="E275:G275"/>
    <mergeCell ref="E276:G276"/>
    <mergeCell ref="E277:G277"/>
    <mergeCell ref="E278:G278"/>
    <mergeCell ref="E290:G290"/>
    <mergeCell ref="E291:G291"/>
    <mergeCell ref="E292:G292"/>
    <mergeCell ref="E293:G293"/>
    <mergeCell ref="E285:G285"/>
    <mergeCell ref="E286:G286"/>
    <mergeCell ref="E287:G287"/>
    <mergeCell ref="E288:G288"/>
    <mergeCell ref="E289:G289"/>
    <mergeCell ref="E302:G302"/>
    <mergeCell ref="E303:G303"/>
    <mergeCell ref="E304:G304"/>
    <mergeCell ref="E305:G305"/>
    <mergeCell ref="E306:G306"/>
    <mergeCell ref="E297:G297"/>
    <mergeCell ref="E298:G298"/>
    <mergeCell ref="E299:G299"/>
    <mergeCell ref="E300:G300"/>
    <mergeCell ref="E301:G301"/>
    <mergeCell ref="E313:G313"/>
    <mergeCell ref="E314:G314"/>
    <mergeCell ref="E315:G315"/>
    <mergeCell ref="E316:G316"/>
    <mergeCell ref="E317:G317"/>
    <mergeCell ref="E307:G307"/>
    <mergeCell ref="E308:G308"/>
    <mergeCell ref="E309:G309"/>
    <mergeCell ref="E311:G311"/>
    <mergeCell ref="E312:G312"/>
    <mergeCell ref="E323:G323"/>
    <mergeCell ref="E326:G326"/>
    <mergeCell ref="E327:G327"/>
    <mergeCell ref="E328:G328"/>
    <mergeCell ref="E329:G329"/>
    <mergeCell ref="E318:G318"/>
    <mergeCell ref="E319:G319"/>
    <mergeCell ref="E320:G320"/>
    <mergeCell ref="E321:G321"/>
    <mergeCell ref="E322:G322"/>
    <mergeCell ref="E325:G325"/>
    <mergeCell ref="E335:G335"/>
    <mergeCell ref="E336:G336"/>
    <mergeCell ref="E337:G337"/>
    <mergeCell ref="E338:G338"/>
    <mergeCell ref="E340:G340"/>
    <mergeCell ref="E330:G330"/>
    <mergeCell ref="E331:G331"/>
    <mergeCell ref="E332:G332"/>
    <mergeCell ref="E333:G333"/>
    <mergeCell ref="E334:G334"/>
    <mergeCell ref="E339:G339"/>
    <mergeCell ref="E357:G357"/>
    <mergeCell ref="E341:G341"/>
    <mergeCell ref="E342:G342"/>
    <mergeCell ref="E343:G343"/>
    <mergeCell ref="E344:G344"/>
    <mergeCell ref="E345:G345"/>
    <mergeCell ref="E346:G346"/>
    <mergeCell ref="E347:G347"/>
    <mergeCell ref="E348:G348"/>
    <mergeCell ref="E349:G349"/>
    <mergeCell ref="E350:G350"/>
    <mergeCell ref="E351:G351"/>
    <mergeCell ref="E352:G352"/>
    <mergeCell ref="E354:G354"/>
    <mergeCell ref="E355:G355"/>
    <mergeCell ref="E356:G356"/>
    <mergeCell ref="E363:G363"/>
    <mergeCell ref="E364:G364"/>
    <mergeCell ref="E365:G365"/>
    <mergeCell ref="E366:G366"/>
    <mergeCell ref="E369:G369"/>
    <mergeCell ref="E358:G358"/>
    <mergeCell ref="E359:G359"/>
    <mergeCell ref="E360:G360"/>
    <mergeCell ref="E361:G361"/>
    <mergeCell ref="E362:G362"/>
    <mergeCell ref="E367:G367"/>
    <mergeCell ref="E368:G368"/>
    <mergeCell ref="E375:G375"/>
    <mergeCell ref="E376:G376"/>
    <mergeCell ref="E377:G377"/>
    <mergeCell ref="E378:G378"/>
    <mergeCell ref="E379:G379"/>
    <mergeCell ref="E370:G370"/>
    <mergeCell ref="E371:G371"/>
    <mergeCell ref="E372:G372"/>
    <mergeCell ref="E373:G373"/>
    <mergeCell ref="E374:G374"/>
    <mergeCell ref="E388:G388"/>
    <mergeCell ref="E389:G389"/>
    <mergeCell ref="E390:G390"/>
    <mergeCell ref="E380:G380"/>
    <mergeCell ref="E381:G381"/>
    <mergeCell ref="E383:G383"/>
    <mergeCell ref="E384:G384"/>
    <mergeCell ref="E385:G385"/>
    <mergeCell ref="E382:G382"/>
    <mergeCell ref="E419:G419"/>
    <mergeCell ref="E421:G421"/>
    <mergeCell ref="E404:G404"/>
    <mergeCell ref="E405:G405"/>
    <mergeCell ref="E409:G409"/>
    <mergeCell ref="E410:G410"/>
    <mergeCell ref="E411:G411"/>
    <mergeCell ref="E406:G406"/>
    <mergeCell ref="E416:G416"/>
    <mergeCell ref="E407:G407"/>
    <mergeCell ref="E408:G408"/>
    <mergeCell ref="E414:G414"/>
    <mergeCell ref="E417:G417"/>
    <mergeCell ref="E418:G418"/>
    <mergeCell ref="AX35:AY35"/>
    <mergeCell ref="AZ35:BA35"/>
    <mergeCell ref="AR37:AR40"/>
    <mergeCell ref="AR41:AR47"/>
    <mergeCell ref="AR48:AR53"/>
    <mergeCell ref="AR54:AR57"/>
    <mergeCell ref="E412:G412"/>
    <mergeCell ref="E413:G413"/>
    <mergeCell ref="E415:G415"/>
    <mergeCell ref="E398:G398"/>
    <mergeCell ref="E400:G400"/>
    <mergeCell ref="E401:G401"/>
    <mergeCell ref="E402:G402"/>
    <mergeCell ref="E403:G403"/>
    <mergeCell ref="E391:G391"/>
    <mergeCell ref="E392:G392"/>
    <mergeCell ref="E393:G393"/>
    <mergeCell ref="E394:G394"/>
    <mergeCell ref="E395:G395"/>
    <mergeCell ref="E396:G396"/>
    <mergeCell ref="E397:G397"/>
    <mergeCell ref="E399:G399"/>
    <mergeCell ref="E386:G386"/>
    <mergeCell ref="E387:G387"/>
    <mergeCell ref="AR60:AR61"/>
    <mergeCell ref="AR62:AR66"/>
    <mergeCell ref="AR68:AR83"/>
    <mergeCell ref="AR84:AR85"/>
    <mergeCell ref="AR86:AR91"/>
    <mergeCell ref="AR92:AR94"/>
    <mergeCell ref="AR95:AR98"/>
    <mergeCell ref="AU35:AV35"/>
    <mergeCell ref="AR35:AS35"/>
  </mergeCells>
  <phoneticPr fontId="0" type="noConversion"/>
  <dataValidations count="1">
    <dataValidation type="list" allowBlank="1" showInputMessage="1" showErrorMessage="1" sqref="F21">
      <formula1>Language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30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4</xdr:col>
                <xdr:colOff>104775</xdr:colOff>
                <xdr:row>5</xdr:row>
                <xdr:rowOff>142875</xdr:rowOff>
              </from>
              <to>
                <xdr:col>4</xdr:col>
                <xdr:colOff>2390775</xdr:colOff>
                <xdr:row>7</xdr:row>
                <xdr:rowOff>66675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2924175</xdr:colOff>
                <xdr:row>5</xdr:row>
                <xdr:rowOff>152400</xdr:rowOff>
              </from>
              <to>
                <xdr:col>5</xdr:col>
                <xdr:colOff>2390775</xdr:colOff>
                <xdr:row>7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0</xdr:colOff>
                <xdr:row>456</xdr:row>
                <xdr:rowOff>19050</xdr:rowOff>
              </from>
              <to>
                <xdr:col>4</xdr:col>
                <xdr:colOff>2886075</xdr:colOff>
                <xdr:row>457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print="0" autoLine="0" r:id="rId11">
            <anchor moveWithCells="1">
              <from>
                <xdr:col>5</xdr:col>
                <xdr:colOff>1685925</xdr:colOff>
                <xdr:row>20</xdr:row>
                <xdr:rowOff>295275</xdr:rowOff>
              </from>
              <to>
                <xdr:col>6</xdr:col>
                <xdr:colOff>466725</xdr:colOff>
                <xdr:row>22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I517"/>
  <sheetViews>
    <sheetView showGridLines="0" topLeftCell="T418" zoomScale="55" zoomScaleNormal="55" zoomScaleSheetLayoutView="70" workbookViewId="0">
      <selection activeCell="Z435" activeCellId="10" sqref="Z398:AE398 Z400:AE405 Z407:AE407 Z409:AE413 Z415:AE415 Z418:AE419 Z421:AE421 Z423:AE423 Z425:AE425 Z430:AE431 Z435:AE435"/>
    </sheetView>
  </sheetViews>
  <sheetFormatPr baseColWidth="10" defaultColWidth="11.42578125" defaultRowHeight="18" customHeight="1" x14ac:dyDescent="0.2"/>
  <cols>
    <col min="1" max="1" width="11.7109375" style="163" customWidth="1"/>
    <col min="2" max="2" width="28.28515625" style="163" customWidth="1"/>
    <col min="3" max="3" width="33.7109375" style="53" customWidth="1"/>
    <col min="4" max="4" width="3.7109375" style="53" customWidth="1"/>
    <col min="5" max="5" width="46.5703125" style="2" customWidth="1"/>
    <col min="6" max="6" width="46.85546875" style="2" customWidth="1"/>
    <col min="7" max="7" width="12.7109375" style="2" customWidth="1"/>
    <col min="8" max="8" width="7.85546875" style="1" customWidth="1"/>
    <col min="9" max="10" width="19.7109375" style="1" customWidth="1"/>
    <col min="11" max="11" width="22.28515625" style="1" customWidth="1"/>
    <col min="12" max="12" width="21.85546875" style="1" customWidth="1"/>
    <col min="13" max="13" width="24.85546875" style="3" customWidth="1"/>
    <col min="14" max="14" width="5" style="3" customWidth="1"/>
    <col min="15" max="15" width="21.28515625" style="3" customWidth="1"/>
    <col min="16" max="16" width="5" style="3" customWidth="1"/>
    <col min="17" max="17" width="31.5703125" style="3" customWidth="1"/>
    <col min="18" max="18" width="21.28515625" style="3" customWidth="1"/>
    <col min="19" max="19" width="5" style="3" customWidth="1"/>
    <col min="20" max="32" width="21.28515625" style="3" customWidth="1"/>
    <col min="33" max="33" width="3.7109375" style="53" customWidth="1"/>
    <col min="34" max="35" width="14.28515625" style="53" customWidth="1"/>
    <col min="36" max="41" width="9" style="53" customWidth="1"/>
    <col min="42" max="42" width="24.85546875" style="53" customWidth="1"/>
    <col min="43" max="43" width="24" style="53" customWidth="1"/>
    <col min="44" max="44" width="22" style="53" customWidth="1"/>
    <col min="45" max="45" width="25.28515625" style="53" customWidth="1"/>
    <col min="46" max="46" width="14.42578125" style="53" customWidth="1"/>
    <col min="47" max="47" width="16" style="53" customWidth="1"/>
    <col min="48" max="48" width="16.7109375" style="53" customWidth="1"/>
    <col min="49" max="49" width="43.7109375" style="53" customWidth="1"/>
    <col min="50" max="50" width="10.140625" style="53" customWidth="1"/>
    <col min="51" max="51" width="6.5703125" style="53" customWidth="1"/>
    <col min="52" max="52" width="6.140625" style="53" customWidth="1"/>
    <col min="53" max="53" width="6.5703125" style="53" customWidth="1"/>
    <col min="54" max="60" width="6.5703125" style="1" customWidth="1"/>
    <col min="61" max="62" width="6.42578125" style="1" customWidth="1"/>
    <col min="63" max="64" width="11.42578125" style="1" customWidth="1"/>
    <col min="65" max="16384" width="11.42578125" style="1"/>
  </cols>
  <sheetData>
    <row r="1" spans="1:45" ht="22.5" customHeight="1" x14ac:dyDescent="0.25">
      <c r="E1" s="53"/>
      <c r="F1" s="47"/>
      <c r="G1" s="155"/>
      <c r="H1" s="151"/>
      <c r="I1" s="144"/>
      <c r="J1" s="48"/>
      <c r="K1" s="195"/>
      <c r="L1" s="157"/>
      <c r="M1" s="157"/>
      <c r="N1" s="157"/>
      <c r="O1" s="48"/>
      <c r="P1" s="157"/>
      <c r="Q1" s="157"/>
      <c r="R1" s="157"/>
      <c r="S1" s="157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</row>
    <row r="2" spans="1:45" ht="22.5" customHeight="1" x14ac:dyDescent="0.25">
      <c r="E2" s="53"/>
      <c r="F2" s="55"/>
      <c r="G2" s="149"/>
      <c r="H2" s="156"/>
      <c r="I2" s="150"/>
      <c r="J2" s="150"/>
      <c r="K2" s="156"/>
      <c r="L2" s="157"/>
      <c r="M2" s="150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1"/>
    </row>
    <row r="3" spans="1:45" ht="22.5" customHeight="1" x14ac:dyDescent="0.25">
      <c r="E3" s="53"/>
      <c r="F3" s="197"/>
      <c r="G3" s="152"/>
      <c r="H3" s="151"/>
      <c r="I3" s="151"/>
      <c r="J3" s="151"/>
      <c r="K3" s="151"/>
      <c r="L3" s="151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</row>
    <row r="4" spans="1:45" ht="22.5" customHeight="1" x14ac:dyDescent="0.25">
      <c r="D4" s="24"/>
      <c r="E4" s="24"/>
      <c r="F4" s="198"/>
      <c r="G4" s="153"/>
      <c r="H4" s="154"/>
      <c r="I4" s="151"/>
      <c r="J4" s="195"/>
      <c r="K4" s="151"/>
      <c r="L4" s="196"/>
      <c r="M4" s="151"/>
      <c r="N4" s="151"/>
      <c r="O4" s="195"/>
      <c r="P4" s="151"/>
      <c r="Q4" s="151"/>
      <c r="R4" s="151"/>
      <c r="S4" s="205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</row>
    <row r="5" spans="1:45" ht="22.5" customHeight="1" thickBot="1" x14ac:dyDescent="0.25"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</row>
    <row r="6" spans="1:45" ht="19.5" customHeight="1" x14ac:dyDescent="0.2">
      <c r="D6" s="111"/>
      <c r="E6" s="24"/>
      <c r="F6" s="24"/>
      <c r="G6" s="53"/>
      <c r="H6" s="24"/>
      <c r="I6" s="53"/>
      <c r="J6" s="24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</row>
    <row r="7" spans="1:45" ht="18" customHeight="1" x14ac:dyDescent="0.2">
      <c r="C7" s="112"/>
      <c r="D7" s="24"/>
      <c r="E7" s="24"/>
      <c r="F7" s="24"/>
      <c r="G7" s="53"/>
      <c r="H7" s="24"/>
      <c r="I7" s="53"/>
      <c r="J7" s="24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</row>
    <row r="8" spans="1:45" ht="16.5" customHeight="1" thickBot="1" x14ac:dyDescent="0.25">
      <c r="C8" s="112"/>
      <c r="D8" s="24"/>
      <c r="G8" s="27"/>
    </row>
    <row r="9" spans="1:45" ht="41.25" customHeight="1" thickBot="1" x14ac:dyDescent="0.3">
      <c r="C9" s="112"/>
      <c r="D9" s="24"/>
      <c r="E9" s="28"/>
      <c r="F9" s="28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216"/>
      <c r="AA9" s="216"/>
      <c r="AB9" s="216"/>
      <c r="AC9" s="216"/>
      <c r="AD9" s="310"/>
      <c r="AE9" s="216"/>
      <c r="AF9" s="310"/>
      <c r="AP9" s="87" t="s">
        <v>69</v>
      </c>
    </row>
    <row r="10" spans="1:45" ht="30" customHeight="1" thickBot="1" x14ac:dyDescent="0.3">
      <c r="C10" s="112"/>
      <c r="D10" s="24"/>
      <c r="E10" s="28"/>
      <c r="F10" s="28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09"/>
      <c r="V10" s="309"/>
      <c r="W10" s="309"/>
      <c r="X10" s="309"/>
      <c r="Y10" s="309"/>
      <c r="Z10" s="216"/>
      <c r="AA10" s="216"/>
      <c r="AB10" s="216"/>
      <c r="AC10" s="216"/>
      <c r="AD10" s="310"/>
      <c r="AE10" s="216"/>
      <c r="AF10" s="310"/>
      <c r="AP10" s="88" t="str">
        <f>IF($F$21="Français","French","English")</f>
        <v>English</v>
      </c>
      <c r="AQ10" s="215" t="s">
        <v>61</v>
      </c>
    </row>
    <row r="11" spans="1:45" ht="18" customHeight="1" thickBot="1" x14ac:dyDescent="0.3">
      <c r="C11" s="112"/>
      <c r="D11" s="24"/>
      <c r="E11" s="1"/>
      <c r="F11" s="1"/>
      <c r="G11" s="27"/>
      <c r="H11" s="2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P11" s="65" t="s">
        <v>37</v>
      </c>
      <c r="AQ11" s="75" t="s">
        <v>0</v>
      </c>
    </row>
    <row r="12" spans="1:45" ht="23.25" customHeight="1" thickBot="1" x14ac:dyDescent="0.25">
      <c r="C12" s="112"/>
      <c r="D12" s="24"/>
      <c r="E12" s="30"/>
      <c r="F12" s="143"/>
      <c r="H12" s="2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P12" s="66" t="s">
        <v>33</v>
      </c>
      <c r="AQ12" s="64" t="str">
        <f ca="1">_xll.DBRA(Server&amp;$AP$11,AP23,$AP$10)</f>
        <v>Actual</v>
      </c>
    </row>
    <row r="13" spans="1:45" ht="23.25" customHeight="1" x14ac:dyDescent="0.2">
      <c r="C13" s="112"/>
      <c r="D13" s="24"/>
      <c r="E13" s="67"/>
      <c r="F13" s="59"/>
      <c r="H13" s="2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P13" s="60" t="s">
        <v>57</v>
      </c>
      <c r="AQ13" s="68" t="str">
        <f ca="1">_xll.DBRA(Server&amp;$AP$11,AP24,$AP$10)</f>
        <v>Forecast 1</v>
      </c>
    </row>
    <row r="14" spans="1:45" ht="23.25" customHeight="1" x14ac:dyDescent="0.25">
      <c r="A14" s="79"/>
      <c r="B14" s="189"/>
      <c r="C14" s="114"/>
      <c r="D14" s="24"/>
      <c r="E14" s="31"/>
      <c r="F14" s="59"/>
      <c r="H14" s="2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P14" s="68" t="s">
        <v>34</v>
      </c>
      <c r="AQ14" s="68" t="str">
        <f ca="1">_xll.DBRA(Server&amp;$AP$11,AQ23,$AP$10)</f>
        <v>Forecast 1</v>
      </c>
      <c r="AS14"/>
    </row>
    <row r="15" spans="1:45" ht="21.75" customHeight="1" thickBot="1" x14ac:dyDescent="0.3">
      <c r="A15" s="79"/>
      <c r="B15" s="189"/>
      <c r="C15" s="112"/>
      <c r="D15" s="24"/>
      <c r="E15" s="31"/>
      <c r="F15" s="58"/>
      <c r="H15" s="2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51"/>
      <c r="AP15" s="68" t="s">
        <v>35</v>
      </c>
      <c r="AQ15" s="145" t="s">
        <v>534</v>
      </c>
    </row>
    <row r="16" spans="1:45" ht="21.75" customHeight="1" thickBot="1" x14ac:dyDescent="0.35">
      <c r="A16" s="79"/>
      <c r="B16" s="79"/>
      <c r="C16" s="112"/>
      <c r="D16" s="24"/>
      <c r="E16" s="31"/>
      <c r="F16" s="58"/>
      <c r="H16" s="27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06"/>
      <c r="AG16" s="51"/>
      <c r="AP16" s="90" t="s">
        <v>71</v>
      </c>
      <c r="AQ16" s="75" t="s">
        <v>530</v>
      </c>
    </row>
    <row r="17" spans="1:61" ht="26.25" x14ac:dyDescent="0.25">
      <c r="C17" s="112"/>
      <c r="D17" s="24"/>
      <c r="E17" s="31"/>
      <c r="F17" s="58"/>
      <c r="H17" s="27"/>
      <c r="I17" s="146"/>
      <c r="J17" s="147"/>
      <c r="K17" s="147"/>
      <c r="L17" s="147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6"/>
      <c r="Y17" s="146"/>
      <c r="Z17" s="146"/>
      <c r="AA17" s="146"/>
      <c r="AB17" s="146"/>
      <c r="AC17" s="146"/>
      <c r="AD17" s="146"/>
      <c r="AE17" s="146"/>
      <c r="AF17" s="148"/>
      <c r="AG17" s="51"/>
      <c r="AP17" s="68" t="s">
        <v>16</v>
      </c>
      <c r="AQ17" s="112" t="s">
        <v>535</v>
      </c>
      <c r="AS17" s="76"/>
    </row>
    <row r="18" spans="1:61" ht="18.75" x14ac:dyDescent="0.25">
      <c r="C18" s="112"/>
      <c r="D18" s="24"/>
      <c r="E18" s="31"/>
      <c r="F18" s="58"/>
      <c r="H18" s="27"/>
      <c r="M18" s="294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51"/>
      <c r="AP18" s="68" t="s">
        <v>17</v>
      </c>
      <c r="AQ18" t="s">
        <v>547</v>
      </c>
      <c r="AS18" s="76"/>
      <c r="AW18" s="77"/>
    </row>
    <row r="19" spans="1:61" ht="26.25" customHeight="1" x14ac:dyDescent="0.25">
      <c r="C19" s="112"/>
      <c r="D19" s="24"/>
      <c r="E19" s="31"/>
      <c r="F19" s="58"/>
      <c r="H19" s="27"/>
      <c r="M19" s="294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51"/>
      <c r="AP19" s="68" t="s">
        <v>38</v>
      </c>
      <c r="AQ19" s="199" t="s">
        <v>538</v>
      </c>
      <c r="AR19"/>
      <c r="AS19" s="76"/>
      <c r="AW19" s="53" t="str">
        <f>RIGHT(AT5)</f>
        <v/>
      </c>
    </row>
    <row r="20" spans="1:61" ht="26.25" customHeight="1" x14ac:dyDescent="0.25">
      <c r="C20" s="112"/>
      <c r="D20" s="24"/>
      <c r="E20" s="31"/>
      <c r="F20" s="59"/>
      <c r="H20" s="27"/>
      <c r="I20" s="311"/>
      <c r="J20" s="311"/>
      <c r="K20" s="311"/>
      <c r="L20" s="311"/>
      <c r="M20" s="311"/>
      <c r="N20" s="29"/>
      <c r="O20" s="311"/>
      <c r="P20" s="29"/>
      <c r="Q20" s="29"/>
      <c r="R20" s="29"/>
      <c r="S20" s="29"/>
      <c r="T20" s="311"/>
      <c r="U20" s="311"/>
      <c r="V20" s="311"/>
      <c r="W20" s="311"/>
      <c r="X20" s="311"/>
      <c r="Y20" s="311"/>
      <c r="Z20" s="311"/>
      <c r="AA20" s="311"/>
      <c r="AB20" s="311"/>
      <c r="AC20" s="311"/>
      <c r="AD20" s="311"/>
      <c r="AE20" s="311"/>
      <c r="AF20" s="311"/>
      <c r="AG20" s="51"/>
      <c r="AP20" s="68" t="s">
        <v>141</v>
      </c>
      <c r="AQ20" t="s">
        <v>531</v>
      </c>
      <c r="AS20" s="76"/>
    </row>
    <row r="21" spans="1:61" ht="24" customHeight="1" thickBot="1" x14ac:dyDescent="0.25">
      <c r="C21" s="112"/>
      <c r="D21" s="24"/>
      <c r="E21" s="31"/>
      <c r="F21" s="59"/>
      <c r="I21" s="312"/>
      <c r="J21" s="312"/>
      <c r="K21" s="312"/>
      <c r="L21" s="312"/>
      <c r="M21" s="312"/>
      <c r="N21" s="32"/>
      <c r="O21" s="312"/>
      <c r="P21" s="32"/>
      <c r="Q21" s="32"/>
      <c r="R21" s="32"/>
      <c r="S21" s="3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2"/>
      <c r="AE21" s="312"/>
      <c r="AF21" s="312"/>
      <c r="AP21" s="62" t="s">
        <v>39</v>
      </c>
      <c r="AQ21" t="s">
        <v>537</v>
      </c>
      <c r="AS21" s="76"/>
    </row>
    <row r="22" spans="1:61" ht="19.5" customHeight="1" thickTop="1" x14ac:dyDescent="0.2">
      <c r="C22" s="113"/>
      <c r="D22" s="24"/>
      <c r="E22" s="33"/>
      <c r="F22" s="33"/>
      <c r="H22" s="5"/>
      <c r="I22" s="305"/>
      <c r="J22" s="301"/>
      <c r="K22" s="307"/>
      <c r="L22" s="307"/>
      <c r="M22" s="303"/>
      <c r="N22" s="34"/>
      <c r="O22" s="303"/>
      <c r="P22" s="34"/>
      <c r="Q22" s="295"/>
      <c r="R22" s="303"/>
      <c r="S22" s="34"/>
      <c r="T22" s="305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1"/>
      <c r="AP22" s="60" t="s">
        <v>0</v>
      </c>
      <c r="AQ22" s="112" t="s">
        <v>533</v>
      </c>
      <c r="AS22" s="76"/>
      <c r="BB22" s="6"/>
      <c r="BC22" s="6"/>
      <c r="BD22" s="6"/>
      <c r="BE22" s="6"/>
      <c r="BF22" s="6"/>
      <c r="BG22" s="6"/>
      <c r="BH22" s="6"/>
      <c r="BI22" s="6"/>
    </row>
    <row r="23" spans="1:61" s="7" customFormat="1" ht="36.75" customHeight="1" thickBot="1" x14ac:dyDescent="0.25">
      <c r="A23" s="163"/>
      <c r="B23" s="163"/>
      <c r="C23" s="114"/>
      <c r="D23" s="1"/>
      <c r="E23" s="31"/>
      <c r="F23" s="33"/>
      <c r="H23" s="35"/>
      <c r="I23" s="306"/>
      <c r="J23" s="302"/>
      <c r="K23" s="308"/>
      <c r="L23" s="308"/>
      <c r="M23" s="304"/>
      <c r="N23" s="36"/>
      <c r="O23" s="304"/>
      <c r="P23" s="36"/>
      <c r="Q23" s="295"/>
      <c r="R23" s="304"/>
      <c r="S23" s="36"/>
      <c r="T23" s="306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2"/>
      <c r="AF23" s="302"/>
      <c r="AG23" s="53"/>
      <c r="AH23" s="53"/>
      <c r="AI23" s="53"/>
      <c r="AJ23" s="53"/>
      <c r="AK23" s="53"/>
      <c r="AL23" s="53"/>
      <c r="AM23" s="53"/>
      <c r="AN23" s="53"/>
      <c r="AO23" s="53"/>
      <c r="AP23" s="7" t="s">
        <v>140</v>
      </c>
      <c r="AQ23" s="78" t="s">
        <v>528</v>
      </c>
      <c r="AR23" s="53"/>
      <c r="AS23" s="79"/>
      <c r="AW23" s="53"/>
      <c r="AX23" s="53"/>
      <c r="AY23" s="53"/>
      <c r="AZ23" s="53"/>
      <c r="BA23" s="53"/>
    </row>
    <row r="24" spans="1:61" s="7" customFormat="1" ht="17.25" customHeight="1" thickBot="1" x14ac:dyDescent="0.3">
      <c r="A24" s="164"/>
      <c r="B24" s="164"/>
      <c r="C24" s="115"/>
      <c r="D24" s="1"/>
      <c r="G24" s="37"/>
      <c r="H24" s="38"/>
      <c r="I24" s="39"/>
      <c r="J24" s="39"/>
      <c r="K24" s="39"/>
      <c r="L24" s="39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53"/>
      <c r="AH24" s="53"/>
      <c r="AI24" s="53"/>
      <c r="AJ24" s="53"/>
      <c r="AK24" s="53"/>
      <c r="AL24" s="53"/>
      <c r="AM24" s="53"/>
      <c r="AN24" s="53"/>
      <c r="AO24" s="53"/>
      <c r="AP24" s="61" t="s">
        <v>536</v>
      </c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</row>
    <row r="25" spans="1:61" s="9" customFormat="1" ht="24.95" customHeight="1" x14ac:dyDescent="0.35">
      <c r="A25" s="181"/>
      <c r="B25" s="163"/>
      <c r="C25" s="116"/>
      <c r="D25" s="1"/>
      <c r="E25" s="300"/>
      <c r="F25" s="300"/>
      <c r="G25" s="300"/>
      <c r="H25" s="40"/>
      <c r="I25" s="191"/>
      <c r="J25" s="191"/>
      <c r="K25" s="191"/>
      <c r="L25" s="191"/>
      <c r="M25" s="191"/>
      <c r="N25" s="124"/>
      <c r="O25" s="191"/>
      <c r="P25" s="124"/>
      <c r="Q25" s="124"/>
      <c r="R25" s="191"/>
      <c r="S25" s="124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53"/>
      <c r="AH25" s="53"/>
      <c r="AI25" s="53"/>
      <c r="AJ25" s="53"/>
      <c r="AK25" s="53"/>
      <c r="AL25" s="53"/>
      <c r="AM25" s="53"/>
      <c r="AN25" s="53"/>
      <c r="AO25" s="53"/>
      <c r="AP25" s="70" t="s">
        <v>143</v>
      </c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</row>
    <row r="26" spans="1:61" s="9" customFormat="1" ht="24.75" customHeight="1" thickBot="1" x14ac:dyDescent="0.4">
      <c r="A26" s="181"/>
      <c r="B26" s="163"/>
      <c r="C26" s="116"/>
      <c r="D26" s="1"/>
      <c r="E26" s="275"/>
      <c r="F26" s="275"/>
      <c r="G26" s="275"/>
      <c r="H26" s="40"/>
      <c r="I26" s="160"/>
      <c r="J26" s="160"/>
      <c r="K26" s="160"/>
      <c r="L26" s="160"/>
      <c r="M26" s="160"/>
      <c r="N26" s="125"/>
      <c r="O26" s="160"/>
      <c r="P26" s="125"/>
      <c r="Q26" s="124"/>
      <c r="R26" s="160"/>
      <c r="S26" s="125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53"/>
      <c r="AH26" s="53"/>
      <c r="AI26" s="53"/>
      <c r="AJ26" s="53"/>
      <c r="AK26" s="53"/>
      <c r="AL26" s="53"/>
      <c r="AM26" s="53"/>
      <c r="AN26" s="53"/>
      <c r="AO26" s="53"/>
      <c r="AP26" s="63" t="s">
        <v>36</v>
      </c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</row>
    <row r="27" spans="1:61" s="9" customFormat="1" ht="24.95" customHeight="1" thickBot="1" x14ac:dyDescent="0.4">
      <c r="A27" s="181"/>
      <c r="B27" s="163"/>
      <c r="C27" s="117"/>
      <c r="D27" s="1"/>
      <c r="E27" s="286"/>
      <c r="F27" s="286"/>
      <c r="G27" s="286"/>
      <c r="H27" s="40"/>
      <c r="I27" s="123"/>
      <c r="J27" s="123"/>
      <c r="K27" s="123"/>
      <c r="L27" s="123"/>
      <c r="M27" s="123"/>
      <c r="N27" s="126"/>
      <c r="O27" s="204"/>
      <c r="P27" s="126"/>
      <c r="Q27" s="124"/>
      <c r="R27" s="160"/>
      <c r="S27" s="126"/>
      <c r="T27" s="126"/>
      <c r="U27" s="126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53"/>
      <c r="AH27" s="53"/>
      <c r="AI27" s="53"/>
      <c r="AJ27" s="53"/>
      <c r="AK27" s="53"/>
      <c r="AL27" s="53"/>
      <c r="AM27" s="53"/>
      <c r="AN27" s="53"/>
      <c r="AO27" s="53"/>
      <c r="AP27" s="60" t="s">
        <v>540</v>
      </c>
      <c r="AQ27" s="53"/>
      <c r="AR27" s="283" t="s">
        <v>62</v>
      </c>
      <c r="AS27" s="284"/>
      <c r="AT27" s="285"/>
      <c r="AU27" s="53"/>
      <c r="AV27" s="53"/>
      <c r="AW27" s="53"/>
      <c r="AX27" s="53"/>
      <c r="AY27" s="53"/>
      <c r="AZ27" s="53"/>
      <c r="BA27" s="53"/>
    </row>
    <row r="28" spans="1:61" s="9" customFormat="1" ht="24.95" customHeight="1" thickBot="1" x14ac:dyDescent="0.4">
      <c r="A28" s="181"/>
      <c r="B28" s="181"/>
      <c r="C28" s="158"/>
      <c r="D28" s="1"/>
      <c r="E28" s="273"/>
      <c r="F28" s="273"/>
      <c r="G28" s="273"/>
      <c r="H28" s="40"/>
      <c r="I28" s="123"/>
      <c r="J28" s="123"/>
      <c r="K28" s="123"/>
      <c r="L28" s="123"/>
      <c r="M28" s="123"/>
      <c r="N28" s="126"/>
      <c r="O28" s="204"/>
      <c r="P28" s="126"/>
      <c r="Q28" s="124"/>
      <c r="R28" s="192"/>
      <c r="S28" s="126"/>
      <c r="T28" s="200"/>
      <c r="U28" s="200"/>
      <c r="V28" s="200"/>
      <c r="W28" s="200"/>
      <c r="X28" s="200"/>
      <c r="Y28" s="200"/>
      <c r="Z28" s="192" t="str">
        <f ca="1">IF(Flag_Send_Data=1,_xll.DBSW(PL_Saisie_Estime2!Z28,Server&amp;Cube1,PL_Saisie_Estime2!$F$17,PL_Saisie_Estime2!$F$18,PL_Saisie_Estime2!$F$19,PL_Saisie_Estime2!$F$16,PL_Saisie_Estime2!$C$14,PL_Saisie_Estime2!$F$15,PL_Saisie_Estime2!$F$14,PL_Saisie_Estime2!$F$20,PL_Saisie_Estime2!Z$2,PL_Saisie_Estime2!Z$1,PL_Saisie_Estime2!$C28),"")</f>
        <v/>
      </c>
      <c r="AA28" s="192" t="str">
        <f ca="1">IF(Flag_Send_Data=1,_xll.DBSW(PL_Saisie_Estime2!AA28,Server&amp;Cube1,PL_Saisie_Estime2!$F$17,PL_Saisie_Estime2!$F$18,PL_Saisie_Estime2!$F$19,PL_Saisie_Estime2!$F$16,PL_Saisie_Estime2!$C$14,PL_Saisie_Estime2!$F$15,PL_Saisie_Estime2!$F$14,PL_Saisie_Estime2!$F$20,PL_Saisie_Estime2!AA$2,PL_Saisie_Estime2!AA$1,PL_Saisie_Estime2!$C28),"")</f>
        <v/>
      </c>
      <c r="AB28" s="192" t="str">
        <f ca="1">IF(Flag_Send_Data=1,_xll.DBSW(PL_Saisie_Estime2!AB28,Server&amp;Cube1,PL_Saisie_Estime2!$F$17,PL_Saisie_Estime2!$F$18,PL_Saisie_Estime2!$F$19,PL_Saisie_Estime2!$F$16,PL_Saisie_Estime2!$C$14,PL_Saisie_Estime2!$F$15,PL_Saisie_Estime2!$F$14,PL_Saisie_Estime2!$F$20,PL_Saisie_Estime2!AB$2,PL_Saisie_Estime2!AB$1,PL_Saisie_Estime2!$C28),"")</f>
        <v/>
      </c>
      <c r="AC28" s="192" t="str">
        <f ca="1">IF(Flag_Send_Data=1,_xll.DBSW(PL_Saisie_Estime2!AC28,Server&amp;Cube1,PL_Saisie_Estime2!$F$17,PL_Saisie_Estime2!$F$18,PL_Saisie_Estime2!$F$19,PL_Saisie_Estime2!$F$16,PL_Saisie_Estime2!$C$14,PL_Saisie_Estime2!$F$15,PL_Saisie_Estime2!$F$14,PL_Saisie_Estime2!$F$20,PL_Saisie_Estime2!AC$2,PL_Saisie_Estime2!AC$1,PL_Saisie_Estime2!$C28),"")</f>
        <v/>
      </c>
      <c r="AD28" s="192" t="str">
        <f ca="1">IF(Flag_Send_Data=1,_xll.DBSW(PL_Saisie_Estime2!AD28,Server&amp;Cube1,PL_Saisie_Estime2!$F$17,PL_Saisie_Estime2!$F$18,PL_Saisie_Estime2!$F$19,PL_Saisie_Estime2!$F$16,PL_Saisie_Estime2!$C$14,PL_Saisie_Estime2!$F$15,PL_Saisie_Estime2!$F$14,PL_Saisie_Estime2!$F$20,PL_Saisie_Estime2!AD$2,PL_Saisie_Estime2!AD$1,PL_Saisie_Estime2!$C28),"")</f>
        <v/>
      </c>
      <c r="AE28" s="192" t="str">
        <f ca="1">IF(Flag_Send_Data=1,_xll.DBSW(PL_Saisie_Estime2!AE28,Server&amp;Cube1,PL_Saisie_Estime2!$F$17,PL_Saisie_Estime2!$F$18,PL_Saisie_Estime2!$F$19,PL_Saisie_Estime2!$F$16,PL_Saisie_Estime2!$C$14,PL_Saisie_Estime2!$F$15,PL_Saisie_Estime2!$F$14,PL_Saisie_Estime2!$F$20,PL_Saisie_Estime2!AE$2,PL_Saisie_Estime2!AE$1,PL_Saisie_Estime2!$C28),"")</f>
        <v/>
      </c>
      <c r="AF28" s="204"/>
      <c r="AG28" s="53"/>
      <c r="AH28" s="53"/>
      <c r="AI28" s="53"/>
      <c r="AJ28" s="53"/>
      <c r="AK28" s="53"/>
      <c r="AL28" s="53"/>
      <c r="AM28" s="53"/>
      <c r="AN28" s="53"/>
      <c r="AO28" s="53"/>
      <c r="AP28" s="63" t="s">
        <v>139</v>
      </c>
      <c r="AQ28" s="53"/>
      <c r="AR28" s="80" t="s">
        <v>63</v>
      </c>
      <c r="AS28" s="80" t="s">
        <v>64</v>
      </c>
      <c r="AT28" s="80" t="s">
        <v>65</v>
      </c>
      <c r="AU28" s="53"/>
      <c r="AV28" s="53"/>
      <c r="AW28" s="53"/>
      <c r="AX28" s="53"/>
      <c r="AY28" s="53"/>
      <c r="AZ28" s="53"/>
      <c r="BA28" s="53"/>
    </row>
    <row r="29" spans="1:61" s="9" customFormat="1" ht="24.95" customHeight="1" x14ac:dyDescent="0.35">
      <c r="A29" s="181"/>
      <c r="B29" s="181"/>
      <c r="C29" s="158"/>
      <c r="D29" s="1"/>
      <c r="E29" s="273"/>
      <c r="F29" s="273"/>
      <c r="G29" s="273"/>
      <c r="H29" s="40"/>
      <c r="I29" s="123"/>
      <c r="J29" s="123"/>
      <c r="K29" s="123"/>
      <c r="L29" s="123"/>
      <c r="M29" s="123"/>
      <c r="N29" s="126"/>
      <c r="O29" s="204"/>
      <c r="P29" s="126"/>
      <c r="Q29" s="124"/>
      <c r="R29" s="192"/>
      <c r="S29" s="126"/>
      <c r="T29" s="200"/>
      <c r="U29" s="200"/>
      <c r="V29" s="200"/>
      <c r="W29" s="200"/>
      <c r="X29" s="200"/>
      <c r="Y29" s="200"/>
      <c r="Z29" s="192" t="str">
        <f ca="1">IF(Flag_Send_Data=1,_xll.DBSW(PL_Saisie_Estime2!Z29,Server&amp;Cube1,PL_Saisie_Estime2!$F$17,PL_Saisie_Estime2!$F$18,PL_Saisie_Estime2!$F$19,PL_Saisie_Estime2!$F$16,PL_Saisie_Estime2!$C$14,PL_Saisie_Estime2!$F$15,PL_Saisie_Estime2!$F$14,PL_Saisie_Estime2!$F$20,PL_Saisie_Estime2!Z$2,PL_Saisie_Estime2!Z$1,PL_Saisie_Estime2!$C29),"")</f>
        <v/>
      </c>
      <c r="AA29" s="192" t="str">
        <f ca="1">IF(Flag_Send_Data=1,_xll.DBSW(PL_Saisie_Estime2!AA29,Server&amp;Cube1,PL_Saisie_Estime2!$F$17,PL_Saisie_Estime2!$F$18,PL_Saisie_Estime2!$F$19,PL_Saisie_Estime2!$F$16,PL_Saisie_Estime2!$C$14,PL_Saisie_Estime2!$F$15,PL_Saisie_Estime2!$F$14,PL_Saisie_Estime2!$F$20,PL_Saisie_Estime2!AA$2,PL_Saisie_Estime2!AA$1,PL_Saisie_Estime2!$C29),"")</f>
        <v/>
      </c>
      <c r="AB29" s="192" t="str">
        <f ca="1">IF(Flag_Send_Data=1,_xll.DBSW(PL_Saisie_Estime2!AB29,Server&amp;Cube1,PL_Saisie_Estime2!$F$17,PL_Saisie_Estime2!$F$18,PL_Saisie_Estime2!$F$19,PL_Saisie_Estime2!$F$16,PL_Saisie_Estime2!$C$14,PL_Saisie_Estime2!$F$15,PL_Saisie_Estime2!$F$14,PL_Saisie_Estime2!$F$20,PL_Saisie_Estime2!AB$2,PL_Saisie_Estime2!AB$1,PL_Saisie_Estime2!$C29),"")</f>
        <v/>
      </c>
      <c r="AC29" s="192" t="str">
        <f ca="1">IF(Flag_Send_Data=1,_xll.DBSW(PL_Saisie_Estime2!AC29,Server&amp;Cube1,PL_Saisie_Estime2!$F$17,PL_Saisie_Estime2!$F$18,PL_Saisie_Estime2!$F$19,PL_Saisie_Estime2!$F$16,PL_Saisie_Estime2!$C$14,PL_Saisie_Estime2!$F$15,PL_Saisie_Estime2!$F$14,PL_Saisie_Estime2!$F$20,PL_Saisie_Estime2!AC$2,PL_Saisie_Estime2!AC$1,PL_Saisie_Estime2!$C29),"")</f>
        <v/>
      </c>
      <c r="AD29" s="192" t="str">
        <f ca="1">IF(Flag_Send_Data=1,_xll.DBSW(PL_Saisie_Estime2!AD29,Server&amp;Cube1,PL_Saisie_Estime2!$F$17,PL_Saisie_Estime2!$F$18,PL_Saisie_Estime2!$F$19,PL_Saisie_Estime2!$F$16,PL_Saisie_Estime2!$C$14,PL_Saisie_Estime2!$F$15,PL_Saisie_Estime2!$F$14,PL_Saisie_Estime2!$F$20,PL_Saisie_Estime2!AD$2,PL_Saisie_Estime2!AD$1,PL_Saisie_Estime2!$C29),"")</f>
        <v/>
      </c>
      <c r="AE29" s="192" t="str">
        <f ca="1">IF(Flag_Send_Data=1,_xll.DBSW(PL_Saisie_Estime2!AE29,Server&amp;Cube1,PL_Saisie_Estime2!$F$17,PL_Saisie_Estime2!$F$18,PL_Saisie_Estime2!$F$19,PL_Saisie_Estime2!$F$16,PL_Saisie_Estime2!$C$14,PL_Saisie_Estime2!$F$15,PL_Saisie_Estime2!$F$14,PL_Saisie_Estime2!$F$20,PL_Saisie_Estime2!AE$2,PL_Saisie_Estime2!AE$1,PL_Saisie_Estime2!$C29),"")</f>
        <v/>
      </c>
      <c r="AF29" s="204"/>
      <c r="AG29" s="53"/>
      <c r="AH29" s="53"/>
      <c r="AI29" s="53"/>
      <c r="AJ29" s="53"/>
      <c r="AK29" s="53"/>
      <c r="AL29" s="53"/>
      <c r="AM29" s="53"/>
      <c r="AN29" s="53"/>
      <c r="AO29" s="53"/>
      <c r="AP29" s="71" t="s">
        <v>72</v>
      </c>
      <c r="AQ29" s="53"/>
      <c r="AU29" s="53"/>
      <c r="AV29" s="53"/>
      <c r="AW29" s="53"/>
      <c r="AX29" s="53"/>
      <c r="AY29" s="53"/>
      <c r="AZ29" s="53"/>
      <c r="BA29" s="53"/>
    </row>
    <row r="30" spans="1:61" s="9" customFormat="1" ht="24.95" customHeight="1" collapsed="1" thickBot="1" x14ac:dyDescent="0.4">
      <c r="A30" s="181"/>
      <c r="B30" s="181"/>
      <c r="C30" s="158"/>
      <c r="D30" s="1"/>
      <c r="E30" s="286"/>
      <c r="F30" s="286"/>
      <c r="G30" s="286"/>
      <c r="H30" s="40"/>
      <c r="I30" s="123"/>
      <c r="J30" s="123"/>
      <c r="K30" s="123"/>
      <c r="L30" s="123"/>
      <c r="M30" s="123"/>
      <c r="N30" s="126"/>
      <c r="O30" s="204"/>
      <c r="P30" s="126"/>
      <c r="Q30" s="124"/>
      <c r="R30" s="192"/>
      <c r="S30" s="126"/>
      <c r="T30" s="200"/>
      <c r="U30" s="200"/>
      <c r="V30" s="200"/>
      <c r="W30" s="200"/>
      <c r="X30" s="200"/>
      <c r="Y30" s="200"/>
      <c r="Z30" s="192" t="str">
        <f ca="1">IF(Flag_Send_Data=1,_xll.DBSW(PL_Saisie_Estime2!Z30,Server&amp;Cube1,PL_Saisie_Estime2!$F$17,PL_Saisie_Estime2!$F$18,PL_Saisie_Estime2!$F$19,PL_Saisie_Estime2!$F$16,PL_Saisie_Estime2!$C$14,PL_Saisie_Estime2!$F$15,PL_Saisie_Estime2!$F$14,PL_Saisie_Estime2!$F$20,PL_Saisie_Estime2!Z$2,PL_Saisie_Estime2!Z$1,PL_Saisie_Estime2!$C30),"")</f>
        <v/>
      </c>
      <c r="AA30" s="192" t="str">
        <f ca="1">IF(Flag_Send_Data=1,_xll.DBSW(PL_Saisie_Estime2!AA30,Server&amp;Cube1,PL_Saisie_Estime2!$F$17,PL_Saisie_Estime2!$F$18,PL_Saisie_Estime2!$F$19,PL_Saisie_Estime2!$F$16,PL_Saisie_Estime2!$C$14,PL_Saisie_Estime2!$F$15,PL_Saisie_Estime2!$F$14,PL_Saisie_Estime2!$F$20,PL_Saisie_Estime2!AA$2,PL_Saisie_Estime2!AA$1,PL_Saisie_Estime2!$C30),"")</f>
        <v/>
      </c>
      <c r="AB30" s="192" t="str">
        <f ca="1">IF(Flag_Send_Data=1,_xll.DBSW(PL_Saisie_Estime2!AB30,Server&amp;Cube1,PL_Saisie_Estime2!$F$17,PL_Saisie_Estime2!$F$18,PL_Saisie_Estime2!$F$19,PL_Saisie_Estime2!$F$16,PL_Saisie_Estime2!$C$14,PL_Saisie_Estime2!$F$15,PL_Saisie_Estime2!$F$14,PL_Saisie_Estime2!$F$20,PL_Saisie_Estime2!AB$2,PL_Saisie_Estime2!AB$1,PL_Saisie_Estime2!$C30),"")</f>
        <v/>
      </c>
      <c r="AC30" s="192" t="str">
        <f ca="1">IF(Flag_Send_Data=1,_xll.DBSW(PL_Saisie_Estime2!AC30,Server&amp;Cube1,PL_Saisie_Estime2!$F$17,PL_Saisie_Estime2!$F$18,PL_Saisie_Estime2!$F$19,PL_Saisie_Estime2!$F$16,PL_Saisie_Estime2!$C$14,PL_Saisie_Estime2!$F$15,PL_Saisie_Estime2!$F$14,PL_Saisie_Estime2!$F$20,PL_Saisie_Estime2!AC$2,PL_Saisie_Estime2!AC$1,PL_Saisie_Estime2!$C30),"")</f>
        <v/>
      </c>
      <c r="AD30" s="192" t="str">
        <f ca="1">IF(Flag_Send_Data=1,_xll.DBSW(PL_Saisie_Estime2!AD30,Server&amp;Cube1,PL_Saisie_Estime2!$F$17,PL_Saisie_Estime2!$F$18,PL_Saisie_Estime2!$F$19,PL_Saisie_Estime2!$F$16,PL_Saisie_Estime2!$C$14,PL_Saisie_Estime2!$F$15,PL_Saisie_Estime2!$F$14,PL_Saisie_Estime2!$F$20,PL_Saisie_Estime2!AD$2,PL_Saisie_Estime2!AD$1,PL_Saisie_Estime2!$C30),"")</f>
        <v/>
      </c>
      <c r="AE30" s="192" t="str">
        <f ca="1">IF(Flag_Send_Data=1,_xll.DBSW(PL_Saisie_Estime2!AE30,Server&amp;Cube1,PL_Saisie_Estime2!$F$17,PL_Saisie_Estime2!$F$18,PL_Saisie_Estime2!$F$19,PL_Saisie_Estime2!$F$16,PL_Saisie_Estime2!$C$14,PL_Saisie_Estime2!$F$15,PL_Saisie_Estime2!$F$14,PL_Saisie_Estime2!$F$20,PL_Saisie_Estime2!AE$2,PL_Saisie_Estime2!AE$1,PL_Saisie_Estime2!$C30),"")</f>
        <v/>
      </c>
      <c r="AF30" s="204"/>
      <c r="AG30" s="53"/>
      <c r="AH30" s="53"/>
      <c r="AI30" s="53"/>
      <c r="AJ30" s="53"/>
      <c r="AK30" s="53"/>
      <c r="AL30" s="53"/>
      <c r="AM30" s="53"/>
      <c r="AN30" s="53"/>
      <c r="AO30" s="53"/>
      <c r="AP30" s="71" t="s">
        <v>73</v>
      </c>
      <c r="AQ30" s="53"/>
      <c r="AU30" s="53"/>
      <c r="AV30" s="53"/>
      <c r="AW30" s="53"/>
      <c r="AX30" s="53"/>
      <c r="AY30" s="53"/>
      <c r="AZ30" s="53"/>
      <c r="BA30" s="53"/>
    </row>
    <row r="31" spans="1:61" s="9" customFormat="1" ht="11.25" customHeight="1" x14ac:dyDescent="0.35">
      <c r="A31" s="181"/>
      <c r="B31" s="181"/>
      <c r="C31" s="118"/>
      <c r="D31" s="96"/>
      <c r="E31" s="287"/>
      <c r="F31" s="287"/>
      <c r="G31" s="287"/>
      <c r="H31" s="9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/>
      <c r="AB31" s="127"/>
      <c r="AC31" s="127"/>
      <c r="AD31" s="127"/>
      <c r="AE31" s="127"/>
      <c r="AF31" s="127"/>
      <c r="AG31" s="95"/>
      <c r="AH31" s="53"/>
      <c r="AI31" s="53"/>
      <c r="AJ31" s="53"/>
      <c r="AK31" s="53"/>
      <c r="AL31" s="53"/>
      <c r="AM31" s="53"/>
      <c r="AN31" s="53"/>
      <c r="AO31" s="53"/>
      <c r="AP31" s="94" t="s">
        <v>77</v>
      </c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</row>
    <row r="32" spans="1:61" s="9" customFormat="1" ht="24.95" customHeight="1" x14ac:dyDescent="0.35">
      <c r="A32" s="181"/>
      <c r="B32" s="163"/>
      <c r="C32" s="116"/>
      <c r="E32" s="300"/>
      <c r="F32" s="300"/>
      <c r="G32" s="300"/>
      <c r="H32" s="40"/>
      <c r="I32" s="191"/>
      <c r="J32" s="191"/>
      <c r="K32" s="191"/>
      <c r="L32" s="191"/>
      <c r="M32" s="191"/>
      <c r="N32" s="124"/>
      <c r="O32" s="191"/>
      <c r="P32" s="124"/>
      <c r="Q32" s="124"/>
      <c r="R32" s="191"/>
      <c r="S32" s="124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53"/>
      <c r="AH32" s="53"/>
      <c r="AI32" s="53"/>
      <c r="AJ32" s="53"/>
      <c r="AK32" s="53"/>
      <c r="AL32" s="53"/>
      <c r="AM32" s="53"/>
      <c r="AN32" s="53"/>
      <c r="AO32" s="53"/>
      <c r="AP32" s="71" t="s">
        <v>78</v>
      </c>
      <c r="AQ32" s="53"/>
      <c r="AR32" s="162" t="s">
        <v>482</v>
      </c>
      <c r="AS32" s="53"/>
      <c r="AT32" s="53"/>
      <c r="AU32" s="53"/>
      <c r="AV32" s="53"/>
      <c r="AW32" s="53"/>
      <c r="AX32" s="53"/>
      <c r="AY32" s="53"/>
      <c r="AZ32" s="53"/>
      <c r="BA32" s="53"/>
    </row>
    <row r="33" spans="1:53" s="9" customFormat="1" ht="24.95" customHeight="1" thickBot="1" x14ac:dyDescent="0.4">
      <c r="A33" s="181"/>
      <c r="B33" s="163"/>
      <c r="C33" s="116"/>
      <c r="E33" s="298"/>
      <c r="F33" s="298"/>
      <c r="G33" s="298"/>
      <c r="H33" s="40"/>
      <c r="I33" s="128"/>
      <c r="J33" s="128"/>
      <c r="K33" s="128"/>
      <c r="L33" s="128"/>
      <c r="M33" s="128"/>
      <c r="N33" s="129"/>
      <c r="O33" s="128"/>
      <c r="P33" s="129"/>
      <c r="Q33" s="124"/>
      <c r="R33" s="128"/>
      <c r="S33" s="129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53"/>
      <c r="AH33" s="53"/>
      <c r="AI33" s="53"/>
      <c r="AJ33" s="53"/>
      <c r="AK33" s="53"/>
      <c r="AL33" s="53"/>
      <c r="AM33" s="53"/>
      <c r="AN33" s="53"/>
      <c r="AO33" s="53"/>
      <c r="AP33" s="72" t="s">
        <v>79</v>
      </c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</row>
    <row r="34" spans="1:53" s="9" customFormat="1" ht="24.95" customHeight="1" thickBot="1" x14ac:dyDescent="0.4">
      <c r="A34" s="181"/>
      <c r="B34" s="163"/>
      <c r="C34" s="116"/>
      <c r="E34" s="299"/>
      <c r="F34" s="299"/>
      <c r="G34" s="299"/>
      <c r="H34" s="40"/>
      <c r="I34" s="159"/>
      <c r="J34" s="159"/>
      <c r="K34" s="159"/>
      <c r="L34" s="159"/>
      <c r="M34" s="159"/>
      <c r="N34" s="125"/>
      <c r="O34" s="161"/>
      <c r="P34" s="125"/>
      <c r="Q34" s="124"/>
      <c r="R34" s="161"/>
      <c r="S34" s="125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53"/>
      <c r="AH34" s="53"/>
      <c r="AI34" s="53"/>
      <c r="AJ34" s="53"/>
      <c r="AK34" s="53"/>
      <c r="AL34" s="53"/>
      <c r="AM34" s="53"/>
      <c r="AN34" s="53"/>
      <c r="AO34" s="53"/>
      <c r="AP34" s="60" t="s">
        <v>54</v>
      </c>
      <c r="AQ34" s="53"/>
      <c r="AR34" s="288" t="s">
        <v>480</v>
      </c>
      <c r="AS34" s="289"/>
      <c r="AT34" s="290"/>
      <c r="AU34" s="53"/>
      <c r="AV34" s="53"/>
      <c r="AW34" s="55"/>
      <c r="AX34" s="53"/>
      <c r="AY34" s="53"/>
      <c r="AZ34" s="53"/>
      <c r="BA34" s="53"/>
    </row>
    <row r="35" spans="1:53" s="9" customFormat="1" ht="24.95" customHeight="1" thickBot="1" x14ac:dyDescent="0.4">
      <c r="A35" s="181"/>
      <c r="B35" s="163"/>
      <c r="C35" s="117"/>
      <c r="E35" s="270"/>
      <c r="F35" s="270"/>
      <c r="G35" s="270"/>
      <c r="H35" s="40"/>
      <c r="I35" s="130"/>
      <c r="J35" s="130"/>
      <c r="K35" s="130"/>
      <c r="L35" s="130"/>
      <c r="M35" s="130"/>
      <c r="N35" s="125"/>
      <c r="O35" s="125"/>
      <c r="P35" s="125"/>
      <c r="Q35" s="124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53"/>
      <c r="AH35" s="53"/>
      <c r="AI35" s="53"/>
      <c r="AJ35" s="53"/>
      <c r="AK35" s="53"/>
      <c r="AL35" s="53"/>
      <c r="AM35" s="53"/>
      <c r="AN35" s="53"/>
      <c r="AO35" s="53"/>
      <c r="AP35" s="62" t="s">
        <v>55</v>
      </c>
      <c r="AQ35" s="53"/>
      <c r="AR35" s="261" t="s">
        <v>481</v>
      </c>
      <c r="AS35" s="262"/>
      <c r="AT35" s="210" t="str">
        <f ca="1">IF(_xll.ELCOMPN(Server&amp;$AR$32,F14)=0,"NO","YES")</f>
        <v>NO</v>
      </c>
      <c r="AU35" s="261" t="s">
        <v>485</v>
      </c>
      <c r="AV35" s="262"/>
      <c r="AW35" s="188" t="e">
        <f ca="1">VALUE(_xll.SUBNM(Server&amp;"Management_Organization_Corp","",$F$14,""))</f>
        <v>#VALUE!</v>
      </c>
      <c r="AX35" s="261" t="s">
        <v>486</v>
      </c>
      <c r="AY35" s="262"/>
      <c r="AZ35" s="263" t="e">
        <f ca="1">VLOOKUP($AW$35,AS37:AT98,2,FALSE)</f>
        <v>#VALUE!</v>
      </c>
      <c r="BA35" s="264"/>
    </row>
    <row r="36" spans="1:53" s="9" customFormat="1" ht="24.95" customHeight="1" thickBot="1" x14ac:dyDescent="0.4">
      <c r="A36" s="181"/>
      <c r="B36" s="163"/>
      <c r="C36" s="158"/>
      <c r="E36" s="268"/>
      <c r="F36" s="268"/>
      <c r="G36" s="268"/>
      <c r="H36" s="40"/>
      <c r="I36" s="130"/>
      <c r="J36" s="130"/>
      <c r="K36" s="130"/>
      <c r="L36" s="130"/>
      <c r="M36" s="130"/>
      <c r="N36" s="126"/>
      <c r="O36" s="204"/>
      <c r="P36" s="126"/>
      <c r="Q36" s="124"/>
      <c r="R36" s="192"/>
      <c r="S36" s="126"/>
      <c r="T36" s="200"/>
      <c r="U36" s="200"/>
      <c r="V36" s="200"/>
      <c r="W36" s="200"/>
      <c r="X36" s="200"/>
      <c r="Y36" s="200"/>
      <c r="Z36" s="192" t="str">
        <f ca="1">IF(Flag_Send_Data=1,_xll.DBSW(PL_Saisie_Estime2!Z36,Server&amp;Cube1,PL_Saisie_Estime2!$F$17,PL_Saisie_Estime2!$F$18,PL_Saisie_Estime2!$F$19,PL_Saisie_Estime2!$F$16,PL_Saisie_Estime2!$C$14,PL_Saisie_Estime2!$F$15,PL_Saisie_Estime2!$F$14,PL_Saisie_Estime2!$F$20,PL_Saisie_Estime2!Z$2,PL_Saisie_Estime2!Z$1,PL_Saisie_Estime2!$C36),"")</f>
        <v/>
      </c>
      <c r="AA36" s="192" t="str">
        <f ca="1">IF(Flag_Send_Data=1,_xll.DBSW(PL_Saisie_Estime2!AA36,Server&amp;Cube1,PL_Saisie_Estime2!$F$17,PL_Saisie_Estime2!$F$18,PL_Saisie_Estime2!$F$19,PL_Saisie_Estime2!$F$16,PL_Saisie_Estime2!$C$14,PL_Saisie_Estime2!$F$15,PL_Saisie_Estime2!$F$14,PL_Saisie_Estime2!$F$20,PL_Saisie_Estime2!AA$2,PL_Saisie_Estime2!AA$1,PL_Saisie_Estime2!$C36),"")</f>
        <v/>
      </c>
      <c r="AB36" s="192" t="str">
        <f ca="1">IF(Flag_Send_Data=1,_xll.DBSW(PL_Saisie_Estime2!AB36,Server&amp;Cube1,PL_Saisie_Estime2!$F$17,PL_Saisie_Estime2!$F$18,PL_Saisie_Estime2!$F$19,PL_Saisie_Estime2!$F$16,PL_Saisie_Estime2!$C$14,PL_Saisie_Estime2!$F$15,PL_Saisie_Estime2!$F$14,PL_Saisie_Estime2!$F$20,PL_Saisie_Estime2!AB$2,PL_Saisie_Estime2!AB$1,PL_Saisie_Estime2!$C36),"")</f>
        <v/>
      </c>
      <c r="AC36" s="192" t="str">
        <f ca="1">IF(Flag_Send_Data=1,_xll.DBSW(PL_Saisie_Estime2!AC36,Server&amp;Cube1,PL_Saisie_Estime2!$F$17,PL_Saisie_Estime2!$F$18,PL_Saisie_Estime2!$F$19,PL_Saisie_Estime2!$F$16,PL_Saisie_Estime2!$C$14,PL_Saisie_Estime2!$F$15,PL_Saisie_Estime2!$F$14,PL_Saisie_Estime2!$F$20,PL_Saisie_Estime2!AC$2,PL_Saisie_Estime2!AC$1,PL_Saisie_Estime2!$C36),"")</f>
        <v/>
      </c>
      <c r="AD36" s="192" t="str">
        <f ca="1">IF(Flag_Send_Data=1,_xll.DBSW(PL_Saisie_Estime2!AD36,Server&amp;Cube1,PL_Saisie_Estime2!$F$17,PL_Saisie_Estime2!$F$18,PL_Saisie_Estime2!$F$19,PL_Saisie_Estime2!$F$16,PL_Saisie_Estime2!$C$14,PL_Saisie_Estime2!$F$15,PL_Saisie_Estime2!$F$14,PL_Saisie_Estime2!$F$20,PL_Saisie_Estime2!AD$2,PL_Saisie_Estime2!AD$1,PL_Saisie_Estime2!$C36),"")</f>
        <v/>
      </c>
      <c r="AE36" s="192" t="str">
        <f ca="1">IF(Flag_Send_Data=1,_xll.DBSW(PL_Saisie_Estime2!AE36,Server&amp;Cube1,PL_Saisie_Estime2!$F$17,PL_Saisie_Estime2!$F$18,PL_Saisie_Estime2!$F$19,PL_Saisie_Estime2!$F$16,PL_Saisie_Estime2!$C$14,PL_Saisie_Estime2!$F$15,PL_Saisie_Estime2!$F$14,PL_Saisie_Estime2!$F$20,PL_Saisie_Estime2!AE$2,PL_Saisie_Estime2!AE$1,PL_Saisie_Estime2!$C36),"")</f>
        <v/>
      </c>
      <c r="AF36" s="204"/>
      <c r="AG36" s="53"/>
      <c r="AH36" s="53"/>
      <c r="AI36" s="53"/>
      <c r="AJ36" s="53"/>
      <c r="AK36" s="53"/>
      <c r="AL36" s="53"/>
      <c r="AM36" s="53"/>
      <c r="AN36" s="53"/>
      <c r="AO36" s="53"/>
      <c r="AP36" s="63" t="s">
        <v>137</v>
      </c>
      <c r="AQ36" s="53"/>
      <c r="AR36" s="53"/>
      <c r="AS36" s="53"/>
      <c r="AT36" s="53"/>
      <c r="AU36" s="53"/>
      <c r="AV36" s="53"/>
      <c r="AX36" s="53"/>
      <c r="AY36" s="53"/>
      <c r="AZ36" s="53"/>
      <c r="BA36" s="53"/>
    </row>
    <row r="37" spans="1:53" s="9" customFormat="1" ht="24.95" customHeight="1" x14ac:dyDescent="0.35">
      <c r="A37" s="181"/>
      <c r="B37" s="163"/>
      <c r="C37" s="158"/>
      <c r="E37" s="268"/>
      <c r="F37" s="268"/>
      <c r="G37" s="268"/>
      <c r="H37" s="40"/>
      <c r="I37" s="130"/>
      <c r="J37" s="130"/>
      <c r="K37" s="130"/>
      <c r="L37" s="130"/>
      <c r="M37" s="130"/>
      <c r="N37" s="126"/>
      <c r="O37" s="204"/>
      <c r="P37" s="126"/>
      <c r="Q37" s="124"/>
      <c r="R37" s="192"/>
      <c r="S37" s="126"/>
      <c r="T37" s="200"/>
      <c r="U37" s="200"/>
      <c r="V37" s="200"/>
      <c r="W37" s="200"/>
      <c r="X37" s="200"/>
      <c r="Y37" s="200"/>
      <c r="Z37" s="192" t="str">
        <f ca="1">IF(Flag_Send_Data=1,_xll.DBSW(PL_Saisie_Estime2!Z37,Server&amp;Cube1,PL_Saisie_Estime2!$F$17,PL_Saisie_Estime2!$F$18,PL_Saisie_Estime2!$F$19,PL_Saisie_Estime2!$F$16,PL_Saisie_Estime2!$C$14,PL_Saisie_Estime2!$F$15,PL_Saisie_Estime2!$F$14,PL_Saisie_Estime2!$F$20,PL_Saisie_Estime2!Z$2,PL_Saisie_Estime2!Z$1,PL_Saisie_Estime2!$C37),"")</f>
        <v/>
      </c>
      <c r="AA37" s="192" t="str">
        <f ca="1">IF(Flag_Send_Data=1,_xll.DBSW(PL_Saisie_Estime2!AA37,Server&amp;Cube1,PL_Saisie_Estime2!$F$17,PL_Saisie_Estime2!$F$18,PL_Saisie_Estime2!$F$19,PL_Saisie_Estime2!$F$16,PL_Saisie_Estime2!$C$14,PL_Saisie_Estime2!$F$15,PL_Saisie_Estime2!$F$14,PL_Saisie_Estime2!$F$20,PL_Saisie_Estime2!AA$2,PL_Saisie_Estime2!AA$1,PL_Saisie_Estime2!$C37),"")</f>
        <v/>
      </c>
      <c r="AB37" s="192" t="str">
        <f ca="1">IF(Flag_Send_Data=1,_xll.DBSW(PL_Saisie_Estime2!AB37,Server&amp;Cube1,PL_Saisie_Estime2!$F$17,PL_Saisie_Estime2!$F$18,PL_Saisie_Estime2!$F$19,PL_Saisie_Estime2!$F$16,PL_Saisie_Estime2!$C$14,PL_Saisie_Estime2!$F$15,PL_Saisie_Estime2!$F$14,PL_Saisie_Estime2!$F$20,PL_Saisie_Estime2!AB$2,PL_Saisie_Estime2!AB$1,PL_Saisie_Estime2!$C37),"")</f>
        <v/>
      </c>
      <c r="AC37" s="192" t="str">
        <f ca="1">IF(Flag_Send_Data=1,_xll.DBSW(PL_Saisie_Estime2!AC37,Server&amp;Cube1,PL_Saisie_Estime2!$F$17,PL_Saisie_Estime2!$F$18,PL_Saisie_Estime2!$F$19,PL_Saisie_Estime2!$F$16,PL_Saisie_Estime2!$C$14,PL_Saisie_Estime2!$F$15,PL_Saisie_Estime2!$F$14,PL_Saisie_Estime2!$F$20,PL_Saisie_Estime2!AC$2,PL_Saisie_Estime2!AC$1,PL_Saisie_Estime2!$C37),"")</f>
        <v/>
      </c>
      <c r="AD37" s="192" t="str">
        <f ca="1">IF(Flag_Send_Data=1,_xll.DBSW(PL_Saisie_Estime2!AD37,Server&amp;Cube1,PL_Saisie_Estime2!$F$17,PL_Saisie_Estime2!$F$18,PL_Saisie_Estime2!$F$19,PL_Saisie_Estime2!$F$16,PL_Saisie_Estime2!$C$14,PL_Saisie_Estime2!$F$15,PL_Saisie_Estime2!$F$14,PL_Saisie_Estime2!$F$20,PL_Saisie_Estime2!AD$2,PL_Saisie_Estime2!AD$1,PL_Saisie_Estime2!$C37),"")</f>
        <v/>
      </c>
      <c r="AE37" s="192" t="str">
        <f ca="1">IF(Flag_Send_Data=1,_xll.DBSW(PL_Saisie_Estime2!AE37,Server&amp;Cube1,PL_Saisie_Estime2!$F$17,PL_Saisie_Estime2!$F$18,PL_Saisie_Estime2!$F$19,PL_Saisie_Estime2!$F$16,PL_Saisie_Estime2!$C$14,PL_Saisie_Estime2!$F$15,PL_Saisie_Estime2!$F$14,PL_Saisie_Estime2!$F$20,PL_Saisie_Estime2!AE$2,PL_Saisie_Estime2!AE$1,PL_Saisie_Estime2!$C37),"")</f>
        <v/>
      </c>
      <c r="AF37" s="204"/>
      <c r="AG37" s="53"/>
      <c r="AH37" s="53"/>
      <c r="AI37" s="53"/>
      <c r="AJ37" s="53"/>
      <c r="AK37" s="53"/>
      <c r="AL37" s="53"/>
      <c r="AM37" s="53"/>
      <c r="AN37" s="53"/>
      <c r="AO37" s="53"/>
      <c r="AP37" s="64" t="s">
        <v>41</v>
      </c>
      <c r="AQ37" s="53"/>
      <c r="AR37" s="265" t="s">
        <v>468</v>
      </c>
      <c r="AS37" s="168">
        <v>4100</v>
      </c>
      <c r="AT37" s="211" t="s">
        <v>489</v>
      </c>
    </row>
    <row r="38" spans="1:53" s="9" customFormat="1" ht="24.95" customHeight="1" x14ac:dyDescent="0.35">
      <c r="A38" s="181"/>
      <c r="B38" s="163"/>
      <c r="C38" s="158"/>
      <c r="E38" s="268"/>
      <c r="F38" s="268"/>
      <c r="G38" s="268"/>
      <c r="H38" s="40"/>
      <c r="I38" s="130"/>
      <c r="J38" s="130"/>
      <c r="K38" s="130"/>
      <c r="L38" s="130"/>
      <c r="M38" s="130"/>
      <c r="N38" s="126"/>
      <c r="O38" s="204"/>
      <c r="P38" s="126"/>
      <c r="Q38" s="124"/>
      <c r="R38" s="192"/>
      <c r="S38" s="126"/>
      <c r="T38" s="200"/>
      <c r="U38" s="200"/>
      <c r="V38" s="200"/>
      <c r="W38" s="200"/>
      <c r="X38" s="200"/>
      <c r="Y38" s="200"/>
      <c r="Z38" s="192" t="str">
        <f ca="1">IF(Flag_Send_Data=1,_xll.DBSW(PL_Saisie_Estime2!Z38,Server&amp;Cube1,PL_Saisie_Estime2!$F$17,PL_Saisie_Estime2!$F$18,PL_Saisie_Estime2!$F$19,PL_Saisie_Estime2!$F$16,PL_Saisie_Estime2!$C$14,PL_Saisie_Estime2!$F$15,PL_Saisie_Estime2!$F$14,PL_Saisie_Estime2!$F$20,PL_Saisie_Estime2!Z$2,PL_Saisie_Estime2!Z$1,PL_Saisie_Estime2!$C38),"")</f>
        <v/>
      </c>
      <c r="AA38" s="192" t="str">
        <f ca="1">IF(Flag_Send_Data=1,_xll.DBSW(PL_Saisie_Estime2!AA38,Server&amp;Cube1,PL_Saisie_Estime2!$F$17,PL_Saisie_Estime2!$F$18,PL_Saisie_Estime2!$F$19,PL_Saisie_Estime2!$F$16,PL_Saisie_Estime2!$C$14,PL_Saisie_Estime2!$F$15,PL_Saisie_Estime2!$F$14,PL_Saisie_Estime2!$F$20,PL_Saisie_Estime2!AA$2,PL_Saisie_Estime2!AA$1,PL_Saisie_Estime2!$C38),"")</f>
        <v/>
      </c>
      <c r="AB38" s="192" t="str">
        <f ca="1">IF(Flag_Send_Data=1,_xll.DBSW(PL_Saisie_Estime2!AB38,Server&amp;Cube1,PL_Saisie_Estime2!$F$17,PL_Saisie_Estime2!$F$18,PL_Saisie_Estime2!$F$19,PL_Saisie_Estime2!$F$16,PL_Saisie_Estime2!$C$14,PL_Saisie_Estime2!$F$15,PL_Saisie_Estime2!$F$14,PL_Saisie_Estime2!$F$20,PL_Saisie_Estime2!AB$2,PL_Saisie_Estime2!AB$1,PL_Saisie_Estime2!$C38),"")</f>
        <v/>
      </c>
      <c r="AC38" s="192" t="str">
        <f ca="1">IF(Flag_Send_Data=1,_xll.DBSW(PL_Saisie_Estime2!AC38,Server&amp;Cube1,PL_Saisie_Estime2!$F$17,PL_Saisie_Estime2!$F$18,PL_Saisie_Estime2!$F$19,PL_Saisie_Estime2!$F$16,PL_Saisie_Estime2!$C$14,PL_Saisie_Estime2!$F$15,PL_Saisie_Estime2!$F$14,PL_Saisie_Estime2!$F$20,PL_Saisie_Estime2!AC$2,PL_Saisie_Estime2!AC$1,PL_Saisie_Estime2!$C38),"")</f>
        <v/>
      </c>
      <c r="AD38" s="192" t="str">
        <f ca="1">IF(Flag_Send_Data=1,_xll.DBSW(PL_Saisie_Estime2!AD38,Server&amp;Cube1,PL_Saisie_Estime2!$F$17,PL_Saisie_Estime2!$F$18,PL_Saisie_Estime2!$F$19,PL_Saisie_Estime2!$F$16,PL_Saisie_Estime2!$C$14,PL_Saisie_Estime2!$F$15,PL_Saisie_Estime2!$F$14,PL_Saisie_Estime2!$F$20,PL_Saisie_Estime2!AD$2,PL_Saisie_Estime2!AD$1,PL_Saisie_Estime2!$C38),"")</f>
        <v/>
      </c>
      <c r="AE38" s="192" t="str">
        <f ca="1">IF(Flag_Send_Data=1,_xll.DBSW(PL_Saisie_Estime2!AE38,Server&amp;Cube1,PL_Saisie_Estime2!$F$17,PL_Saisie_Estime2!$F$18,PL_Saisie_Estime2!$F$19,PL_Saisie_Estime2!$F$16,PL_Saisie_Estime2!$C$14,PL_Saisie_Estime2!$F$15,PL_Saisie_Estime2!$F$14,PL_Saisie_Estime2!$F$20,PL_Saisie_Estime2!AE$2,PL_Saisie_Estime2!AE$1,PL_Saisie_Estime2!$C38),"")</f>
        <v/>
      </c>
      <c r="AF38" s="204"/>
      <c r="AG38" s="53"/>
      <c r="AH38" s="53"/>
      <c r="AI38" s="53"/>
      <c r="AJ38" s="53"/>
      <c r="AK38" s="53"/>
      <c r="AL38" s="53"/>
      <c r="AM38" s="53"/>
      <c r="AN38" s="53"/>
      <c r="AO38" s="53"/>
      <c r="AP38" s="73" t="s">
        <v>42</v>
      </c>
      <c r="AQ38" s="53"/>
      <c r="AR38" s="266"/>
      <c r="AS38" s="169">
        <v>4110</v>
      </c>
      <c r="AT38" s="212" t="s">
        <v>489</v>
      </c>
    </row>
    <row r="39" spans="1:53" s="9" customFormat="1" ht="24.95" customHeight="1" x14ac:dyDescent="0.35">
      <c r="A39" s="181"/>
      <c r="B39" s="163"/>
      <c r="C39" s="158"/>
      <c r="E39" s="268"/>
      <c r="F39" s="268"/>
      <c r="G39" s="268"/>
      <c r="H39" s="40"/>
      <c r="I39" s="130"/>
      <c r="J39" s="130"/>
      <c r="K39" s="130"/>
      <c r="L39" s="130"/>
      <c r="M39" s="130"/>
      <c r="N39" s="126"/>
      <c r="O39" s="204"/>
      <c r="P39" s="126"/>
      <c r="Q39" s="124"/>
      <c r="R39" s="192"/>
      <c r="S39" s="126"/>
      <c r="T39" s="200"/>
      <c r="U39" s="200"/>
      <c r="V39" s="200"/>
      <c r="W39" s="200"/>
      <c r="X39" s="200"/>
      <c r="Y39" s="200"/>
      <c r="Z39" s="192" t="str">
        <f ca="1">IF(Flag_Send_Data=1,_xll.DBSW(PL_Saisie_Estime2!Z39,Server&amp;Cube1,PL_Saisie_Estime2!$F$17,PL_Saisie_Estime2!$F$18,PL_Saisie_Estime2!$F$19,PL_Saisie_Estime2!$F$16,PL_Saisie_Estime2!$C$14,PL_Saisie_Estime2!$F$15,PL_Saisie_Estime2!$F$14,PL_Saisie_Estime2!$F$20,PL_Saisie_Estime2!Z$2,PL_Saisie_Estime2!Z$1,PL_Saisie_Estime2!$C39),"")</f>
        <v/>
      </c>
      <c r="AA39" s="192" t="str">
        <f ca="1">IF(Flag_Send_Data=1,_xll.DBSW(PL_Saisie_Estime2!AA39,Server&amp;Cube1,PL_Saisie_Estime2!$F$17,PL_Saisie_Estime2!$F$18,PL_Saisie_Estime2!$F$19,PL_Saisie_Estime2!$F$16,PL_Saisie_Estime2!$C$14,PL_Saisie_Estime2!$F$15,PL_Saisie_Estime2!$F$14,PL_Saisie_Estime2!$F$20,PL_Saisie_Estime2!AA$2,PL_Saisie_Estime2!AA$1,PL_Saisie_Estime2!$C39),"")</f>
        <v/>
      </c>
      <c r="AB39" s="192" t="str">
        <f ca="1">IF(Flag_Send_Data=1,_xll.DBSW(PL_Saisie_Estime2!AB39,Server&amp;Cube1,PL_Saisie_Estime2!$F$17,PL_Saisie_Estime2!$F$18,PL_Saisie_Estime2!$F$19,PL_Saisie_Estime2!$F$16,PL_Saisie_Estime2!$C$14,PL_Saisie_Estime2!$F$15,PL_Saisie_Estime2!$F$14,PL_Saisie_Estime2!$F$20,PL_Saisie_Estime2!AB$2,PL_Saisie_Estime2!AB$1,PL_Saisie_Estime2!$C39),"")</f>
        <v/>
      </c>
      <c r="AC39" s="192" t="str">
        <f ca="1">IF(Flag_Send_Data=1,_xll.DBSW(PL_Saisie_Estime2!AC39,Server&amp;Cube1,PL_Saisie_Estime2!$F$17,PL_Saisie_Estime2!$F$18,PL_Saisie_Estime2!$F$19,PL_Saisie_Estime2!$F$16,PL_Saisie_Estime2!$C$14,PL_Saisie_Estime2!$F$15,PL_Saisie_Estime2!$F$14,PL_Saisie_Estime2!$F$20,PL_Saisie_Estime2!AC$2,PL_Saisie_Estime2!AC$1,PL_Saisie_Estime2!$C39),"")</f>
        <v/>
      </c>
      <c r="AD39" s="192" t="str">
        <f ca="1">IF(Flag_Send_Data=1,_xll.DBSW(PL_Saisie_Estime2!AD39,Server&amp;Cube1,PL_Saisie_Estime2!$F$17,PL_Saisie_Estime2!$F$18,PL_Saisie_Estime2!$F$19,PL_Saisie_Estime2!$F$16,PL_Saisie_Estime2!$C$14,PL_Saisie_Estime2!$F$15,PL_Saisie_Estime2!$F$14,PL_Saisie_Estime2!$F$20,PL_Saisie_Estime2!AD$2,PL_Saisie_Estime2!AD$1,PL_Saisie_Estime2!$C39),"")</f>
        <v/>
      </c>
      <c r="AE39" s="192" t="str">
        <f ca="1">IF(Flag_Send_Data=1,_xll.DBSW(PL_Saisie_Estime2!AE39,Server&amp;Cube1,PL_Saisie_Estime2!$F$17,PL_Saisie_Estime2!$F$18,PL_Saisie_Estime2!$F$19,PL_Saisie_Estime2!$F$16,PL_Saisie_Estime2!$C$14,PL_Saisie_Estime2!$F$15,PL_Saisie_Estime2!$F$14,PL_Saisie_Estime2!$F$20,PL_Saisie_Estime2!AE$2,PL_Saisie_Estime2!AE$1,PL_Saisie_Estime2!$C39),"")</f>
        <v/>
      </c>
      <c r="AF39" s="204"/>
      <c r="AG39" s="53"/>
      <c r="AH39" s="53"/>
      <c r="AI39" s="53"/>
      <c r="AJ39" s="53"/>
      <c r="AK39" s="53"/>
      <c r="AL39" s="53"/>
      <c r="AM39" s="53"/>
      <c r="AN39" s="53"/>
      <c r="AO39" s="53"/>
      <c r="AP39" s="73" t="s">
        <v>43</v>
      </c>
      <c r="AQ39" s="53"/>
      <c r="AR39" s="266"/>
      <c r="AS39" s="169">
        <v>4120</v>
      </c>
      <c r="AT39" s="212" t="s">
        <v>489</v>
      </c>
    </row>
    <row r="40" spans="1:53" s="9" customFormat="1" ht="24.95" customHeight="1" thickBot="1" x14ac:dyDescent="0.4">
      <c r="A40" s="181"/>
      <c r="B40" s="163"/>
      <c r="C40" s="158"/>
      <c r="E40" s="268"/>
      <c r="F40" s="268"/>
      <c r="G40" s="268"/>
      <c r="H40" s="40"/>
      <c r="I40" s="130"/>
      <c r="J40" s="130"/>
      <c r="K40" s="130"/>
      <c r="L40" s="130"/>
      <c r="M40" s="130"/>
      <c r="N40" s="126"/>
      <c r="O40" s="204"/>
      <c r="P40" s="126"/>
      <c r="Q40" s="124"/>
      <c r="R40" s="192"/>
      <c r="S40" s="126"/>
      <c r="T40" s="200"/>
      <c r="U40" s="200"/>
      <c r="V40" s="200"/>
      <c r="W40" s="200"/>
      <c r="X40" s="200"/>
      <c r="Y40" s="200"/>
      <c r="Z40" s="192" t="str">
        <f ca="1">IF(Flag_Send_Data=1,_xll.DBSW(PL_Saisie_Estime2!Z40,Server&amp;Cube1,PL_Saisie_Estime2!$F$17,PL_Saisie_Estime2!$F$18,PL_Saisie_Estime2!$F$19,PL_Saisie_Estime2!$F$16,PL_Saisie_Estime2!$C$14,PL_Saisie_Estime2!$F$15,PL_Saisie_Estime2!$F$14,PL_Saisie_Estime2!$F$20,PL_Saisie_Estime2!Z$2,PL_Saisie_Estime2!Z$1,PL_Saisie_Estime2!$C40),"")</f>
        <v/>
      </c>
      <c r="AA40" s="192" t="str">
        <f ca="1">IF(Flag_Send_Data=1,_xll.DBSW(PL_Saisie_Estime2!AA40,Server&amp;Cube1,PL_Saisie_Estime2!$F$17,PL_Saisie_Estime2!$F$18,PL_Saisie_Estime2!$F$19,PL_Saisie_Estime2!$F$16,PL_Saisie_Estime2!$C$14,PL_Saisie_Estime2!$F$15,PL_Saisie_Estime2!$F$14,PL_Saisie_Estime2!$F$20,PL_Saisie_Estime2!AA$2,PL_Saisie_Estime2!AA$1,PL_Saisie_Estime2!$C40),"")</f>
        <v/>
      </c>
      <c r="AB40" s="192" t="str">
        <f ca="1">IF(Flag_Send_Data=1,_xll.DBSW(PL_Saisie_Estime2!AB40,Server&amp;Cube1,PL_Saisie_Estime2!$F$17,PL_Saisie_Estime2!$F$18,PL_Saisie_Estime2!$F$19,PL_Saisie_Estime2!$F$16,PL_Saisie_Estime2!$C$14,PL_Saisie_Estime2!$F$15,PL_Saisie_Estime2!$F$14,PL_Saisie_Estime2!$F$20,PL_Saisie_Estime2!AB$2,PL_Saisie_Estime2!AB$1,PL_Saisie_Estime2!$C40),"")</f>
        <v/>
      </c>
      <c r="AC40" s="192" t="str">
        <f ca="1">IF(Flag_Send_Data=1,_xll.DBSW(PL_Saisie_Estime2!AC40,Server&amp;Cube1,PL_Saisie_Estime2!$F$17,PL_Saisie_Estime2!$F$18,PL_Saisie_Estime2!$F$19,PL_Saisie_Estime2!$F$16,PL_Saisie_Estime2!$C$14,PL_Saisie_Estime2!$F$15,PL_Saisie_Estime2!$F$14,PL_Saisie_Estime2!$F$20,PL_Saisie_Estime2!AC$2,PL_Saisie_Estime2!AC$1,PL_Saisie_Estime2!$C40),"")</f>
        <v/>
      </c>
      <c r="AD40" s="192" t="str">
        <f ca="1">IF(Flag_Send_Data=1,_xll.DBSW(PL_Saisie_Estime2!AD40,Server&amp;Cube1,PL_Saisie_Estime2!$F$17,PL_Saisie_Estime2!$F$18,PL_Saisie_Estime2!$F$19,PL_Saisie_Estime2!$F$16,PL_Saisie_Estime2!$C$14,PL_Saisie_Estime2!$F$15,PL_Saisie_Estime2!$F$14,PL_Saisie_Estime2!$F$20,PL_Saisie_Estime2!AD$2,PL_Saisie_Estime2!AD$1,PL_Saisie_Estime2!$C40),"")</f>
        <v/>
      </c>
      <c r="AE40" s="192" t="str">
        <f ca="1">IF(Flag_Send_Data=1,_xll.DBSW(PL_Saisie_Estime2!AE40,Server&amp;Cube1,PL_Saisie_Estime2!$F$17,PL_Saisie_Estime2!$F$18,PL_Saisie_Estime2!$F$19,PL_Saisie_Estime2!$F$16,PL_Saisie_Estime2!$C$14,PL_Saisie_Estime2!$F$15,PL_Saisie_Estime2!$F$14,PL_Saisie_Estime2!$F$20,PL_Saisie_Estime2!AE$2,PL_Saisie_Estime2!AE$1,PL_Saisie_Estime2!$C40),"")</f>
        <v/>
      </c>
      <c r="AF40" s="204"/>
      <c r="AG40" s="53"/>
      <c r="AH40" s="53"/>
      <c r="AI40" s="53"/>
      <c r="AJ40" s="53"/>
      <c r="AK40" s="53"/>
      <c r="AL40" s="53"/>
      <c r="AM40" s="53"/>
      <c r="AN40" s="53"/>
      <c r="AO40" s="53"/>
      <c r="AP40" s="73" t="s">
        <v>44</v>
      </c>
      <c r="AQ40" s="53"/>
      <c r="AR40" s="267"/>
      <c r="AS40" s="170">
        <v>4130</v>
      </c>
      <c r="AT40" s="213" t="s">
        <v>489</v>
      </c>
    </row>
    <row r="41" spans="1:53" s="9" customFormat="1" ht="24.95" customHeight="1" x14ac:dyDescent="0.35">
      <c r="A41" s="181"/>
      <c r="B41" s="163"/>
      <c r="C41" s="158"/>
      <c r="E41" s="268"/>
      <c r="F41" s="268"/>
      <c r="G41" s="268"/>
      <c r="H41" s="40"/>
      <c r="I41" s="130"/>
      <c r="J41" s="130"/>
      <c r="K41" s="130"/>
      <c r="L41" s="130"/>
      <c r="M41" s="130"/>
      <c r="N41" s="126"/>
      <c r="O41" s="204"/>
      <c r="P41" s="126"/>
      <c r="Q41" s="124"/>
      <c r="R41" s="192"/>
      <c r="S41" s="126"/>
      <c r="T41" s="200"/>
      <c r="U41" s="200"/>
      <c r="V41" s="200"/>
      <c r="W41" s="200"/>
      <c r="X41" s="200"/>
      <c r="Y41" s="200"/>
      <c r="Z41" s="192" t="str">
        <f ca="1">IF(Flag_Send_Data=1,_xll.DBSW(PL_Saisie_Estime2!Z41,Server&amp;Cube1,PL_Saisie_Estime2!$F$17,PL_Saisie_Estime2!$F$18,PL_Saisie_Estime2!$F$19,PL_Saisie_Estime2!$F$16,PL_Saisie_Estime2!$C$14,PL_Saisie_Estime2!$F$15,PL_Saisie_Estime2!$F$14,PL_Saisie_Estime2!$F$20,PL_Saisie_Estime2!Z$2,PL_Saisie_Estime2!Z$1,PL_Saisie_Estime2!$C41),"")</f>
        <v/>
      </c>
      <c r="AA41" s="192" t="str">
        <f ca="1">IF(Flag_Send_Data=1,_xll.DBSW(PL_Saisie_Estime2!AA41,Server&amp;Cube1,PL_Saisie_Estime2!$F$17,PL_Saisie_Estime2!$F$18,PL_Saisie_Estime2!$F$19,PL_Saisie_Estime2!$F$16,PL_Saisie_Estime2!$C$14,PL_Saisie_Estime2!$F$15,PL_Saisie_Estime2!$F$14,PL_Saisie_Estime2!$F$20,PL_Saisie_Estime2!AA$2,PL_Saisie_Estime2!AA$1,PL_Saisie_Estime2!$C41),"")</f>
        <v/>
      </c>
      <c r="AB41" s="192" t="str">
        <f ca="1">IF(Flag_Send_Data=1,_xll.DBSW(PL_Saisie_Estime2!AB41,Server&amp;Cube1,PL_Saisie_Estime2!$F$17,PL_Saisie_Estime2!$F$18,PL_Saisie_Estime2!$F$19,PL_Saisie_Estime2!$F$16,PL_Saisie_Estime2!$C$14,PL_Saisie_Estime2!$F$15,PL_Saisie_Estime2!$F$14,PL_Saisie_Estime2!$F$20,PL_Saisie_Estime2!AB$2,PL_Saisie_Estime2!AB$1,PL_Saisie_Estime2!$C41),"")</f>
        <v/>
      </c>
      <c r="AC41" s="192" t="str">
        <f ca="1">IF(Flag_Send_Data=1,_xll.DBSW(PL_Saisie_Estime2!AC41,Server&amp;Cube1,PL_Saisie_Estime2!$F$17,PL_Saisie_Estime2!$F$18,PL_Saisie_Estime2!$F$19,PL_Saisie_Estime2!$F$16,PL_Saisie_Estime2!$C$14,PL_Saisie_Estime2!$F$15,PL_Saisie_Estime2!$F$14,PL_Saisie_Estime2!$F$20,PL_Saisie_Estime2!AC$2,PL_Saisie_Estime2!AC$1,PL_Saisie_Estime2!$C41),"")</f>
        <v/>
      </c>
      <c r="AD41" s="192" t="str">
        <f ca="1">IF(Flag_Send_Data=1,_xll.DBSW(PL_Saisie_Estime2!AD41,Server&amp;Cube1,PL_Saisie_Estime2!$F$17,PL_Saisie_Estime2!$F$18,PL_Saisie_Estime2!$F$19,PL_Saisie_Estime2!$F$16,PL_Saisie_Estime2!$C$14,PL_Saisie_Estime2!$F$15,PL_Saisie_Estime2!$F$14,PL_Saisie_Estime2!$F$20,PL_Saisie_Estime2!AD$2,PL_Saisie_Estime2!AD$1,PL_Saisie_Estime2!$C41),"")</f>
        <v/>
      </c>
      <c r="AE41" s="192" t="str">
        <f ca="1">IF(Flag_Send_Data=1,_xll.DBSW(PL_Saisie_Estime2!AE41,Server&amp;Cube1,PL_Saisie_Estime2!$F$17,PL_Saisie_Estime2!$F$18,PL_Saisie_Estime2!$F$19,PL_Saisie_Estime2!$F$16,PL_Saisie_Estime2!$C$14,PL_Saisie_Estime2!$F$15,PL_Saisie_Estime2!$F$14,PL_Saisie_Estime2!$F$20,PL_Saisie_Estime2!AE$2,PL_Saisie_Estime2!AE$1,PL_Saisie_Estime2!$C41),"")</f>
        <v/>
      </c>
      <c r="AF41" s="204"/>
      <c r="AG41" s="53"/>
      <c r="AH41" s="53"/>
      <c r="AI41" s="53"/>
      <c r="AJ41" s="53"/>
      <c r="AK41" s="53"/>
      <c r="AL41" s="53"/>
      <c r="AM41" s="53"/>
      <c r="AN41" s="53"/>
      <c r="AO41" s="53"/>
      <c r="AP41" s="73" t="s">
        <v>45</v>
      </c>
      <c r="AQ41" s="53"/>
      <c r="AR41" s="265" t="s">
        <v>467</v>
      </c>
      <c r="AS41" s="168">
        <v>4200</v>
      </c>
      <c r="AT41" s="211" t="s">
        <v>467</v>
      </c>
    </row>
    <row r="42" spans="1:53" s="9" customFormat="1" ht="24.95" customHeight="1" x14ac:dyDescent="0.35">
      <c r="A42" s="181"/>
      <c r="B42" s="163"/>
      <c r="C42" s="158"/>
      <c r="E42" s="268"/>
      <c r="F42" s="268"/>
      <c r="G42" s="268"/>
      <c r="H42" s="40"/>
      <c r="I42" s="130"/>
      <c r="J42" s="130"/>
      <c r="K42" s="130"/>
      <c r="L42" s="130"/>
      <c r="M42" s="130"/>
      <c r="N42" s="126"/>
      <c r="O42" s="204"/>
      <c r="P42" s="126"/>
      <c r="Q42" s="124"/>
      <c r="R42" s="192"/>
      <c r="S42" s="126"/>
      <c r="T42" s="200"/>
      <c r="U42" s="200"/>
      <c r="V42" s="200"/>
      <c r="W42" s="200"/>
      <c r="X42" s="200"/>
      <c r="Y42" s="200"/>
      <c r="Z42" s="192" t="str">
        <f ca="1">IF(Flag_Send_Data=1,_xll.DBSW(PL_Saisie_Estime2!Z42,Server&amp;Cube1,PL_Saisie_Estime2!$F$17,PL_Saisie_Estime2!$F$18,PL_Saisie_Estime2!$F$19,PL_Saisie_Estime2!$F$16,PL_Saisie_Estime2!$C$14,PL_Saisie_Estime2!$F$15,PL_Saisie_Estime2!$F$14,PL_Saisie_Estime2!$F$20,PL_Saisie_Estime2!Z$2,PL_Saisie_Estime2!Z$1,PL_Saisie_Estime2!$C42),"")</f>
        <v/>
      </c>
      <c r="AA42" s="192" t="str">
        <f ca="1">IF(Flag_Send_Data=1,_xll.DBSW(PL_Saisie_Estime2!AA42,Server&amp;Cube1,PL_Saisie_Estime2!$F$17,PL_Saisie_Estime2!$F$18,PL_Saisie_Estime2!$F$19,PL_Saisie_Estime2!$F$16,PL_Saisie_Estime2!$C$14,PL_Saisie_Estime2!$F$15,PL_Saisie_Estime2!$F$14,PL_Saisie_Estime2!$F$20,PL_Saisie_Estime2!AA$2,PL_Saisie_Estime2!AA$1,PL_Saisie_Estime2!$C42),"")</f>
        <v/>
      </c>
      <c r="AB42" s="192" t="str">
        <f ca="1">IF(Flag_Send_Data=1,_xll.DBSW(PL_Saisie_Estime2!AB42,Server&amp;Cube1,PL_Saisie_Estime2!$F$17,PL_Saisie_Estime2!$F$18,PL_Saisie_Estime2!$F$19,PL_Saisie_Estime2!$F$16,PL_Saisie_Estime2!$C$14,PL_Saisie_Estime2!$F$15,PL_Saisie_Estime2!$F$14,PL_Saisie_Estime2!$F$20,PL_Saisie_Estime2!AB$2,PL_Saisie_Estime2!AB$1,PL_Saisie_Estime2!$C42),"")</f>
        <v/>
      </c>
      <c r="AC42" s="192" t="str">
        <f ca="1">IF(Flag_Send_Data=1,_xll.DBSW(PL_Saisie_Estime2!AC42,Server&amp;Cube1,PL_Saisie_Estime2!$F$17,PL_Saisie_Estime2!$F$18,PL_Saisie_Estime2!$F$19,PL_Saisie_Estime2!$F$16,PL_Saisie_Estime2!$C$14,PL_Saisie_Estime2!$F$15,PL_Saisie_Estime2!$F$14,PL_Saisie_Estime2!$F$20,PL_Saisie_Estime2!AC$2,PL_Saisie_Estime2!AC$1,PL_Saisie_Estime2!$C42),"")</f>
        <v/>
      </c>
      <c r="AD42" s="192" t="str">
        <f ca="1">IF(Flag_Send_Data=1,_xll.DBSW(PL_Saisie_Estime2!AD42,Server&amp;Cube1,PL_Saisie_Estime2!$F$17,PL_Saisie_Estime2!$F$18,PL_Saisie_Estime2!$F$19,PL_Saisie_Estime2!$F$16,PL_Saisie_Estime2!$C$14,PL_Saisie_Estime2!$F$15,PL_Saisie_Estime2!$F$14,PL_Saisie_Estime2!$F$20,PL_Saisie_Estime2!AD$2,PL_Saisie_Estime2!AD$1,PL_Saisie_Estime2!$C42),"")</f>
        <v/>
      </c>
      <c r="AE42" s="192" t="str">
        <f ca="1">IF(Flag_Send_Data=1,_xll.DBSW(PL_Saisie_Estime2!AE42,Server&amp;Cube1,PL_Saisie_Estime2!$F$17,PL_Saisie_Estime2!$F$18,PL_Saisie_Estime2!$F$19,PL_Saisie_Estime2!$F$16,PL_Saisie_Estime2!$C$14,PL_Saisie_Estime2!$F$15,PL_Saisie_Estime2!$F$14,PL_Saisie_Estime2!$F$20,PL_Saisie_Estime2!AE$2,PL_Saisie_Estime2!AE$1,PL_Saisie_Estime2!$C42),"")</f>
        <v/>
      </c>
      <c r="AF42" s="204"/>
      <c r="AG42" s="53"/>
      <c r="AH42" s="53"/>
      <c r="AI42" s="53"/>
      <c r="AJ42" s="53"/>
      <c r="AK42" s="53"/>
      <c r="AL42" s="53"/>
      <c r="AM42" s="53"/>
      <c r="AN42" s="53"/>
      <c r="AO42" s="53"/>
      <c r="AP42" s="73" t="s">
        <v>46</v>
      </c>
      <c r="AQ42" s="53"/>
      <c r="AR42" s="266"/>
      <c r="AS42" s="169">
        <v>4210</v>
      </c>
      <c r="AT42" s="212" t="s">
        <v>467</v>
      </c>
    </row>
    <row r="43" spans="1:53" s="9" customFormat="1" ht="24.95" customHeight="1" x14ac:dyDescent="0.35">
      <c r="A43" s="181"/>
      <c r="B43" s="163"/>
      <c r="C43" s="158"/>
      <c r="E43" s="268"/>
      <c r="F43" s="268"/>
      <c r="G43" s="268"/>
      <c r="H43" s="40"/>
      <c r="I43" s="130"/>
      <c r="J43" s="130"/>
      <c r="K43" s="130"/>
      <c r="L43" s="130"/>
      <c r="M43" s="130"/>
      <c r="N43" s="126"/>
      <c r="O43" s="204"/>
      <c r="P43" s="126"/>
      <c r="Q43" s="124"/>
      <c r="R43" s="192"/>
      <c r="S43" s="126"/>
      <c r="T43" s="200"/>
      <c r="U43" s="200"/>
      <c r="V43" s="200"/>
      <c r="W43" s="200"/>
      <c r="X43" s="200"/>
      <c r="Y43" s="200"/>
      <c r="Z43" s="192" t="str">
        <f ca="1">IF(Flag_Send_Data=1,_xll.DBSW(PL_Saisie_Estime2!Z43,Server&amp;Cube1,PL_Saisie_Estime2!$F$17,PL_Saisie_Estime2!$F$18,PL_Saisie_Estime2!$F$19,PL_Saisie_Estime2!$F$16,PL_Saisie_Estime2!$C$14,PL_Saisie_Estime2!$F$15,PL_Saisie_Estime2!$F$14,PL_Saisie_Estime2!$F$20,PL_Saisie_Estime2!Z$2,PL_Saisie_Estime2!Z$1,PL_Saisie_Estime2!$C43),"")</f>
        <v/>
      </c>
      <c r="AA43" s="192" t="str">
        <f ca="1">IF(Flag_Send_Data=1,_xll.DBSW(PL_Saisie_Estime2!AA43,Server&amp;Cube1,PL_Saisie_Estime2!$F$17,PL_Saisie_Estime2!$F$18,PL_Saisie_Estime2!$F$19,PL_Saisie_Estime2!$F$16,PL_Saisie_Estime2!$C$14,PL_Saisie_Estime2!$F$15,PL_Saisie_Estime2!$F$14,PL_Saisie_Estime2!$F$20,PL_Saisie_Estime2!AA$2,PL_Saisie_Estime2!AA$1,PL_Saisie_Estime2!$C43),"")</f>
        <v/>
      </c>
      <c r="AB43" s="192" t="str">
        <f ca="1">IF(Flag_Send_Data=1,_xll.DBSW(PL_Saisie_Estime2!AB43,Server&amp;Cube1,PL_Saisie_Estime2!$F$17,PL_Saisie_Estime2!$F$18,PL_Saisie_Estime2!$F$19,PL_Saisie_Estime2!$F$16,PL_Saisie_Estime2!$C$14,PL_Saisie_Estime2!$F$15,PL_Saisie_Estime2!$F$14,PL_Saisie_Estime2!$F$20,PL_Saisie_Estime2!AB$2,PL_Saisie_Estime2!AB$1,PL_Saisie_Estime2!$C43),"")</f>
        <v/>
      </c>
      <c r="AC43" s="192" t="str">
        <f ca="1">IF(Flag_Send_Data=1,_xll.DBSW(PL_Saisie_Estime2!AC43,Server&amp;Cube1,PL_Saisie_Estime2!$F$17,PL_Saisie_Estime2!$F$18,PL_Saisie_Estime2!$F$19,PL_Saisie_Estime2!$F$16,PL_Saisie_Estime2!$C$14,PL_Saisie_Estime2!$F$15,PL_Saisie_Estime2!$F$14,PL_Saisie_Estime2!$F$20,PL_Saisie_Estime2!AC$2,PL_Saisie_Estime2!AC$1,PL_Saisie_Estime2!$C43),"")</f>
        <v/>
      </c>
      <c r="AD43" s="192" t="str">
        <f ca="1">IF(Flag_Send_Data=1,_xll.DBSW(PL_Saisie_Estime2!AD43,Server&amp;Cube1,PL_Saisie_Estime2!$F$17,PL_Saisie_Estime2!$F$18,PL_Saisie_Estime2!$F$19,PL_Saisie_Estime2!$F$16,PL_Saisie_Estime2!$C$14,PL_Saisie_Estime2!$F$15,PL_Saisie_Estime2!$F$14,PL_Saisie_Estime2!$F$20,PL_Saisie_Estime2!AD$2,PL_Saisie_Estime2!AD$1,PL_Saisie_Estime2!$C43),"")</f>
        <v/>
      </c>
      <c r="AE43" s="192" t="str">
        <f ca="1">IF(Flag_Send_Data=1,_xll.DBSW(PL_Saisie_Estime2!AE43,Server&amp;Cube1,PL_Saisie_Estime2!$F$17,PL_Saisie_Estime2!$F$18,PL_Saisie_Estime2!$F$19,PL_Saisie_Estime2!$F$16,PL_Saisie_Estime2!$C$14,PL_Saisie_Estime2!$F$15,PL_Saisie_Estime2!$F$14,PL_Saisie_Estime2!$F$20,PL_Saisie_Estime2!AE$2,PL_Saisie_Estime2!AE$1,PL_Saisie_Estime2!$C43),"")</f>
        <v/>
      </c>
      <c r="AF43" s="204"/>
      <c r="AG43" s="53"/>
      <c r="AH43" s="53"/>
      <c r="AI43" s="53"/>
      <c r="AJ43" s="53"/>
      <c r="AK43" s="53"/>
      <c r="AL43" s="53"/>
      <c r="AM43" s="53"/>
      <c r="AN43" s="53"/>
      <c r="AO43" s="53"/>
      <c r="AP43" s="73" t="s">
        <v>47</v>
      </c>
      <c r="AQ43" s="53"/>
      <c r="AR43" s="266"/>
      <c r="AS43" s="169">
        <v>4220</v>
      </c>
      <c r="AT43" s="212" t="s">
        <v>467</v>
      </c>
    </row>
    <row r="44" spans="1:53" s="9" customFormat="1" ht="24.95" customHeight="1" x14ac:dyDescent="0.35">
      <c r="A44" s="181"/>
      <c r="B44" s="163"/>
      <c r="C44" s="158"/>
      <c r="E44" s="268"/>
      <c r="F44" s="268"/>
      <c r="G44" s="268"/>
      <c r="H44" s="40"/>
      <c r="I44" s="130"/>
      <c r="J44" s="130"/>
      <c r="K44" s="130"/>
      <c r="L44" s="130"/>
      <c r="M44" s="130"/>
      <c r="N44" s="126"/>
      <c r="O44" s="204"/>
      <c r="P44" s="126"/>
      <c r="Q44" s="124"/>
      <c r="R44" s="192"/>
      <c r="S44" s="126"/>
      <c r="T44" s="200"/>
      <c r="U44" s="200"/>
      <c r="V44" s="200"/>
      <c r="W44" s="200"/>
      <c r="X44" s="200"/>
      <c r="Y44" s="200"/>
      <c r="Z44" s="192" t="str">
        <f ca="1">IF(Flag_Send_Data=1,_xll.DBSW(PL_Saisie_Estime2!Z44,Server&amp;Cube1,PL_Saisie_Estime2!$F$17,PL_Saisie_Estime2!$F$18,PL_Saisie_Estime2!$F$19,PL_Saisie_Estime2!$F$16,PL_Saisie_Estime2!$C$14,PL_Saisie_Estime2!$F$15,PL_Saisie_Estime2!$F$14,PL_Saisie_Estime2!$F$20,PL_Saisie_Estime2!Z$2,PL_Saisie_Estime2!Z$1,PL_Saisie_Estime2!$C44),"")</f>
        <v/>
      </c>
      <c r="AA44" s="192" t="str">
        <f ca="1">IF(Flag_Send_Data=1,_xll.DBSW(PL_Saisie_Estime2!AA44,Server&amp;Cube1,PL_Saisie_Estime2!$F$17,PL_Saisie_Estime2!$F$18,PL_Saisie_Estime2!$F$19,PL_Saisie_Estime2!$F$16,PL_Saisie_Estime2!$C$14,PL_Saisie_Estime2!$F$15,PL_Saisie_Estime2!$F$14,PL_Saisie_Estime2!$F$20,PL_Saisie_Estime2!AA$2,PL_Saisie_Estime2!AA$1,PL_Saisie_Estime2!$C44),"")</f>
        <v/>
      </c>
      <c r="AB44" s="192" t="str">
        <f ca="1">IF(Flag_Send_Data=1,_xll.DBSW(PL_Saisie_Estime2!AB44,Server&amp;Cube1,PL_Saisie_Estime2!$F$17,PL_Saisie_Estime2!$F$18,PL_Saisie_Estime2!$F$19,PL_Saisie_Estime2!$F$16,PL_Saisie_Estime2!$C$14,PL_Saisie_Estime2!$F$15,PL_Saisie_Estime2!$F$14,PL_Saisie_Estime2!$F$20,PL_Saisie_Estime2!AB$2,PL_Saisie_Estime2!AB$1,PL_Saisie_Estime2!$C44),"")</f>
        <v/>
      </c>
      <c r="AC44" s="192" t="str">
        <f ca="1">IF(Flag_Send_Data=1,_xll.DBSW(PL_Saisie_Estime2!AC44,Server&amp;Cube1,PL_Saisie_Estime2!$F$17,PL_Saisie_Estime2!$F$18,PL_Saisie_Estime2!$F$19,PL_Saisie_Estime2!$F$16,PL_Saisie_Estime2!$C$14,PL_Saisie_Estime2!$F$15,PL_Saisie_Estime2!$F$14,PL_Saisie_Estime2!$F$20,PL_Saisie_Estime2!AC$2,PL_Saisie_Estime2!AC$1,PL_Saisie_Estime2!$C44),"")</f>
        <v/>
      </c>
      <c r="AD44" s="192" t="str">
        <f ca="1">IF(Flag_Send_Data=1,_xll.DBSW(PL_Saisie_Estime2!AD44,Server&amp;Cube1,PL_Saisie_Estime2!$F$17,PL_Saisie_Estime2!$F$18,PL_Saisie_Estime2!$F$19,PL_Saisie_Estime2!$F$16,PL_Saisie_Estime2!$C$14,PL_Saisie_Estime2!$F$15,PL_Saisie_Estime2!$F$14,PL_Saisie_Estime2!$F$20,PL_Saisie_Estime2!AD$2,PL_Saisie_Estime2!AD$1,PL_Saisie_Estime2!$C44),"")</f>
        <v/>
      </c>
      <c r="AE44" s="192" t="str">
        <f ca="1">IF(Flag_Send_Data=1,_xll.DBSW(PL_Saisie_Estime2!AE44,Server&amp;Cube1,PL_Saisie_Estime2!$F$17,PL_Saisie_Estime2!$F$18,PL_Saisie_Estime2!$F$19,PL_Saisie_Estime2!$F$16,PL_Saisie_Estime2!$C$14,PL_Saisie_Estime2!$F$15,PL_Saisie_Estime2!$F$14,PL_Saisie_Estime2!$F$20,PL_Saisie_Estime2!AE$2,PL_Saisie_Estime2!AE$1,PL_Saisie_Estime2!$C44),"")</f>
        <v/>
      </c>
      <c r="AF44" s="204"/>
      <c r="AG44" s="53"/>
      <c r="AH44" s="53"/>
      <c r="AI44" s="53"/>
      <c r="AJ44" s="53"/>
      <c r="AK44" s="53"/>
      <c r="AL44" s="53"/>
      <c r="AM44" s="53"/>
      <c r="AN44" s="53"/>
      <c r="AO44" s="53"/>
      <c r="AP44" s="73" t="s">
        <v>48</v>
      </c>
      <c r="AQ44" s="53"/>
      <c r="AR44" s="266"/>
      <c r="AS44" s="169">
        <v>4230</v>
      </c>
      <c r="AT44" s="212" t="s">
        <v>467</v>
      </c>
    </row>
    <row r="45" spans="1:53" s="9" customFormat="1" ht="24.95" customHeight="1" x14ac:dyDescent="0.35">
      <c r="A45" s="181"/>
      <c r="B45" s="163"/>
      <c r="C45" s="158"/>
      <c r="E45" s="268"/>
      <c r="F45" s="268"/>
      <c r="G45" s="268"/>
      <c r="H45" s="40"/>
      <c r="I45" s="130"/>
      <c r="J45" s="130"/>
      <c r="K45" s="130"/>
      <c r="L45" s="130"/>
      <c r="M45" s="130"/>
      <c r="N45" s="126"/>
      <c r="O45" s="204"/>
      <c r="P45" s="126"/>
      <c r="Q45" s="124"/>
      <c r="R45" s="192"/>
      <c r="S45" s="126"/>
      <c r="T45" s="200"/>
      <c r="U45" s="200"/>
      <c r="V45" s="200"/>
      <c r="W45" s="200"/>
      <c r="X45" s="200"/>
      <c r="Y45" s="200"/>
      <c r="Z45" s="192" t="str">
        <f ca="1">IF(Flag_Send_Data=1,_xll.DBSW(PL_Saisie_Estime2!Z45,Server&amp;Cube1,PL_Saisie_Estime2!$F$17,PL_Saisie_Estime2!$F$18,PL_Saisie_Estime2!$F$19,PL_Saisie_Estime2!$F$16,PL_Saisie_Estime2!$C$14,PL_Saisie_Estime2!$F$15,PL_Saisie_Estime2!$F$14,PL_Saisie_Estime2!$F$20,PL_Saisie_Estime2!Z$2,PL_Saisie_Estime2!Z$1,PL_Saisie_Estime2!$C45),"")</f>
        <v/>
      </c>
      <c r="AA45" s="192" t="str">
        <f ca="1">IF(Flag_Send_Data=1,_xll.DBSW(PL_Saisie_Estime2!AA45,Server&amp;Cube1,PL_Saisie_Estime2!$F$17,PL_Saisie_Estime2!$F$18,PL_Saisie_Estime2!$F$19,PL_Saisie_Estime2!$F$16,PL_Saisie_Estime2!$C$14,PL_Saisie_Estime2!$F$15,PL_Saisie_Estime2!$F$14,PL_Saisie_Estime2!$F$20,PL_Saisie_Estime2!AA$2,PL_Saisie_Estime2!AA$1,PL_Saisie_Estime2!$C45),"")</f>
        <v/>
      </c>
      <c r="AB45" s="192" t="str">
        <f ca="1">IF(Flag_Send_Data=1,_xll.DBSW(PL_Saisie_Estime2!AB45,Server&amp;Cube1,PL_Saisie_Estime2!$F$17,PL_Saisie_Estime2!$F$18,PL_Saisie_Estime2!$F$19,PL_Saisie_Estime2!$F$16,PL_Saisie_Estime2!$C$14,PL_Saisie_Estime2!$F$15,PL_Saisie_Estime2!$F$14,PL_Saisie_Estime2!$F$20,PL_Saisie_Estime2!AB$2,PL_Saisie_Estime2!AB$1,PL_Saisie_Estime2!$C45),"")</f>
        <v/>
      </c>
      <c r="AC45" s="192" t="str">
        <f ca="1">IF(Flag_Send_Data=1,_xll.DBSW(PL_Saisie_Estime2!AC45,Server&amp;Cube1,PL_Saisie_Estime2!$F$17,PL_Saisie_Estime2!$F$18,PL_Saisie_Estime2!$F$19,PL_Saisie_Estime2!$F$16,PL_Saisie_Estime2!$C$14,PL_Saisie_Estime2!$F$15,PL_Saisie_Estime2!$F$14,PL_Saisie_Estime2!$F$20,PL_Saisie_Estime2!AC$2,PL_Saisie_Estime2!AC$1,PL_Saisie_Estime2!$C45),"")</f>
        <v/>
      </c>
      <c r="AD45" s="192" t="str">
        <f ca="1">IF(Flag_Send_Data=1,_xll.DBSW(PL_Saisie_Estime2!AD45,Server&amp;Cube1,PL_Saisie_Estime2!$F$17,PL_Saisie_Estime2!$F$18,PL_Saisie_Estime2!$F$19,PL_Saisie_Estime2!$F$16,PL_Saisie_Estime2!$C$14,PL_Saisie_Estime2!$F$15,PL_Saisie_Estime2!$F$14,PL_Saisie_Estime2!$F$20,PL_Saisie_Estime2!AD$2,PL_Saisie_Estime2!AD$1,PL_Saisie_Estime2!$C45),"")</f>
        <v/>
      </c>
      <c r="AE45" s="192" t="str">
        <f ca="1">IF(Flag_Send_Data=1,_xll.DBSW(PL_Saisie_Estime2!AE45,Server&amp;Cube1,PL_Saisie_Estime2!$F$17,PL_Saisie_Estime2!$F$18,PL_Saisie_Estime2!$F$19,PL_Saisie_Estime2!$F$16,PL_Saisie_Estime2!$C$14,PL_Saisie_Estime2!$F$15,PL_Saisie_Estime2!$F$14,PL_Saisie_Estime2!$F$20,PL_Saisie_Estime2!AE$2,PL_Saisie_Estime2!AE$1,PL_Saisie_Estime2!$C45),"")</f>
        <v/>
      </c>
      <c r="AF45" s="204"/>
      <c r="AG45" s="53"/>
      <c r="AH45" s="53"/>
      <c r="AI45" s="53"/>
      <c r="AJ45" s="53"/>
      <c r="AK45" s="53"/>
      <c r="AL45" s="53"/>
      <c r="AM45" s="53"/>
      <c r="AN45" s="53"/>
      <c r="AO45" s="53"/>
      <c r="AP45" s="73" t="s">
        <v>49</v>
      </c>
      <c r="AQ45" s="53"/>
      <c r="AR45" s="266"/>
      <c r="AS45" s="169">
        <v>4240</v>
      </c>
      <c r="AT45" s="212" t="s">
        <v>467</v>
      </c>
    </row>
    <row r="46" spans="1:53" s="9" customFormat="1" ht="24.95" customHeight="1" x14ac:dyDescent="0.35">
      <c r="A46" s="181"/>
      <c r="B46" s="163"/>
      <c r="C46" s="158"/>
      <c r="E46" s="268"/>
      <c r="F46" s="268"/>
      <c r="G46" s="268"/>
      <c r="H46" s="40"/>
      <c r="I46" s="130"/>
      <c r="J46" s="130"/>
      <c r="K46" s="130"/>
      <c r="L46" s="130"/>
      <c r="M46" s="130"/>
      <c r="N46" s="126"/>
      <c r="O46" s="204"/>
      <c r="P46" s="126"/>
      <c r="Q46" s="124"/>
      <c r="R46" s="192"/>
      <c r="S46" s="126"/>
      <c r="T46" s="200"/>
      <c r="U46" s="200"/>
      <c r="V46" s="200"/>
      <c r="W46" s="200"/>
      <c r="X46" s="200"/>
      <c r="Y46" s="200"/>
      <c r="Z46" s="192" t="str">
        <f ca="1">IF(Flag_Send_Data=1,_xll.DBSW(PL_Saisie_Estime2!Z46,Server&amp;Cube1,PL_Saisie_Estime2!$F$17,PL_Saisie_Estime2!$F$18,PL_Saisie_Estime2!$F$19,PL_Saisie_Estime2!$F$16,PL_Saisie_Estime2!$C$14,PL_Saisie_Estime2!$F$15,PL_Saisie_Estime2!$F$14,PL_Saisie_Estime2!$F$20,PL_Saisie_Estime2!Z$2,PL_Saisie_Estime2!Z$1,PL_Saisie_Estime2!$C46),"")</f>
        <v/>
      </c>
      <c r="AA46" s="192" t="str">
        <f ca="1">IF(Flag_Send_Data=1,_xll.DBSW(PL_Saisie_Estime2!AA46,Server&amp;Cube1,PL_Saisie_Estime2!$F$17,PL_Saisie_Estime2!$F$18,PL_Saisie_Estime2!$F$19,PL_Saisie_Estime2!$F$16,PL_Saisie_Estime2!$C$14,PL_Saisie_Estime2!$F$15,PL_Saisie_Estime2!$F$14,PL_Saisie_Estime2!$F$20,PL_Saisie_Estime2!AA$2,PL_Saisie_Estime2!AA$1,PL_Saisie_Estime2!$C46),"")</f>
        <v/>
      </c>
      <c r="AB46" s="192" t="str">
        <f ca="1">IF(Flag_Send_Data=1,_xll.DBSW(PL_Saisie_Estime2!AB46,Server&amp;Cube1,PL_Saisie_Estime2!$F$17,PL_Saisie_Estime2!$F$18,PL_Saisie_Estime2!$F$19,PL_Saisie_Estime2!$F$16,PL_Saisie_Estime2!$C$14,PL_Saisie_Estime2!$F$15,PL_Saisie_Estime2!$F$14,PL_Saisie_Estime2!$F$20,PL_Saisie_Estime2!AB$2,PL_Saisie_Estime2!AB$1,PL_Saisie_Estime2!$C46),"")</f>
        <v/>
      </c>
      <c r="AC46" s="192" t="str">
        <f ca="1">IF(Flag_Send_Data=1,_xll.DBSW(PL_Saisie_Estime2!AC46,Server&amp;Cube1,PL_Saisie_Estime2!$F$17,PL_Saisie_Estime2!$F$18,PL_Saisie_Estime2!$F$19,PL_Saisie_Estime2!$F$16,PL_Saisie_Estime2!$C$14,PL_Saisie_Estime2!$F$15,PL_Saisie_Estime2!$F$14,PL_Saisie_Estime2!$F$20,PL_Saisie_Estime2!AC$2,PL_Saisie_Estime2!AC$1,PL_Saisie_Estime2!$C46),"")</f>
        <v/>
      </c>
      <c r="AD46" s="192" t="str">
        <f ca="1">IF(Flag_Send_Data=1,_xll.DBSW(PL_Saisie_Estime2!AD46,Server&amp;Cube1,PL_Saisie_Estime2!$F$17,PL_Saisie_Estime2!$F$18,PL_Saisie_Estime2!$F$19,PL_Saisie_Estime2!$F$16,PL_Saisie_Estime2!$C$14,PL_Saisie_Estime2!$F$15,PL_Saisie_Estime2!$F$14,PL_Saisie_Estime2!$F$20,PL_Saisie_Estime2!AD$2,PL_Saisie_Estime2!AD$1,PL_Saisie_Estime2!$C46),"")</f>
        <v/>
      </c>
      <c r="AE46" s="192" t="str">
        <f ca="1">IF(Flag_Send_Data=1,_xll.DBSW(PL_Saisie_Estime2!AE46,Server&amp;Cube1,PL_Saisie_Estime2!$F$17,PL_Saisie_Estime2!$F$18,PL_Saisie_Estime2!$F$19,PL_Saisie_Estime2!$F$16,PL_Saisie_Estime2!$C$14,PL_Saisie_Estime2!$F$15,PL_Saisie_Estime2!$F$14,PL_Saisie_Estime2!$F$20,PL_Saisie_Estime2!AE$2,PL_Saisie_Estime2!AE$1,PL_Saisie_Estime2!$C46),"")</f>
        <v/>
      </c>
      <c r="AF46" s="204"/>
      <c r="AG46" s="53"/>
      <c r="AH46" s="53"/>
      <c r="AI46" s="53"/>
      <c r="AJ46" s="53"/>
      <c r="AK46" s="53"/>
      <c r="AL46" s="53"/>
      <c r="AM46" s="53"/>
      <c r="AN46" s="53"/>
      <c r="AO46" s="53"/>
      <c r="AP46" s="73" t="s">
        <v>50</v>
      </c>
      <c r="AQ46" s="53"/>
      <c r="AR46" s="266"/>
      <c r="AS46" s="169">
        <v>4250</v>
      </c>
      <c r="AT46" s="212" t="s">
        <v>467</v>
      </c>
    </row>
    <row r="47" spans="1:53" s="9" customFormat="1" ht="24.95" customHeight="1" thickBot="1" x14ac:dyDescent="0.4">
      <c r="A47" s="181"/>
      <c r="B47" s="163"/>
      <c r="C47" s="158"/>
      <c r="E47" s="268"/>
      <c r="F47" s="268"/>
      <c r="G47" s="268"/>
      <c r="H47" s="40"/>
      <c r="I47" s="130"/>
      <c r="J47" s="130"/>
      <c r="K47" s="130"/>
      <c r="L47" s="130"/>
      <c r="M47" s="130"/>
      <c r="N47" s="126"/>
      <c r="O47" s="204"/>
      <c r="P47" s="126"/>
      <c r="Q47" s="124"/>
      <c r="R47" s="192"/>
      <c r="S47" s="126"/>
      <c r="T47" s="200"/>
      <c r="U47" s="200"/>
      <c r="V47" s="200"/>
      <c r="W47" s="200"/>
      <c r="X47" s="200"/>
      <c r="Y47" s="200"/>
      <c r="Z47" s="192" t="str">
        <f ca="1">IF(Flag_Send_Data=1,_xll.DBSW(PL_Saisie_Estime2!Z47,Server&amp;Cube1,PL_Saisie_Estime2!$F$17,PL_Saisie_Estime2!$F$18,PL_Saisie_Estime2!$F$19,PL_Saisie_Estime2!$F$16,PL_Saisie_Estime2!$C$14,PL_Saisie_Estime2!$F$15,PL_Saisie_Estime2!$F$14,PL_Saisie_Estime2!$F$20,PL_Saisie_Estime2!Z$2,PL_Saisie_Estime2!Z$1,PL_Saisie_Estime2!$C47),"")</f>
        <v/>
      </c>
      <c r="AA47" s="192" t="str">
        <f ca="1">IF(Flag_Send_Data=1,_xll.DBSW(PL_Saisie_Estime2!AA47,Server&amp;Cube1,PL_Saisie_Estime2!$F$17,PL_Saisie_Estime2!$F$18,PL_Saisie_Estime2!$F$19,PL_Saisie_Estime2!$F$16,PL_Saisie_Estime2!$C$14,PL_Saisie_Estime2!$F$15,PL_Saisie_Estime2!$F$14,PL_Saisie_Estime2!$F$20,PL_Saisie_Estime2!AA$2,PL_Saisie_Estime2!AA$1,PL_Saisie_Estime2!$C47),"")</f>
        <v/>
      </c>
      <c r="AB47" s="192" t="str">
        <f ca="1">IF(Flag_Send_Data=1,_xll.DBSW(PL_Saisie_Estime2!AB47,Server&amp;Cube1,PL_Saisie_Estime2!$F$17,PL_Saisie_Estime2!$F$18,PL_Saisie_Estime2!$F$19,PL_Saisie_Estime2!$F$16,PL_Saisie_Estime2!$C$14,PL_Saisie_Estime2!$F$15,PL_Saisie_Estime2!$F$14,PL_Saisie_Estime2!$F$20,PL_Saisie_Estime2!AB$2,PL_Saisie_Estime2!AB$1,PL_Saisie_Estime2!$C47),"")</f>
        <v/>
      </c>
      <c r="AC47" s="192" t="str">
        <f ca="1">IF(Flag_Send_Data=1,_xll.DBSW(PL_Saisie_Estime2!AC47,Server&amp;Cube1,PL_Saisie_Estime2!$F$17,PL_Saisie_Estime2!$F$18,PL_Saisie_Estime2!$F$19,PL_Saisie_Estime2!$F$16,PL_Saisie_Estime2!$C$14,PL_Saisie_Estime2!$F$15,PL_Saisie_Estime2!$F$14,PL_Saisie_Estime2!$F$20,PL_Saisie_Estime2!AC$2,PL_Saisie_Estime2!AC$1,PL_Saisie_Estime2!$C47),"")</f>
        <v/>
      </c>
      <c r="AD47" s="192" t="str">
        <f ca="1">IF(Flag_Send_Data=1,_xll.DBSW(PL_Saisie_Estime2!AD47,Server&amp;Cube1,PL_Saisie_Estime2!$F$17,PL_Saisie_Estime2!$F$18,PL_Saisie_Estime2!$F$19,PL_Saisie_Estime2!$F$16,PL_Saisie_Estime2!$C$14,PL_Saisie_Estime2!$F$15,PL_Saisie_Estime2!$F$14,PL_Saisie_Estime2!$F$20,PL_Saisie_Estime2!AD$2,PL_Saisie_Estime2!AD$1,PL_Saisie_Estime2!$C47),"")</f>
        <v/>
      </c>
      <c r="AE47" s="192" t="str">
        <f ca="1">IF(Flag_Send_Data=1,_xll.DBSW(PL_Saisie_Estime2!AE47,Server&amp;Cube1,PL_Saisie_Estime2!$F$17,PL_Saisie_Estime2!$F$18,PL_Saisie_Estime2!$F$19,PL_Saisie_Estime2!$F$16,PL_Saisie_Estime2!$C$14,PL_Saisie_Estime2!$F$15,PL_Saisie_Estime2!$F$14,PL_Saisie_Estime2!$F$20,PL_Saisie_Estime2!AE$2,PL_Saisie_Estime2!AE$1,PL_Saisie_Estime2!$C47),"")</f>
        <v/>
      </c>
      <c r="AF47" s="204"/>
      <c r="AG47" s="53"/>
      <c r="AH47" s="53"/>
      <c r="AI47" s="53"/>
      <c r="AJ47" s="53"/>
      <c r="AK47" s="53"/>
      <c r="AL47" s="53"/>
      <c r="AM47" s="53"/>
      <c r="AN47" s="53"/>
      <c r="AO47" s="53"/>
      <c r="AP47" s="73" t="s">
        <v>51</v>
      </c>
      <c r="AQ47" s="53"/>
      <c r="AR47" s="267"/>
      <c r="AS47" s="170">
        <v>5200</v>
      </c>
      <c r="AT47" s="213" t="s">
        <v>467</v>
      </c>
    </row>
    <row r="48" spans="1:53" s="9" customFormat="1" ht="24.95" customHeight="1" x14ac:dyDescent="0.35">
      <c r="A48" s="181"/>
      <c r="B48" s="163"/>
      <c r="C48" s="158"/>
      <c r="E48" s="268"/>
      <c r="F48" s="268"/>
      <c r="G48" s="268"/>
      <c r="H48" s="40"/>
      <c r="I48" s="130"/>
      <c r="J48" s="130"/>
      <c r="K48" s="130"/>
      <c r="L48" s="130"/>
      <c r="M48" s="130"/>
      <c r="N48" s="126"/>
      <c r="O48" s="204"/>
      <c r="P48" s="126"/>
      <c r="Q48" s="124"/>
      <c r="R48" s="192"/>
      <c r="S48" s="126"/>
      <c r="T48" s="200"/>
      <c r="U48" s="200"/>
      <c r="V48" s="200"/>
      <c r="W48" s="200"/>
      <c r="X48" s="200"/>
      <c r="Y48" s="200"/>
      <c r="Z48" s="192" t="str">
        <f ca="1">IF(Flag_Send_Data=1,_xll.DBSW(PL_Saisie_Estime2!Z48,Server&amp;Cube1,PL_Saisie_Estime2!$F$17,PL_Saisie_Estime2!$F$18,PL_Saisie_Estime2!$F$19,PL_Saisie_Estime2!$F$16,PL_Saisie_Estime2!$C$14,PL_Saisie_Estime2!$F$15,PL_Saisie_Estime2!$F$14,PL_Saisie_Estime2!$F$20,PL_Saisie_Estime2!Z$2,PL_Saisie_Estime2!Z$1,PL_Saisie_Estime2!$C48),"")</f>
        <v/>
      </c>
      <c r="AA48" s="192" t="str">
        <f ca="1">IF(Flag_Send_Data=1,_xll.DBSW(PL_Saisie_Estime2!AA48,Server&amp;Cube1,PL_Saisie_Estime2!$F$17,PL_Saisie_Estime2!$F$18,PL_Saisie_Estime2!$F$19,PL_Saisie_Estime2!$F$16,PL_Saisie_Estime2!$C$14,PL_Saisie_Estime2!$F$15,PL_Saisie_Estime2!$F$14,PL_Saisie_Estime2!$F$20,PL_Saisie_Estime2!AA$2,PL_Saisie_Estime2!AA$1,PL_Saisie_Estime2!$C48),"")</f>
        <v/>
      </c>
      <c r="AB48" s="192" t="str">
        <f ca="1">IF(Flag_Send_Data=1,_xll.DBSW(PL_Saisie_Estime2!AB48,Server&amp;Cube1,PL_Saisie_Estime2!$F$17,PL_Saisie_Estime2!$F$18,PL_Saisie_Estime2!$F$19,PL_Saisie_Estime2!$F$16,PL_Saisie_Estime2!$C$14,PL_Saisie_Estime2!$F$15,PL_Saisie_Estime2!$F$14,PL_Saisie_Estime2!$F$20,PL_Saisie_Estime2!AB$2,PL_Saisie_Estime2!AB$1,PL_Saisie_Estime2!$C48),"")</f>
        <v/>
      </c>
      <c r="AC48" s="192" t="str">
        <f ca="1">IF(Flag_Send_Data=1,_xll.DBSW(PL_Saisie_Estime2!AC48,Server&amp;Cube1,PL_Saisie_Estime2!$F$17,PL_Saisie_Estime2!$F$18,PL_Saisie_Estime2!$F$19,PL_Saisie_Estime2!$F$16,PL_Saisie_Estime2!$C$14,PL_Saisie_Estime2!$F$15,PL_Saisie_Estime2!$F$14,PL_Saisie_Estime2!$F$20,PL_Saisie_Estime2!AC$2,PL_Saisie_Estime2!AC$1,PL_Saisie_Estime2!$C48),"")</f>
        <v/>
      </c>
      <c r="AD48" s="192" t="str">
        <f ca="1">IF(Flag_Send_Data=1,_xll.DBSW(PL_Saisie_Estime2!AD48,Server&amp;Cube1,PL_Saisie_Estime2!$F$17,PL_Saisie_Estime2!$F$18,PL_Saisie_Estime2!$F$19,PL_Saisie_Estime2!$F$16,PL_Saisie_Estime2!$C$14,PL_Saisie_Estime2!$F$15,PL_Saisie_Estime2!$F$14,PL_Saisie_Estime2!$F$20,PL_Saisie_Estime2!AD$2,PL_Saisie_Estime2!AD$1,PL_Saisie_Estime2!$C48),"")</f>
        <v/>
      </c>
      <c r="AE48" s="192" t="str">
        <f ca="1">IF(Flag_Send_Data=1,_xll.DBSW(PL_Saisie_Estime2!AE48,Server&amp;Cube1,PL_Saisie_Estime2!$F$17,PL_Saisie_Estime2!$F$18,PL_Saisie_Estime2!$F$19,PL_Saisie_Estime2!$F$16,PL_Saisie_Estime2!$C$14,PL_Saisie_Estime2!$F$15,PL_Saisie_Estime2!$F$14,PL_Saisie_Estime2!$F$20,PL_Saisie_Estime2!AE$2,PL_Saisie_Estime2!AE$1,PL_Saisie_Estime2!$C48),"")</f>
        <v/>
      </c>
      <c r="AF48" s="204"/>
      <c r="AG48" s="53"/>
      <c r="AH48" s="53"/>
      <c r="AI48" s="53"/>
      <c r="AJ48" s="53"/>
      <c r="AK48" s="53"/>
      <c r="AL48" s="53"/>
      <c r="AM48" s="53"/>
      <c r="AN48" s="53"/>
      <c r="AO48" s="53"/>
      <c r="AP48" s="73" t="s">
        <v>52</v>
      </c>
      <c r="AQ48" s="53"/>
      <c r="AR48" s="265" t="s">
        <v>469</v>
      </c>
      <c r="AS48" s="168">
        <v>4400</v>
      </c>
      <c r="AT48" s="211" t="s">
        <v>490</v>
      </c>
    </row>
    <row r="49" spans="1:53" s="9" customFormat="1" ht="24.75" customHeight="1" collapsed="1" thickBot="1" x14ac:dyDescent="0.4">
      <c r="A49" s="181"/>
      <c r="B49" s="163"/>
      <c r="C49" s="117"/>
      <c r="E49" s="270"/>
      <c r="F49" s="270"/>
      <c r="G49" s="270"/>
      <c r="H49" s="40"/>
      <c r="I49" s="130"/>
      <c r="J49" s="130"/>
      <c r="K49" s="130"/>
      <c r="L49" s="130"/>
      <c r="M49" s="130"/>
      <c r="N49" s="125"/>
      <c r="O49" s="125"/>
      <c r="P49" s="125"/>
      <c r="Q49" s="124"/>
      <c r="R49" s="125"/>
      <c r="S49" s="125"/>
      <c r="T49" s="201"/>
      <c r="U49" s="201"/>
      <c r="V49" s="201"/>
      <c r="W49" s="201"/>
      <c r="X49" s="125"/>
      <c r="Y49" s="125"/>
      <c r="Z49" s="125"/>
      <c r="AA49" s="125"/>
      <c r="AB49" s="125"/>
      <c r="AC49" s="125"/>
      <c r="AD49" s="125"/>
      <c r="AE49" s="125"/>
      <c r="AF49" s="125"/>
      <c r="AG49" s="53"/>
      <c r="AH49" s="53"/>
      <c r="AI49" s="53"/>
      <c r="AJ49" s="53"/>
      <c r="AK49" s="53"/>
      <c r="AL49" s="53"/>
      <c r="AM49" s="53"/>
      <c r="AN49" s="53"/>
      <c r="AO49" s="53"/>
      <c r="AP49" s="74" t="s">
        <v>53</v>
      </c>
      <c r="AQ49" s="53"/>
      <c r="AR49" s="266"/>
      <c r="AS49" s="169">
        <v>4410</v>
      </c>
      <c r="AT49" s="212" t="s">
        <v>490</v>
      </c>
    </row>
    <row r="50" spans="1:53" s="9" customFormat="1" ht="24.75" customHeight="1" x14ac:dyDescent="0.35">
      <c r="A50" s="181"/>
      <c r="B50" s="163"/>
      <c r="C50" s="158"/>
      <c r="E50" s="268"/>
      <c r="F50" s="268"/>
      <c r="G50" s="268"/>
      <c r="H50" s="40"/>
      <c r="I50" s="130"/>
      <c r="J50" s="130"/>
      <c r="K50" s="130"/>
      <c r="L50" s="130"/>
      <c r="M50" s="130"/>
      <c r="N50" s="126"/>
      <c r="O50" s="204"/>
      <c r="P50" s="126"/>
      <c r="Q50" s="124"/>
      <c r="R50" s="192"/>
      <c r="S50" s="126"/>
      <c r="T50" s="200"/>
      <c r="U50" s="200"/>
      <c r="V50" s="200"/>
      <c r="W50" s="200"/>
      <c r="X50" s="200"/>
      <c r="Y50" s="200"/>
      <c r="Z50" s="192" t="str">
        <f ca="1">IF(Flag_Send_Data=1,_xll.DBSW(PL_Saisie_Estime2!Z50,Server&amp;Cube1,PL_Saisie_Estime2!$F$17,PL_Saisie_Estime2!$F$18,PL_Saisie_Estime2!$F$19,PL_Saisie_Estime2!$F$16,PL_Saisie_Estime2!$C$14,PL_Saisie_Estime2!$F$15,PL_Saisie_Estime2!$F$14,PL_Saisie_Estime2!$F$20,PL_Saisie_Estime2!Z$2,PL_Saisie_Estime2!Z$1,PL_Saisie_Estime2!$C50),"")</f>
        <v/>
      </c>
      <c r="AA50" s="192" t="str">
        <f ca="1">IF(Flag_Send_Data=1,_xll.DBSW(PL_Saisie_Estime2!AA50,Server&amp;Cube1,PL_Saisie_Estime2!$F$17,PL_Saisie_Estime2!$F$18,PL_Saisie_Estime2!$F$19,PL_Saisie_Estime2!$F$16,PL_Saisie_Estime2!$C$14,PL_Saisie_Estime2!$F$15,PL_Saisie_Estime2!$F$14,PL_Saisie_Estime2!$F$20,PL_Saisie_Estime2!AA$2,PL_Saisie_Estime2!AA$1,PL_Saisie_Estime2!$C50),"")</f>
        <v/>
      </c>
      <c r="AB50" s="192" t="str">
        <f ca="1">IF(Flag_Send_Data=1,_xll.DBSW(PL_Saisie_Estime2!AB50,Server&amp;Cube1,PL_Saisie_Estime2!$F$17,PL_Saisie_Estime2!$F$18,PL_Saisie_Estime2!$F$19,PL_Saisie_Estime2!$F$16,PL_Saisie_Estime2!$C$14,PL_Saisie_Estime2!$F$15,PL_Saisie_Estime2!$F$14,PL_Saisie_Estime2!$F$20,PL_Saisie_Estime2!AB$2,PL_Saisie_Estime2!AB$1,PL_Saisie_Estime2!$C50),"")</f>
        <v/>
      </c>
      <c r="AC50" s="192" t="str">
        <f ca="1">IF(Flag_Send_Data=1,_xll.DBSW(PL_Saisie_Estime2!AC50,Server&amp;Cube1,PL_Saisie_Estime2!$F$17,PL_Saisie_Estime2!$F$18,PL_Saisie_Estime2!$F$19,PL_Saisie_Estime2!$F$16,PL_Saisie_Estime2!$C$14,PL_Saisie_Estime2!$F$15,PL_Saisie_Estime2!$F$14,PL_Saisie_Estime2!$F$20,PL_Saisie_Estime2!AC$2,PL_Saisie_Estime2!AC$1,PL_Saisie_Estime2!$C50),"")</f>
        <v/>
      </c>
      <c r="AD50" s="192" t="str">
        <f ca="1">IF(Flag_Send_Data=1,_xll.DBSW(PL_Saisie_Estime2!AD50,Server&amp;Cube1,PL_Saisie_Estime2!$F$17,PL_Saisie_Estime2!$F$18,PL_Saisie_Estime2!$F$19,PL_Saisie_Estime2!$F$16,PL_Saisie_Estime2!$C$14,PL_Saisie_Estime2!$F$15,PL_Saisie_Estime2!$F$14,PL_Saisie_Estime2!$F$20,PL_Saisie_Estime2!AD$2,PL_Saisie_Estime2!AD$1,PL_Saisie_Estime2!$C50),"")</f>
        <v/>
      </c>
      <c r="AE50" s="192" t="str">
        <f ca="1">IF(Flag_Send_Data=1,_xll.DBSW(PL_Saisie_Estime2!AE50,Server&amp;Cube1,PL_Saisie_Estime2!$F$17,PL_Saisie_Estime2!$F$18,PL_Saisie_Estime2!$F$19,PL_Saisie_Estime2!$F$16,PL_Saisie_Estime2!$C$14,PL_Saisie_Estime2!$F$15,PL_Saisie_Estime2!$F$14,PL_Saisie_Estime2!$F$20,PL_Saisie_Estime2!AE$2,PL_Saisie_Estime2!AE$1,PL_Saisie_Estime2!$C50),"")</f>
        <v/>
      </c>
      <c r="AF50" s="204"/>
      <c r="AG50" s="53"/>
      <c r="AH50" s="53"/>
      <c r="AI50" s="53"/>
      <c r="AJ50" s="53"/>
      <c r="AK50" s="53"/>
      <c r="AL50" s="53"/>
      <c r="AM50" s="53"/>
      <c r="AN50" s="53"/>
      <c r="AO50" s="53"/>
      <c r="AP50" s="64" t="s">
        <v>56</v>
      </c>
      <c r="AQ50" s="53"/>
      <c r="AR50" s="266"/>
      <c r="AS50" s="169">
        <v>4420</v>
      </c>
      <c r="AT50" s="212" t="s">
        <v>490</v>
      </c>
    </row>
    <row r="51" spans="1:53" s="9" customFormat="1" ht="24.75" customHeight="1" x14ac:dyDescent="0.35">
      <c r="A51" s="181"/>
      <c r="B51" s="163"/>
      <c r="C51" s="158"/>
      <c r="E51" s="268"/>
      <c r="F51" s="268"/>
      <c r="G51" s="268"/>
      <c r="H51" s="40"/>
      <c r="I51" s="130"/>
      <c r="J51" s="130"/>
      <c r="K51" s="130"/>
      <c r="L51" s="130"/>
      <c r="M51" s="130"/>
      <c r="N51" s="126"/>
      <c r="O51" s="204"/>
      <c r="P51" s="126"/>
      <c r="Q51" s="124"/>
      <c r="R51" s="192"/>
      <c r="S51" s="126"/>
      <c r="T51" s="200"/>
      <c r="U51" s="200"/>
      <c r="V51" s="200"/>
      <c r="W51" s="200"/>
      <c r="X51" s="200"/>
      <c r="Y51" s="200"/>
      <c r="Z51" s="192" t="str">
        <f ca="1">IF(Flag_Send_Data=1,_xll.DBSW(PL_Saisie_Estime2!Z51,Server&amp;Cube1,PL_Saisie_Estime2!$F$17,PL_Saisie_Estime2!$F$18,PL_Saisie_Estime2!$F$19,PL_Saisie_Estime2!$F$16,PL_Saisie_Estime2!$C$14,PL_Saisie_Estime2!$F$15,PL_Saisie_Estime2!$F$14,PL_Saisie_Estime2!$F$20,PL_Saisie_Estime2!Z$2,PL_Saisie_Estime2!Z$1,PL_Saisie_Estime2!$C51),"")</f>
        <v/>
      </c>
      <c r="AA51" s="192" t="str">
        <f ca="1">IF(Flag_Send_Data=1,_xll.DBSW(PL_Saisie_Estime2!AA51,Server&amp;Cube1,PL_Saisie_Estime2!$F$17,PL_Saisie_Estime2!$F$18,PL_Saisie_Estime2!$F$19,PL_Saisie_Estime2!$F$16,PL_Saisie_Estime2!$C$14,PL_Saisie_Estime2!$F$15,PL_Saisie_Estime2!$F$14,PL_Saisie_Estime2!$F$20,PL_Saisie_Estime2!AA$2,PL_Saisie_Estime2!AA$1,PL_Saisie_Estime2!$C51),"")</f>
        <v/>
      </c>
      <c r="AB51" s="192" t="str">
        <f ca="1">IF(Flag_Send_Data=1,_xll.DBSW(PL_Saisie_Estime2!AB51,Server&amp;Cube1,PL_Saisie_Estime2!$F$17,PL_Saisie_Estime2!$F$18,PL_Saisie_Estime2!$F$19,PL_Saisie_Estime2!$F$16,PL_Saisie_Estime2!$C$14,PL_Saisie_Estime2!$F$15,PL_Saisie_Estime2!$F$14,PL_Saisie_Estime2!$F$20,PL_Saisie_Estime2!AB$2,PL_Saisie_Estime2!AB$1,PL_Saisie_Estime2!$C51),"")</f>
        <v/>
      </c>
      <c r="AC51" s="192" t="str">
        <f ca="1">IF(Flag_Send_Data=1,_xll.DBSW(PL_Saisie_Estime2!AC51,Server&amp;Cube1,PL_Saisie_Estime2!$F$17,PL_Saisie_Estime2!$F$18,PL_Saisie_Estime2!$F$19,PL_Saisie_Estime2!$F$16,PL_Saisie_Estime2!$C$14,PL_Saisie_Estime2!$F$15,PL_Saisie_Estime2!$F$14,PL_Saisie_Estime2!$F$20,PL_Saisie_Estime2!AC$2,PL_Saisie_Estime2!AC$1,PL_Saisie_Estime2!$C51),"")</f>
        <v/>
      </c>
      <c r="AD51" s="192" t="str">
        <f ca="1">IF(Flag_Send_Data=1,_xll.DBSW(PL_Saisie_Estime2!AD51,Server&amp;Cube1,PL_Saisie_Estime2!$F$17,PL_Saisie_Estime2!$F$18,PL_Saisie_Estime2!$F$19,PL_Saisie_Estime2!$F$16,PL_Saisie_Estime2!$C$14,PL_Saisie_Estime2!$F$15,PL_Saisie_Estime2!$F$14,PL_Saisie_Estime2!$F$20,PL_Saisie_Estime2!AD$2,PL_Saisie_Estime2!AD$1,PL_Saisie_Estime2!$C51),"")</f>
        <v/>
      </c>
      <c r="AE51" s="192" t="str">
        <f ca="1">IF(Flag_Send_Data=1,_xll.DBSW(PL_Saisie_Estime2!AE51,Server&amp;Cube1,PL_Saisie_Estime2!$F$17,PL_Saisie_Estime2!$F$18,PL_Saisie_Estime2!$F$19,PL_Saisie_Estime2!$F$16,PL_Saisie_Estime2!$C$14,PL_Saisie_Estime2!$F$15,PL_Saisie_Estime2!$F$14,PL_Saisie_Estime2!$F$20,PL_Saisie_Estime2!AE$2,PL_Saisie_Estime2!AE$1,PL_Saisie_Estime2!$C51),"")</f>
        <v/>
      </c>
      <c r="AF51" s="204"/>
      <c r="AG51" s="53"/>
      <c r="AH51" s="53"/>
      <c r="AI51" s="53"/>
      <c r="AJ51" s="53"/>
      <c r="AK51" s="53"/>
      <c r="AL51" s="53"/>
      <c r="AM51" s="53"/>
      <c r="AN51" s="53"/>
      <c r="AO51" s="53"/>
      <c r="AP51" s="71" t="s">
        <v>59</v>
      </c>
      <c r="AQ51" s="53"/>
      <c r="AR51" s="266"/>
      <c r="AS51" s="169">
        <v>4440</v>
      </c>
      <c r="AT51" s="212" t="s">
        <v>490</v>
      </c>
    </row>
    <row r="52" spans="1:53" s="9" customFormat="1" ht="24.75" customHeight="1" thickBot="1" x14ac:dyDescent="0.4">
      <c r="A52" s="181"/>
      <c r="B52" s="163"/>
      <c r="C52" s="158"/>
      <c r="E52" s="268"/>
      <c r="F52" s="268"/>
      <c r="G52" s="268"/>
      <c r="H52" s="40"/>
      <c r="I52" s="130"/>
      <c r="J52" s="130"/>
      <c r="K52" s="130"/>
      <c r="L52" s="130"/>
      <c r="M52" s="130"/>
      <c r="N52" s="126"/>
      <c r="O52" s="204"/>
      <c r="P52" s="126"/>
      <c r="Q52" s="124"/>
      <c r="R52" s="192"/>
      <c r="S52" s="126"/>
      <c r="T52" s="200"/>
      <c r="U52" s="200"/>
      <c r="V52" s="200"/>
      <c r="W52" s="200"/>
      <c r="X52" s="200"/>
      <c r="Y52" s="200"/>
      <c r="Z52" s="192" t="str">
        <f ca="1">IF(Flag_Send_Data=1,_xll.DBSW(PL_Saisie_Estime2!Z52,Server&amp;Cube1,PL_Saisie_Estime2!$F$17,PL_Saisie_Estime2!$F$18,PL_Saisie_Estime2!$F$19,PL_Saisie_Estime2!$F$16,PL_Saisie_Estime2!$C$14,PL_Saisie_Estime2!$F$15,PL_Saisie_Estime2!$F$14,PL_Saisie_Estime2!$F$20,PL_Saisie_Estime2!Z$2,PL_Saisie_Estime2!Z$1,PL_Saisie_Estime2!$C52),"")</f>
        <v/>
      </c>
      <c r="AA52" s="192" t="str">
        <f ca="1">IF(Flag_Send_Data=1,_xll.DBSW(PL_Saisie_Estime2!AA52,Server&amp;Cube1,PL_Saisie_Estime2!$F$17,PL_Saisie_Estime2!$F$18,PL_Saisie_Estime2!$F$19,PL_Saisie_Estime2!$F$16,PL_Saisie_Estime2!$C$14,PL_Saisie_Estime2!$F$15,PL_Saisie_Estime2!$F$14,PL_Saisie_Estime2!$F$20,PL_Saisie_Estime2!AA$2,PL_Saisie_Estime2!AA$1,PL_Saisie_Estime2!$C52),"")</f>
        <v/>
      </c>
      <c r="AB52" s="192" t="str">
        <f ca="1">IF(Flag_Send_Data=1,_xll.DBSW(PL_Saisie_Estime2!AB52,Server&amp;Cube1,PL_Saisie_Estime2!$F$17,PL_Saisie_Estime2!$F$18,PL_Saisie_Estime2!$F$19,PL_Saisie_Estime2!$F$16,PL_Saisie_Estime2!$C$14,PL_Saisie_Estime2!$F$15,PL_Saisie_Estime2!$F$14,PL_Saisie_Estime2!$F$20,PL_Saisie_Estime2!AB$2,PL_Saisie_Estime2!AB$1,PL_Saisie_Estime2!$C52),"")</f>
        <v/>
      </c>
      <c r="AC52" s="192" t="str">
        <f ca="1">IF(Flag_Send_Data=1,_xll.DBSW(PL_Saisie_Estime2!AC52,Server&amp;Cube1,PL_Saisie_Estime2!$F$17,PL_Saisie_Estime2!$F$18,PL_Saisie_Estime2!$F$19,PL_Saisie_Estime2!$F$16,PL_Saisie_Estime2!$C$14,PL_Saisie_Estime2!$F$15,PL_Saisie_Estime2!$F$14,PL_Saisie_Estime2!$F$20,PL_Saisie_Estime2!AC$2,PL_Saisie_Estime2!AC$1,PL_Saisie_Estime2!$C52),"")</f>
        <v/>
      </c>
      <c r="AD52" s="192" t="str">
        <f ca="1">IF(Flag_Send_Data=1,_xll.DBSW(PL_Saisie_Estime2!AD52,Server&amp;Cube1,PL_Saisie_Estime2!$F$17,PL_Saisie_Estime2!$F$18,PL_Saisie_Estime2!$F$19,PL_Saisie_Estime2!$F$16,PL_Saisie_Estime2!$C$14,PL_Saisie_Estime2!$F$15,PL_Saisie_Estime2!$F$14,PL_Saisie_Estime2!$F$20,PL_Saisie_Estime2!AD$2,PL_Saisie_Estime2!AD$1,PL_Saisie_Estime2!$C52),"")</f>
        <v/>
      </c>
      <c r="AE52" s="192" t="str">
        <f ca="1">IF(Flag_Send_Data=1,_xll.DBSW(PL_Saisie_Estime2!AE52,Server&amp;Cube1,PL_Saisie_Estime2!$F$17,PL_Saisie_Estime2!$F$18,PL_Saisie_Estime2!$F$19,PL_Saisie_Estime2!$F$16,PL_Saisie_Estime2!$C$14,PL_Saisie_Estime2!$F$15,PL_Saisie_Estime2!$F$14,PL_Saisie_Estime2!$F$20,PL_Saisie_Estime2!AE$2,PL_Saisie_Estime2!AE$1,PL_Saisie_Estime2!$C52),"")</f>
        <v/>
      </c>
      <c r="AF52" s="204"/>
      <c r="AG52" s="53"/>
      <c r="AH52" s="53"/>
      <c r="AI52" s="53"/>
      <c r="AJ52" s="53"/>
      <c r="AK52" s="53"/>
      <c r="AL52" s="53"/>
      <c r="AM52" s="53"/>
      <c r="AN52" s="53"/>
      <c r="AO52" s="53"/>
      <c r="AP52" s="72" t="s">
        <v>60</v>
      </c>
      <c r="AQ52" s="53"/>
      <c r="AR52" s="266"/>
      <c r="AS52" s="169">
        <v>4450</v>
      </c>
      <c r="AT52" s="212" t="s">
        <v>490</v>
      </c>
    </row>
    <row r="53" spans="1:53" s="9" customFormat="1" ht="24.75" customHeight="1" thickBot="1" x14ac:dyDescent="0.4">
      <c r="A53" s="181"/>
      <c r="B53" s="163"/>
      <c r="C53" s="158"/>
      <c r="E53" s="268"/>
      <c r="F53" s="268"/>
      <c r="G53" s="268"/>
      <c r="H53" s="40"/>
      <c r="I53" s="130"/>
      <c r="J53" s="130"/>
      <c r="K53" s="130"/>
      <c r="L53" s="130"/>
      <c r="M53" s="130"/>
      <c r="N53" s="126"/>
      <c r="O53" s="204"/>
      <c r="P53" s="126"/>
      <c r="Q53" s="124"/>
      <c r="R53" s="192"/>
      <c r="S53" s="126"/>
      <c r="T53" s="200"/>
      <c r="U53" s="200"/>
      <c r="V53" s="200"/>
      <c r="W53" s="200"/>
      <c r="X53" s="200"/>
      <c r="Y53" s="200"/>
      <c r="Z53" s="192" t="str">
        <f ca="1">IF(Flag_Send_Data=1,_xll.DBSW(PL_Saisie_Estime2!Z53,Server&amp;Cube1,PL_Saisie_Estime2!$F$17,PL_Saisie_Estime2!$F$18,PL_Saisie_Estime2!$F$19,PL_Saisie_Estime2!$F$16,PL_Saisie_Estime2!$C$14,PL_Saisie_Estime2!$F$15,PL_Saisie_Estime2!$F$14,PL_Saisie_Estime2!$F$20,PL_Saisie_Estime2!Z$2,PL_Saisie_Estime2!Z$1,PL_Saisie_Estime2!$C53),"")</f>
        <v/>
      </c>
      <c r="AA53" s="192" t="str">
        <f ca="1">IF(Flag_Send_Data=1,_xll.DBSW(PL_Saisie_Estime2!AA53,Server&amp;Cube1,PL_Saisie_Estime2!$F$17,PL_Saisie_Estime2!$F$18,PL_Saisie_Estime2!$F$19,PL_Saisie_Estime2!$F$16,PL_Saisie_Estime2!$C$14,PL_Saisie_Estime2!$F$15,PL_Saisie_Estime2!$F$14,PL_Saisie_Estime2!$F$20,PL_Saisie_Estime2!AA$2,PL_Saisie_Estime2!AA$1,PL_Saisie_Estime2!$C53),"")</f>
        <v/>
      </c>
      <c r="AB53" s="192" t="str">
        <f ca="1">IF(Flag_Send_Data=1,_xll.DBSW(PL_Saisie_Estime2!AB53,Server&amp;Cube1,PL_Saisie_Estime2!$F$17,PL_Saisie_Estime2!$F$18,PL_Saisie_Estime2!$F$19,PL_Saisie_Estime2!$F$16,PL_Saisie_Estime2!$C$14,PL_Saisie_Estime2!$F$15,PL_Saisie_Estime2!$F$14,PL_Saisie_Estime2!$F$20,PL_Saisie_Estime2!AB$2,PL_Saisie_Estime2!AB$1,PL_Saisie_Estime2!$C53),"")</f>
        <v/>
      </c>
      <c r="AC53" s="192" t="str">
        <f ca="1">IF(Flag_Send_Data=1,_xll.DBSW(PL_Saisie_Estime2!AC53,Server&amp;Cube1,PL_Saisie_Estime2!$F$17,PL_Saisie_Estime2!$F$18,PL_Saisie_Estime2!$F$19,PL_Saisie_Estime2!$F$16,PL_Saisie_Estime2!$C$14,PL_Saisie_Estime2!$F$15,PL_Saisie_Estime2!$F$14,PL_Saisie_Estime2!$F$20,PL_Saisie_Estime2!AC$2,PL_Saisie_Estime2!AC$1,PL_Saisie_Estime2!$C53),"")</f>
        <v/>
      </c>
      <c r="AD53" s="192" t="str">
        <f ca="1">IF(Flag_Send_Data=1,_xll.DBSW(PL_Saisie_Estime2!AD53,Server&amp;Cube1,PL_Saisie_Estime2!$F$17,PL_Saisie_Estime2!$F$18,PL_Saisie_Estime2!$F$19,PL_Saisie_Estime2!$F$16,PL_Saisie_Estime2!$C$14,PL_Saisie_Estime2!$F$15,PL_Saisie_Estime2!$F$14,PL_Saisie_Estime2!$F$20,PL_Saisie_Estime2!AD$2,PL_Saisie_Estime2!AD$1,PL_Saisie_Estime2!$C53),"")</f>
        <v/>
      </c>
      <c r="AE53" s="192" t="str">
        <f ca="1">IF(Flag_Send_Data=1,_xll.DBSW(PL_Saisie_Estime2!AE53,Server&amp;Cube1,PL_Saisie_Estime2!$F$17,PL_Saisie_Estime2!$F$18,PL_Saisie_Estime2!$F$19,PL_Saisie_Estime2!$F$16,PL_Saisie_Estime2!$C$14,PL_Saisie_Estime2!$F$15,PL_Saisie_Estime2!$F$14,PL_Saisie_Estime2!$F$20,PL_Saisie_Estime2!AE$2,PL_Saisie_Estime2!AE$1,PL_Saisie_Estime2!$C53),"")</f>
        <v/>
      </c>
      <c r="AF53" s="204"/>
      <c r="AG53" s="53"/>
      <c r="AH53" s="53"/>
      <c r="AI53" s="53"/>
      <c r="AJ53" s="53"/>
      <c r="AK53" s="53"/>
      <c r="AL53" s="53"/>
      <c r="AM53" s="53"/>
      <c r="AN53" s="53"/>
      <c r="AO53" s="53"/>
      <c r="AP53" s="84" t="s">
        <v>66</v>
      </c>
      <c r="AQ53" s="53"/>
      <c r="AR53" s="267"/>
      <c r="AS53" s="170">
        <v>4430</v>
      </c>
      <c r="AT53" s="213" t="s">
        <v>490</v>
      </c>
    </row>
    <row r="54" spans="1:53" s="9" customFormat="1" ht="24.75" customHeight="1" x14ac:dyDescent="0.35">
      <c r="A54" s="181"/>
      <c r="B54" s="163"/>
      <c r="C54" s="158"/>
      <c r="E54" s="268"/>
      <c r="F54" s="268"/>
      <c r="G54" s="268"/>
      <c r="H54" s="40"/>
      <c r="I54" s="130"/>
      <c r="J54" s="130"/>
      <c r="K54" s="130"/>
      <c r="L54" s="130"/>
      <c r="M54" s="130"/>
      <c r="N54" s="126"/>
      <c r="O54" s="204"/>
      <c r="P54" s="126"/>
      <c r="Q54" s="124"/>
      <c r="R54" s="192"/>
      <c r="S54" s="126"/>
      <c r="T54" s="200"/>
      <c r="U54" s="200"/>
      <c r="V54" s="200"/>
      <c r="W54" s="200"/>
      <c r="X54" s="200"/>
      <c r="Y54" s="200"/>
      <c r="Z54" s="192" t="str">
        <f ca="1">IF(Flag_Send_Data=1,_xll.DBSW(PL_Saisie_Estime2!Z54,Server&amp;Cube1,PL_Saisie_Estime2!$F$17,PL_Saisie_Estime2!$F$18,PL_Saisie_Estime2!$F$19,PL_Saisie_Estime2!$F$16,PL_Saisie_Estime2!$C$14,PL_Saisie_Estime2!$F$15,PL_Saisie_Estime2!$F$14,PL_Saisie_Estime2!$F$20,PL_Saisie_Estime2!Z$2,PL_Saisie_Estime2!Z$1,PL_Saisie_Estime2!$C54),"")</f>
        <v/>
      </c>
      <c r="AA54" s="192" t="str">
        <f ca="1">IF(Flag_Send_Data=1,_xll.DBSW(PL_Saisie_Estime2!AA54,Server&amp;Cube1,PL_Saisie_Estime2!$F$17,PL_Saisie_Estime2!$F$18,PL_Saisie_Estime2!$F$19,PL_Saisie_Estime2!$F$16,PL_Saisie_Estime2!$C$14,PL_Saisie_Estime2!$F$15,PL_Saisie_Estime2!$F$14,PL_Saisie_Estime2!$F$20,PL_Saisie_Estime2!AA$2,PL_Saisie_Estime2!AA$1,PL_Saisie_Estime2!$C54),"")</f>
        <v/>
      </c>
      <c r="AB54" s="192" t="str">
        <f ca="1">IF(Flag_Send_Data=1,_xll.DBSW(PL_Saisie_Estime2!AB54,Server&amp;Cube1,PL_Saisie_Estime2!$F$17,PL_Saisie_Estime2!$F$18,PL_Saisie_Estime2!$F$19,PL_Saisie_Estime2!$F$16,PL_Saisie_Estime2!$C$14,PL_Saisie_Estime2!$F$15,PL_Saisie_Estime2!$F$14,PL_Saisie_Estime2!$F$20,PL_Saisie_Estime2!AB$2,PL_Saisie_Estime2!AB$1,PL_Saisie_Estime2!$C54),"")</f>
        <v/>
      </c>
      <c r="AC54" s="192" t="str">
        <f ca="1">IF(Flag_Send_Data=1,_xll.DBSW(PL_Saisie_Estime2!AC54,Server&amp;Cube1,PL_Saisie_Estime2!$F$17,PL_Saisie_Estime2!$F$18,PL_Saisie_Estime2!$F$19,PL_Saisie_Estime2!$F$16,PL_Saisie_Estime2!$C$14,PL_Saisie_Estime2!$F$15,PL_Saisie_Estime2!$F$14,PL_Saisie_Estime2!$F$20,PL_Saisie_Estime2!AC$2,PL_Saisie_Estime2!AC$1,PL_Saisie_Estime2!$C54),"")</f>
        <v/>
      </c>
      <c r="AD54" s="192" t="str">
        <f ca="1">IF(Flag_Send_Data=1,_xll.DBSW(PL_Saisie_Estime2!AD54,Server&amp;Cube1,PL_Saisie_Estime2!$F$17,PL_Saisie_Estime2!$F$18,PL_Saisie_Estime2!$F$19,PL_Saisie_Estime2!$F$16,PL_Saisie_Estime2!$C$14,PL_Saisie_Estime2!$F$15,PL_Saisie_Estime2!$F$14,PL_Saisie_Estime2!$F$20,PL_Saisie_Estime2!AD$2,PL_Saisie_Estime2!AD$1,PL_Saisie_Estime2!$C54),"")</f>
        <v/>
      </c>
      <c r="AE54" s="192" t="str">
        <f ca="1">IF(Flag_Send_Data=1,_xll.DBSW(PL_Saisie_Estime2!AE54,Server&amp;Cube1,PL_Saisie_Estime2!$F$17,PL_Saisie_Estime2!$F$18,PL_Saisie_Estime2!$F$19,PL_Saisie_Estime2!$F$16,PL_Saisie_Estime2!$C$14,PL_Saisie_Estime2!$F$15,PL_Saisie_Estime2!$F$14,PL_Saisie_Estime2!$F$20,PL_Saisie_Estime2!AE$2,PL_Saisie_Estime2!AE$1,PL_Saisie_Estime2!$C54),"")</f>
        <v/>
      </c>
      <c r="AF54" s="204"/>
      <c r="AG54" s="53"/>
      <c r="AH54" s="53"/>
      <c r="AI54" s="53"/>
      <c r="AJ54" s="53"/>
      <c r="AK54" s="53"/>
      <c r="AL54" s="53"/>
      <c r="AM54" s="53"/>
      <c r="AN54" s="53"/>
      <c r="AO54" s="53"/>
      <c r="AP54" s="85" t="s">
        <v>67</v>
      </c>
      <c r="AQ54" s="53"/>
      <c r="AR54" s="265" t="s">
        <v>470</v>
      </c>
      <c r="AS54" s="165">
        <v>4500</v>
      </c>
      <c r="AT54" s="207" t="s">
        <v>493</v>
      </c>
      <c r="AU54" s="53"/>
      <c r="AV54" s="53"/>
      <c r="AW54" s="53"/>
      <c r="AX54" s="53"/>
      <c r="AY54" s="53"/>
      <c r="AZ54" s="53"/>
      <c r="BA54" s="53"/>
    </row>
    <row r="55" spans="1:53" s="9" customFormat="1" ht="24.75" customHeight="1" thickBot="1" x14ac:dyDescent="0.4">
      <c r="A55" s="181"/>
      <c r="B55" s="163"/>
      <c r="C55" s="158"/>
      <c r="E55" s="268"/>
      <c r="F55" s="268"/>
      <c r="G55" s="268"/>
      <c r="H55" s="40"/>
      <c r="I55" s="130"/>
      <c r="J55" s="130"/>
      <c r="K55" s="130"/>
      <c r="L55" s="130"/>
      <c r="M55" s="130"/>
      <c r="N55" s="126"/>
      <c r="O55" s="204"/>
      <c r="P55" s="126"/>
      <c r="Q55" s="124"/>
      <c r="R55" s="192"/>
      <c r="S55" s="126"/>
      <c r="T55" s="200"/>
      <c r="U55" s="200"/>
      <c r="V55" s="200"/>
      <c r="W55" s="200"/>
      <c r="X55" s="200"/>
      <c r="Y55" s="200"/>
      <c r="Z55" s="192" t="str">
        <f ca="1">IF(Flag_Send_Data=1,_xll.DBSW(PL_Saisie_Estime2!Z55,Server&amp;Cube1,PL_Saisie_Estime2!$F$17,PL_Saisie_Estime2!$F$18,PL_Saisie_Estime2!$F$19,PL_Saisie_Estime2!$F$16,PL_Saisie_Estime2!$C$14,PL_Saisie_Estime2!$F$15,PL_Saisie_Estime2!$F$14,PL_Saisie_Estime2!$F$20,PL_Saisie_Estime2!Z$2,PL_Saisie_Estime2!Z$1,PL_Saisie_Estime2!$C55),"")</f>
        <v/>
      </c>
      <c r="AA55" s="192" t="str">
        <f ca="1">IF(Flag_Send_Data=1,_xll.DBSW(PL_Saisie_Estime2!AA55,Server&amp;Cube1,PL_Saisie_Estime2!$F$17,PL_Saisie_Estime2!$F$18,PL_Saisie_Estime2!$F$19,PL_Saisie_Estime2!$F$16,PL_Saisie_Estime2!$C$14,PL_Saisie_Estime2!$F$15,PL_Saisie_Estime2!$F$14,PL_Saisie_Estime2!$F$20,PL_Saisie_Estime2!AA$2,PL_Saisie_Estime2!AA$1,PL_Saisie_Estime2!$C55),"")</f>
        <v/>
      </c>
      <c r="AB55" s="192" t="str">
        <f ca="1">IF(Flag_Send_Data=1,_xll.DBSW(PL_Saisie_Estime2!AB55,Server&amp;Cube1,PL_Saisie_Estime2!$F$17,PL_Saisie_Estime2!$F$18,PL_Saisie_Estime2!$F$19,PL_Saisie_Estime2!$F$16,PL_Saisie_Estime2!$C$14,PL_Saisie_Estime2!$F$15,PL_Saisie_Estime2!$F$14,PL_Saisie_Estime2!$F$20,PL_Saisie_Estime2!AB$2,PL_Saisie_Estime2!AB$1,PL_Saisie_Estime2!$C55),"")</f>
        <v/>
      </c>
      <c r="AC55" s="192" t="str">
        <f ca="1">IF(Flag_Send_Data=1,_xll.DBSW(PL_Saisie_Estime2!AC55,Server&amp;Cube1,PL_Saisie_Estime2!$F$17,PL_Saisie_Estime2!$F$18,PL_Saisie_Estime2!$F$19,PL_Saisie_Estime2!$F$16,PL_Saisie_Estime2!$C$14,PL_Saisie_Estime2!$F$15,PL_Saisie_Estime2!$F$14,PL_Saisie_Estime2!$F$20,PL_Saisie_Estime2!AC$2,PL_Saisie_Estime2!AC$1,PL_Saisie_Estime2!$C55),"")</f>
        <v/>
      </c>
      <c r="AD55" s="192" t="str">
        <f ca="1">IF(Flag_Send_Data=1,_xll.DBSW(PL_Saisie_Estime2!AD55,Server&amp;Cube1,PL_Saisie_Estime2!$F$17,PL_Saisie_Estime2!$F$18,PL_Saisie_Estime2!$F$19,PL_Saisie_Estime2!$F$16,PL_Saisie_Estime2!$C$14,PL_Saisie_Estime2!$F$15,PL_Saisie_Estime2!$F$14,PL_Saisie_Estime2!$F$20,PL_Saisie_Estime2!AD$2,PL_Saisie_Estime2!AD$1,PL_Saisie_Estime2!$C55),"")</f>
        <v/>
      </c>
      <c r="AE55" s="192" t="str">
        <f ca="1">IF(Flag_Send_Data=1,_xll.DBSW(PL_Saisie_Estime2!AE55,Server&amp;Cube1,PL_Saisie_Estime2!$F$17,PL_Saisie_Estime2!$F$18,PL_Saisie_Estime2!$F$19,PL_Saisie_Estime2!$F$16,PL_Saisie_Estime2!$C$14,PL_Saisie_Estime2!$F$15,PL_Saisie_Estime2!$F$14,PL_Saisie_Estime2!$F$20,PL_Saisie_Estime2!AE$2,PL_Saisie_Estime2!AE$1,PL_Saisie_Estime2!$C55),"")</f>
        <v/>
      </c>
      <c r="AF55" s="204"/>
      <c r="AG55" s="53"/>
      <c r="AH55" s="53"/>
      <c r="AI55" s="53"/>
      <c r="AJ55" s="53"/>
      <c r="AK55" s="53"/>
      <c r="AL55" s="53"/>
      <c r="AM55" s="53"/>
      <c r="AN55" s="53"/>
      <c r="AO55" s="53"/>
      <c r="AP55" s="69" t="s">
        <v>68</v>
      </c>
      <c r="AQ55" s="53"/>
      <c r="AR55" s="266"/>
      <c r="AS55" s="166">
        <v>4510</v>
      </c>
      <c r="AT55" s="208" t="s">
        <v>493</v>
      </c>
      <c r="AU55" s="53"/>
      <c r="AV55" s="53"/>
      <c r="AW55" s="53"/>
      <c r="AX55" s="53"/>
      <c r="AY55" s="53"/>
      <c r="AZ55" s="53"/>
      <c r="BA55" s="53"/>
    </row>
    <row r="56" spans="1:53" s="9" customFormat="1" ht="24.75" customHeight="1" x14ac:dyDescent="0.35">
      <c r="A56" s="181"/>
      <c r="B56" s="163"/>
      <c r="C56" s="158"/>
      <c r="E56" s="268"/>
      <c r="F56" s="268"/>
      <c r="G56" s="268"/>
      <c r="H56" s="40"/>
      <c r="I56" s="130"/>
      <c r="J56" s="130"/>
      <c r="K56" s="130"/>
      <c r="L56" s="130"/>
      <c r="M56" s="130"/>
      <c r="N56" s="126"/>
      <c r="O56" s="204"/>
      <c r="P56" s="126"/>
      <c r="Q56" s="124"/>
      <c r="R56" s="192"/>
      <c r="S56" s="126"/>
      <c r="T56" s="200"/>
      <c r="U56" s="200"/>
      <c r="V56" s="200"/>
      <c r="W56" s="200"/>
      <c r="X56" s="200"/>
      <c r="Y56" s="200"/>
      <c r="Z56" s="192" t="str">
        <f ca="1">IF(Flag_Send_Data=1,_xll.DBSW(PL_Saisie_Estime2!Z56,Server&amp;Cube1,PL_Saisie_Estime2!$F$17,PL_Saisie_Estime2!$F$18,PL_Saisie_Estime2!$F$19,PL_Saisie_Estime2!$F$16,PL_Saisie_Estime2!$C$14,PL_Saisie_Estime2!$F$15,PL_Saisie_Estime2!$F$14,PL_Saisie_Estime2!$F$20,PL_Saisie_Estime2!Z$2,PL_Saisie_Estime2!Z$1,PL_Saisie_Estime2!$C56),"")</f>
        <v/>
      </c>
      <c r="AA56" s="192" t="str">
        <f ca="1">IF(Flag_Send_Data=1,_xll.DBSW(PL_Saisie_Estime2!AA56,Server&amp;Cube1,PL_Saisie_Estime2!$F$17,PL_Saisie_Estime2!$F$18,PL_Saisie_Estime2!$F$19,PL_Saisie_Estime2!$F$16,PL_Saisie_Estime2!$C$14,PL_Saisie_Estime2!$F$15,PL_Saisie_Estime2!$F$14,PL_Saisie_Estime2!$F$20,PL_Saisie_Estime2!AA$2,PL_Saisie_Estime2!AA$1,PL_Saisie_Estime2!$C56),"")</f>
        <v/>
      </c>
      <c r="AB56" s="192" t="str">
        <f ca="1">IF(Flag_Send_Data=1,_xll.DBSW(PL_Saisie_Estime2!AB56,Server&amp;Cube1,PL_Saisie_Estime2!$F$17,PL_Saisie_Estime2!$F$18,PL_Saisie_Estime2!$F$19,PL_Saisie_Estime2!$F$16,PL_Saisie_Estime2!$C$14,PL_Saisie_Estime2!$F$15,PL_Saisie_Estime2!$F$14,PL_Saisie_Estime2!$F$20,PL_Saisie_Estime2!AB$2,PL_Saisie_Estime2!AB$1,PL_Saisie_Estime2!$C56),"")</f>
        <v/>
      </c>
      <c r="AC56" s="192" t="str">
        <f ca="1">IF(Flag_Send_Data=1,_xll.DBSW(PL_Saisie_Estime2!AC56,Server&amp;Cube1,PL_Saisie_Estime2!$F$17,PL_Saisie_Estime2!$F$18,PL_Saisie_Estime2!$F$19,PL_Saisie_Estime2!$F$16,PL_Saisie_Estime2!$C$14,PL_Saisie_Estime2!$F$15,PL_Saisie_Estime2!$F$14,PL_Saisie_Estime2!$F$20,PL_Saisie_Estime2!AC$2,PL_Saisie_Estime2!AC$1,PL_Saisie_Estime2!$C56),"")</f>
        <v/>
      </c>
      <c r="AD56" s="192" t="str">
        <f ca="1">IF(Flag_Send_Data=1,_xll.DBSW(PL_Saisie_Estime2!AD56,Server&amp;Cube1,PL_Saisie_Estime2!$F$17,PL_Saisie_Estime2!$F$18,PL_Saisie_Estime2!$F$19,PL_Saisie_Estime2!$F$16,PL_Saisie_Estime2!$C$14,PL_Saisie_Estime2!$F$15,PL_Saisie_Estime2!$F$14,PL_Saisie_Estime2!$F$20,PL_Saisie_Estime2!AD$2,PL_Saisie_Estime2!AD$1,PL_Saisie_Estime2!$C56),"")</f>
        <v/>
      </c>
      <c r="AE56" s="192" t="str">
        <f ca="1">IF(Flag_Send_Data=1,_xll.DBSW(PL_Saisie_Estime2!AE56,Server&amp;Cube1,PL_Saisie_Estime2!$F$17,PL_Saisie_Estime2!$F$18,PL_Saisie_Estime2!$F$19,PL_Saisie_Estime2!$F$16,PL_Saisie_Estime2!$C$14,PL_Saisie_Estime2!$F$15,PL_Saisie_Estime2!$F$14,PL_Saisie_Estime2!$F$20,PL_Saisie_Estime2!AE$2,PL_Saisie_Estime2!AE$1,PL_Saisie_Estime2!$C56),"")</f>
        <v/>
      </c>
      <c r="AF56" s="204"/>
      <c r="AG56" s="53"/>
      <c r="AH56" s="53"/>
      <c r="AI56" s="53"/>
      <c r="AJ56" s="53"/>
      <c r="AK56" s="53"/>
      <c r="AL56" s="53"/>
      <c r="AM56" s="53"/>
      <c r="AN56" s="53"/>
      <c r="AO56" s="53"/>
      <c r="AP56" s="62"/>
      <c r="AQ56" s="53"/>
      <c r="AR56" s="266"/>
      <c r="AS56" s="166">
        <v>4520</v>
      </c>
      <c r="AT56" s="208" t="s">
        <v>493</v>
      </c>
      <c r="AU56" s="53"/>
      <c r="AV56" s="53"/>
      <c r="AW56" s="53"/>
      <c r="AX56" s="53"/>
      <c r="AY56" s="53"/>
      <c r="AZ56" s="53"/>
      <c r="BA56" s="53"/>
    </row>
    <row r="57" spans="1:53" s="9" customFormat="1" ht="24.75" customHeight="1" thickBot="1" x14ac:dyDescent="0.4">
      <c r="A57" s="181"/>
      <c r="B57" s="163"/>
      <c r="C57" s="158"/>
      <c r="E57" s="268"/>
      <c r="F57" s="268"/>
      <c r="G57" s="268"/>
      <c r="H57" s="40"/>
      <c r="I57" s="130"/>
      <c r="J57" s="130"/>
      <c r="K57" s="130"/>
      <c r="L57" s="130"/>
      <c r="M57" s="130"/>
      <c r="N57" s="126"/>
      <c r="O57" s="204"/>
      <c r="P57" s="126"/>
      <c r="Q57" s="124"/>
      <c r="R57" s="192"/>
      <c r="S57" s="126"/>
      <c r="T57" s="200"/>
      <c r="U57" s="200"/>
      <c r="V57" s="200"/>
      <c r="W57" s="200"/>
      <c r="X57" s="200"/>
      <c r="Y57" s="200"/>
      <c r="Z57" s="192" t="str">
        <f ca="1">IF(Flag_Send_Data=1,_xll.DBSW(PL_Saisie_Estime2!Z57,Server&amp;Cube1,PL_Saisie_Estime2!$F$17,PL_Saisie_Estime2!$F$18,PL_Saisie_Estime2!$F$19,PL_Saisie_Estime2!$F$16,PL_Saisie_Estime2!$C$14,PL_Saisie_Estime2!$F$15,PL_Saisie_Estime2!$F$14,PL_Saisie_Estime2!$F$20,PL_Saisie_Estime2!Z$2,PL_Saisie_Estime2!Z$1,PL_Saisie_Estime2!$C57),"")</f>
        <v/>
      </c>
      <c r="AA57" s="192" t="str">
        <f ca="1">IF(Flag_Send_Data=1,_xll.DBSW(PL_Saisie_Estime2!AA57,Server&amp;Cube1,PL_Saisie_Estime2!$F$17,PL_Saisie_Estime2!$F$18,PL_Saisie_Estime2!$F$19,PL_Saisie_Estime2!$F$16,PL_Saisie_Estime2!$C$14,PL_Saisie_Estime2!$F$15,PL_Saisie_Estime2!$F$14,PL_Saisie_Estime2!$F$20,PL_Saisie_Estime2!AA$2,PL_Saisie_Estime2!AA$1,PL_Saisie_Estime2!$C57),"")</f>
        <v/>
      </c>
      <c r="AB57" s="192" t="str">
        <f ca="1">IF(Flag_Send_Data=1,_xll.DBSW(PL_Saisie_Estime2!AB57,Server&amp;Cube1,PL_Saisie_Estime2!$F$17,PL_Saisie_Estime2!$F$18,PL_Saisie_Estime2!$F$19,PL_Saisie_Estime2!$F$16,PL_Saisie_Estime2!$C$14,PL_Saisie_Estime2!$F$15,PL_Saisie_Estime2!$F$14,PL_Saisie_Estime2!$F$20,PL_Saisie_Estime2!AB$2,PL_Saisie_Estime2!AB$1,PL_Saisie_Estime2!$C57),"")</f>
        <v/>
      </c>
      <c r="AC57" s="192" t="str">
        <f ca="1">IF(Flag_Send_Data=1,_xll.DBSW(PL_Saisie_Estime2!AC57,Server&amp;Cube1,PL_Saisie_Estime2!$F$17,PL_Saisie_Estime2!$F$18,PL_Saisie_Estime2!$F$19,PL_Saisie_Estime2!$F$16,PL_Saisie_Estime2!$C$14,PL_Saisie_Estime2!$F$15,PL_Saisie_Estime2!$F$14,PL_Saisie_Estime2!$F$20,PL_Saisie_Estime2!AC$2,PL_Saisie_Estime2!AC$1,PL_Saisie_Estime2!$C57),"")</f>
        <v/>
      </c>
      <c r="AD57" s="192" t="str">
        <f ca="1">IF(Flag_Send_Data=1,_xll.DBSW(PL_Saisie_Estime2!AD57,Server&amp;Cube1,PL_Saisie_Estime2!$F$17,PL_Saisie_Estime2!$F$18,PL_Saisie_Estime2!$F$19,PL_Saisie_Estime2!$F$16,PL_Saisie_Estime2!$C$14,PL_Saisie_Estime2!$F$15,PL_Saisie_Estime2!$F$14,PL_Saisie_Estime2!$F$20,PL_Saisie_Estime2!AD$2,PL_Saisie_Estime2!AD$1,PL_Saisie_Estime2!$C57),"")</f>
        <v/>
      </c>
      <c r="AE57" s="192" t="str">
        <f ca="1">IF(Flag_Send_Data=1,_xll.DBSW(PL_Saisie_Estime2!AE57,Server&amp;Cube1,PL_Saisie_Estime2!$F$17,PL_Saisie_Estime2!$F$18,PL_Saisie_Estime2!$F$19,PL_Saisie_Estime2!$F$16,PL_Saisie_Estime2!$C$14,PL_Saisie_Estime2!$F$15,PL_Saisie_Estime2!$F$14,PL_Saisie_Estime2!$F$20,PL_Saisie_Estime2!AE$2,PL_Saisie_Estime2!AE$1,PL_Saisie_Estime2!$C57),"")</f>
        <v/>
      </c>
      <c r="AF57" s="204"/>
      <c r="AG57" s="53"/>
      <c r="AH57" s="53"/>
      <c r="AI57" s="53"/>
      <c r="AJ57" s="53"/>
      <c r="AK57" s="53"/>
      <c r="AL57" s="53"/>
      <c r="AM57" s="53"/>
      <c r="AN57" s="53"/>
      <c r="AO57" s="53"/>
      <c r="AP57" s="62"/>
      <c r="AQ57" s="53"/>
      <c r="AR57" s="266"/>
      <c r="AS57" s="177">
        <v>4530</v>
      </c>
      <c r="AT57" s="208" t="s">
        <v>493</v>
      </c>
      <c r="AU57" s="53"/>
      <c r="AV57" s="53"/>
      <c r="AW57" s="53"/>
      <c r="AX57" s="53"/>
      <c r="AY57" s="53"/>
      <c r="AZ57" s="53"/>
      <c r="BA57" s="53"/>
    </row>
    <row r="58" spans="1:53" s="9" customFormat="1" ht="24.75" customHeight="1" thickBot="1" x14ac:dyDescent="0.4">
      <c r="A58" s="181"/>
      <c r="B58" s="163"/>
      <c r="C58" s="158"/>
      <c r="E58" s="268"/>
      <c r="F58" s="268"/>
      <c r="G58" s="268"/>
      <c r="H58" s="40"/>
      <c r="I58" s="130"/>
      <c r="J58" s="130"/>
      <c r="K58" s="130"/>
      <c r="L58" s="130"/>
      <c r="M58" s="130"/>
      <c r="N58" s="126"/>
      <c r="O58" s="204"/>
      <c r="P58" s="126"/>
      <c r="Q58" s="124"/>
      <c r="R58" s="192"/>
      <c r="S58" s="126"/>
      <c r="T58" s="200"/>
      <c r="U58" s="200"/>
      <c r="V58" s="200"/>
      <c r="W58" s="200"/>
      <c r="X58" s="200"/>
      <c r="Y58" s="200"/>
      <c r="Z58" s="192" t="str">
        <f ca="1">IF(Flag_Send_Data=1,_xll.DBSW(PL_Saisie_Estime2!Z58,Server&amp;Cube1,PL_Saisie_Estime2!$F$17,PL_Saisie_Estime2!$F$18,PL_Saisie_Estime2!$F$19,PL_Saisie_Estime2!$F$16,PL_Saisie_Estime2!$C$14,PL_Saisie_Estime2!$F$15,PL_Saisie_Estime2!$F$14,PL_Saisie_Estime2!$F$20,PL_Saisie_Estime2!Z$2,PL_Saisie_Estime2!Z$1,PL_Saisie_Estime2!$C58),"")</f>
        <v/>
      </c>
      <c r="AA58" s="192" t="str">
        <f ca="1">IF(Flag_Send_Data=1,_xll.DBSW(PL_Saisie_Estime2!AA58,Server&amp;Cube1,PL_Saisie_Estime2!$F$17,PL_Saisie_Estime2!$F$18,PL_Saisie_Estime2!$F$19,PL_Saisie_Estime2!$F$16,PL_Saisie_Estime2!$C$14,PL_Saisie_Estime2!$F$15,PL_Saisie_Estime2!$F$14,PL_Saisie_Estime2!$F$20,PL_Saisie_Estime2!AA$2,PL_Saisie_Estime2!AA$1,PL_Saisie_Estime2!$C58),"")</f>
        <v/>
      </c>
      <c r="AB58" s="192" t="str">
        <f ca="1">IF(Flag_Send_Data=1,_xll.DBSW(PL_Saisie_Estime2!AB58,Server&amp;Cube1,PL_Saisie_Estime2!$F$17,PL_Saisie_Estime2!$F$18,PL_Saisie_Estime2!$F$19,PL_Saisie_Estime2!$F$16,PL_Saisie_Estime2!$C$14,PL_Saisie_Estime2!$F$15,PL_Saisie_Estime2!$F$14,PL_Saisie_Estime2!$F$20,PL_Saisie_Estime2!AB$2,PL_Saisie_Estime2!AB$1,PL_Saisie_Estime2!$C58),"")</f>
        <v/>
      </c>
      <c r="AC58" s="192" t="str">
        <f ca="1">IF(Flag_Send_Data=1,_xll.DBSW(PL_Saisie_Estime2!AC58,Server&amp;Cube1,PL_Saisie_Estime2!$F$17,PL_Saisie_Estime2!$F$18,PL_Saisie_Estime2!$F$19,PL_Saisie_Estime2!$F$16,PL_Saisie_Estime2!$C$14,PL_Saisie_Estime2!$F$15,PL_Saisie_Estime2!$F$14,PL_Saisie_Estime2!$F$20,PL_Saisie_Estime2!AC$2,PL_Saisie_Estime2!AC$1,PL_Saisie_Estime2!$C58),"")</f>
        <v/>
      </c>
      <c r="AD58" s="192" t="str">
        <f ca="1">IF(Flag_Send_Data=1,_xll.DBSW(PL_Saisie_Estime2!AD58,Server&amp;Cube1,PL_Saisie_Estime2!$F$17,PL_Saisie_Estime2!$F$18,PL_Saisie_Estime2!$F$19,PL_Saisie_Estime2!$F$16,PL_Saisie_Estime2!$C$14,PL_Saisie_Estime2!$F$15,PL_Saisie_Estime2!$F$14,PL_Saisie_Estime2!$F$20,PL_Saisie_Estime2!AD$2,PL_Saisie_Estime2!AD$1,PL_Saisie_Estime2!$C58),"")</f>
        <v/>
      </c>
      <c r="AE58" s="192" t="str">
        <f ca="1">IF(Flag_Send_Data=1,_xll.DBSW(PL_Saisie_Estime2!AE58,Server&amp;Cube1,PL_Saisie_Estime2!$F$17,PL_Saisie_Estime2!$F$18,PL_Saisie_Estime2!$F$19,PL_Saisie_Estime2!$F$16,PL_Saisie_Estime2!$C$14,PL_Saisie_Estime2!$F$15,PL_Saisie_Estime2!$F$14,PL_Saisie_Estime2!$F$20,PL_Saisie_Estime2!AE$2,PL_Saisie_Estime2!AE$1,PL_Saisie_Estime2!$C58),"")</f>
        <v/>
      </c>
      <c r="AF58" s="204"/>
      <c r="AG58" s="53"/>
      <c r="AH58" s="53"/>
      <c r="AI58" s="53"/>
      <c r="AJ58" s="53"/>
      <c r="AK58" s="53"/>
      <c r="AL58" s="53"/>
      <c r="AM58" s="53"/>
      <c r="AN58" s="53"/>
      <c r="AO58" s="53"/>
      <c r="AP58" s="62"/>
      <c r="AQ58" s="53"/>
      <c r="AR58" s="180" t="s">
        <v>471</v>
      </c>
      <c r="AS58" s="179">
        <v>4330</v>
      </c>
      <c r="AT58" s="178" t="s">
        <v>495</v>
      </c>
      <c r="AU58" s="53"/>
      <c r="AV58" s="53"/>
      <c r="AW58" s="53"/>
      <c r="AX58" s="53"/>
      <c r="AY58" s="53"/>
      <c r="AZ58" s="53"/>
      <c r="BA58" s="53"/>
    </row>
    <row r="59" spans="1:53" s="9" customFormat="1" ht="24.75" customHeight="1" thickBot="1" x14ac:dyDescent="0.4">
      <c r="A59" s="181"/>
      <c r="B59" s="163"/>
      <c r="C59" s="158"/>
      <c r="E59" s="268"/>
      <c r="F59" s="268"/>
      <c r="G59" s="268"/>
      <c r="H59" s="40"/>
      <c r="I59" s="130"/>
      <c r="J59" s="130"/>
      <c r="K59" s="130"/>
      <c r="L59" s="130"/>
      <c r="M59" s="130"/>
      <c r="N59" s="126"/>
      <c r="O59" s="204"/>
      <c r="P59" s="126"/>
      <c r="Q59" s="124"/>
      <c r="R59" s="192"/>
      <c r="S59" s="126"/>
      <c r="T59" s="200"/>
      <c r="U59" s="200"/>
      <c r="V59" s="200"/>
      <c r="W59" s="200"/>
      <c r="X59" s="200"/>
      <c r="Y59" s="200"/>
      <c r="Z59" s="192" t="str">
        <f ca="1">IF(Flag_Send_Data=1,_xll.DBSW(PL_Saisie_Estime2!Z59,Server&amp;Cube1,PL_Saisie_Estime2!$F$17,PL_Saisie_Estime2!$F$18,PL_Saisie_Estime2!$F$19,PL_Saisie_Estime2!$F$16,PL_Saisie_Estime2!$C$14,PL_Saisie_Estime2!$F$15,PL_Saisie_Estime2!$F$14,PL_Saisie_Estime2!$F$20,PL_Saisie_Estime2!Z$2,PL_Saisie_Estime2!Z$1,PL_Saisie_Estime2!$C59),"")</f>
        <v/>
      </c>
      <c r="AA59" s="192" t="str">
        <f ca="1">IF(Flag_Send_Data=1,_xll.DBSW(PL_Saisie_Estime2!AA59,Server&amp;Cube1,PL_Saisie_Estime2!$F$17,PL_Saisie_Estime2!$F$18,PL_Saisie_Estime2!$F$19,PL_Saisie_Estime2!$F$16,PL_Saisie_Estime2!$C$14,PL_Saisie_Estime2!$F$15,PL_Saisie_Estime2!$F$14,PL_Saisie_Estime2!$F$20,PL_Saisie_Estime2!AA$2,PL_Saisie_Estime2!AA$1,PL_Saisie_Estime2!$C59),"")</f>
        <v/>
      </c>
      <c r="AB59" s="192" t="str">
        <f ca="1">IF(Flag_Send_Data=1,_xll.DBSW(PL_Saisie_Estime2!AB59,Server&amp;Cube1,PL_Saisie_Estime2!$F$17,PL_Saisie_Estime2!$F$18,PL_Saisie_Estime2!$F$19,PL_Saisie_Estime2!$F$16,PL_Saisie_Estime2!$C$14,PL_Saisie_Estime2!$F$15,PL_Saisie_Estime2!$F$14,PL_Saisie_Estime2!$F$20,PL_Saisie_Estime2!AB$2,PL_Saisie_Estime2!AB$1,PL_Saisie_Estime2!$C59),"")</f>
        <v/>
      </c>
      <c r="AC59" s="192" t="str">
        <f ca="1">IF(Flag_Send_Data=1,_xll.DBSW(PL_Saisie_Estime2!AC59,Server&amp;Cube1,PL_Saisie_Estime2!$F$17,PL_Saisie_Estime2!$F$18,PL_Saisie_Estime2!$F$19,PL_Saisie_Estime2!$F$16,PL_Saisie_Estime2!$C$14,PL_Saisie_Estime2!$F$15,PL_Saisie_Estime2!$F$14,PL_Saisie_Estime2!$F$20,PL_Saisie_Estime2!AC$2,PL_Saisie_Estime2!AC$1,PL_Saisie_Estime2!$C59),"")</f>
        <v/>
      </c>
      <c r="AD59" s="192" t="str">
        <f ca="1">IF(Flag_Send_Data=1,_xll.DBSW(PL_Saisie_Estime2!AD59,Server&amp;Cube1,PL_Saisie_Estime2!$F$17,PL_Saisie_Estime2!$F$18,PL_Saisie_Estime2!$F$19,PL_Saisie_Estime2!$F$16,PL_Saisie_Estime2!$C$14,PL_Saisie_Estime2!$F$15,PL_Saisie_Estime2!$F$14,PL_Saisie_Estime2!$F$20,PL_Saisie_Estime2!AD$2,PL_Saisie_Estime2!AD$1,PL_Saisie_Estime2!$C59),"")</f>
        <v/>
      </c>
      <c r="AE59" s="192" t="str">
        <f ca="1">IF(Flag_Send_Data=1,_xll.DBSW(PL_Saisie_Estime2!AE59,Server&amp;Cube1,PL_Saisie_Estime2!$F$17,PL_Saisie_Estime2!$F$18,PL_Saisie_Estime2!$F$19,PL_Saisie_Estime2!$F$16,PL_Saisie_Estime2!$C$14,PL_Saisie_Estime2!$F$15,PL_Saisie_Estime2!$F$14,PL_Saisie_Estime2!$F$20,PL_Saisie_Estime2!AE$2,PL_Saisie_Estime2!AE$1,PL_Saisie_Estime2!$C59),"")</f>
        <v/>
      </c>
      <c r="AF59" s="204"/>
      <c r="AG59" s="53"/>
      <c r="AH59" s="53"/>
      <c r="AI59" s="53"/>
      <c r="AJ59" s="53"/>
      <c r="AK59" s="53"/>
      <c r="AL59" s="53"/>
      <c r="AM59" s="53"/>
      <c r="AN59" s="53"/>
      <c r="AO59" s="53"/>
      <c r="AP59" s="62"/>
      <c r="AQ59" s="53"/>
      <c r="AR59" s="180" t="s">
        <v>472</v>
      </c>
      <c r="AS59" s="179">
        <v>4310</v>
      </c>
      <c r="AT59" s="178" t="s">
        <v>472</v>
      </c>
      <c r="AU59" s="53"/>
      <c r="AV59" s="53"/>
      <c r="AW59" s="53"/>
      <c r="AX59" s="53"/>
      <c r="AY59" s="53"/>
      <c r="AZ59" s="53"/>
      <c r="BA59" s="53"/>
    </row>
    <row r="60" spans="1:53" s="9" customFormat="1" ht="24.75" customHeight="1" x14ac:dyDescent="0.35">
      <c r="A60" s="181"/>
      <c r="B60" s="163"/>
      <c r="C60" s="158"/>
      <c r="E60" s="268"/>
      <c r="F60" s="268"/>
      <c r="G60" s="268"/>
      <c r="H60" s="40"/>
      <c r="I60" s="130"/>
      <c r="J60" s="130"/>
      <c r="K60" s="130"/>
      <c r="L60" s="130"/>
      <c r="M60" s="130"/>
      <c r="N60" s="126"/>
      <c r="O60" s="204"/>
      <c r="P60" s="126"/>
      <c r="Q60" s="124"/>
      <c r="R60" s="192"/>
      <c r="S60" s="126"/>
      <c r="T60" s="200"/>
      <c r="U60" s="200"/>
      <c r="V60" s="200"/>
      <c r="W60" s="200"/>
      <c r="X60" s="200"/>
      <c r="Y60" s="200"/>
      <c r="Z60" s="192" t="str">
        <f ca="1">IF(Flag_Send_Data=1,_xll.DBSW(PL_Saisie_Estime2!Z60,Server&amp;Cube1,PL_Saisie_Estime2!$F$17,PL_Saisie_Estime2!$F$18,PL_Saisie_Estime2!$F$19,PL_Saisie_Estime2!$F$16,PL_Saisie_Estime2!$C$14,PL_Saisie_Estime2!$F$15,PL_Saisie_Estime2!$F$14,PL_Saisie_Estime2!$F$20,PL_Saisie_Estime2!Z$2,PL_Saisie_Estime2!Z$1,PL_Saisie_Estime2!$C60),"")</f>
        <v/>
      </c>
      <c r="AA60" s="192" t="str">
        <f ca="1">IF(Flag_Send_Data=1,_xll.DBSW(PL_Saisie_Estime2!AA60,Server&amp;Cube1,PL_Saisie_Estime2!$F$17,PL_Saisie_Estime2!$F$18,PL_Saisie_Estime2!$F$19,PL_Saisie_Estime2!$F$16,PL_Saisie_Estime2!$C$14,PL_Saisie_Estime2!$F$15,PL_Saisie_Estime2!$F$14,PL_Saisie_Estime2!$F$20,PL_Saisie_Estime2!AA$2,PL_Saisie_Estime2!AA$1,PL_Saisie_Estime2!$C60),"")</f>
        <v/>
      </c>
      <c r="AB60" s="192" t="str">
        <f ca="1">IF(Flag_Send_Data=1,_xll.DBSW(PL_Saisie_Estime2!AB60,Server&amp;Cube1,PL_Saisie_Estime2!$F$17,PL_Saisie_Estime2!$F$18,PL_Saisie_Estime2!$F$19,PL_Saisie_Estime2!$F$16,PL_Saisie_Estime2!$C$14,PL_Saisie_Estime2!$F$15,PL_Saisie_Estime2!$F$14,PL_Saisie_Estime2!$F$20,PL_Saisie_Estime2!AB$2,PL_Saisie_Estime2!AB$1,PL_Saisie_Estime2!$C60),"")</f>
        <v/>
      </c>
      <c r="AC60" s="192" t="str">
        <f ca="1">IF(Flag_Send_Data=1,_xll.DBSW(PL_Saisie_Estime2!AC60,Server&amp;Cube1,PL_Saisie_Estime2!$F$17,PL_Saisie_Estime2!$F$18,PL_Saisie_Estime2!$F$19,PL_Saisie_Estime2!$F$16,PL_Saisie_Estime2!$C$14,PL_Saisie_Estime2!$F$15,PL_Saisie_Estime2!$F$14,PL_Saisie_Estime2!$F$20,PL_Saisie_Estime2!AC$2,PL_Saisie_Estime2!AC$1,PL_Saisie_Estime2!$C60),"")</f>
        <v/>
      </c>
      <c r="AD60" s="192" t="str">
        <f ca="1">IF(Flag_Send_Data=1,_xll.DBSW(PL_Saisie_Estime2!AD60,Server&amp;Cube1,PL_Saisie_Estime2!$F$17,PL_Saisie_Estime2!$F$18,PL_Saisie_Estime2!$F$19,PL_Saisie_Estime2!$F$16,PL_Saisie_Estime2!$C$14,PL_Saisie_Estime2!$F$15,PL_Saisie_Estime2!$F$14,PL_Saisie_Estime2!$F$20,PL_Saisie_Estime2!AD$2,PL_Saisie_Estime2!AD$1,PL_Saisie_Estime2!$C60),"")</f>
        <v/>
      </c>
      <c r="AE60" s="192" t="str">
        <f ca="1">IF(Flag_Send_Data=1,_xll.DBSW(PL_Saisie_Estime2!AE60,Server&amp;Cube1,PL_Saisie_Estime2!$F$17,PL_Saisie_Estime2!$F$18,PL_Saisie_Estime2!$F$19,PL_Saisie_Estime2!$F$16,PL_Saisie_Estime2!$C$14,PL_Saisie_Estime2!$F$15,PL_Saisie_Estime2!$F$14,PL_Saisie_Estime2!$F$20,PL_Saisie_Estime2!AE$2,PL_Saisie_Estime2!AE$1,PL_Saisie_Estime2!$C60),"")</f>
        <v/>
      </c>
      <c r="AF60" s="204"/>
      <c r="AG60" s="53"/>
      <c r="AH60" s="53"/>
      <c r="AI60" s="53"/>
      <c r="AJ60" s="53"/>
      <c r="AK60" s="53"/>
      <c r="AL60" s="53"/>
      <c r="AM60" s="53"/>
      <c r="AN60" s="53"/>
      <c r="AO60" s="53"/>
      <c r="AP60" s="62"/>
      <c r="AQ60" s="53"/>
      <c r="AR60" s="255" t="s">
        <v>473</v>
      </c>
      <c r="AS60" s="168">
        <v>4340</v>
      </c>
      <c r="AT60" s="207" t="s">
        <v>494</v>
      </c>
      <c r="AU60" s="53"/>
      <c r="AV60" s="53"/>
      <c r="AW60" s="53"/>
      <c r="AX60" s="53"/>
      <c r="AY60" s="53"/>
      <c r="AZ60" s="53"/>
      <c r="BA60" s="53"/>
    </row>
    <row r="61" spans="1:53" s="9" customFormat="1" ht="24.75" customHeight="1" thickBot="1" x14ac:dyDescent="0.4">
      <c r="A61" s="181"/>
      <c r="B61" s="163"/>
      <c r="C61" s="158"/>
      <c r="E61" s="268"/>
      <c r="F61" s="268"/>
      <c r="G61" s="268"/>
      <c r="H61" s="40"/>
      <c r="I61" s="130"/>
      <c r="J61" s="130"/>
      <c r="K61" s="130"/>
      <c r="L61" s="130"/>
      <c r="M61" s="130"/>
      <c r="N61" s="126"/>
      <c r="O61" s="204"/>
      <c r="P61" s="126"/>
      <c r="Q61" s="124"/>
      <c r="R61" s="192"/>
      <c r="S61" s="126"/>
      <c r="T61" s="200"/>
      <c r="U61" s="200"/>
      <c r="V61" s="200"/>
      <c r="W61" s="200"/>
      <c r="X61" s="200"/>
      <c r="Y61" s="200"/>
      <c r="Z61" s="192" t="str">
        <f ca="1">IF(Flag_Send_Data=1,_xll.DBSW(PL_Saisie_Estime2!Z61,Server&amp;Cube1,PL_Saisie_Estime2!$F$17,PL_Saisie_Estime2!$F$18,PL_Saisie_Estime2!$F$19,PL_Saisie_Estime2!$F$16,PL_Saisie_Estime2!$C$14,PL_Saisie_Estime2!$F$15,PL_Saisie_Estime2!$F$14,PL_Saisie_Estime2!$F$20,PL_Saisie_Estime2!Z$2,PL_Saisie_Estime2!Z$1,PL_Saisie_Estime2!$C61),"")</f>
        <v/>
      </c>
      <c r="AA61" s="192" t="str">
        <f ca="1">IF(Flag_Send_Data=1,_xll.DBSW(PL_Saisie_Estime2!AA61,Server&amp;Cube1,PL_Saisie_Estime2!$F$17,PL_Saisie_Estime2!$F$18,PL_Saisie_Estime2!$F$19,PL_Saisie_Estime2!$F$16,PL_Saisie_Estime2!$C$14,PL_Saisie_Estime2!$F$15,PL_Saisie_Estime2!$F$14,PL_Saisie_Estime2!$F$20,PL_Saisie_Estime2!AA$2,PL_Saisie_Estime2!AA$1,PL_Saisie_Estime2!$C61),"")</f>
        <v/>
      </c>
      <c r="AB61" s="192" t="str">
        <f ca="1">IF(Flag_Send_Data=1,_xll.DBSW(PL_Saisie_Estime2!AB61,Server&amp;Cube1,PL_Saisie_Estime2!$F$17,PL_Saisie_Estime2!$F$18,PL_Saisie_Estime2!$F$19,PL_Saisie_Estime2!$F$16,PL_Saisie_Estime2!$C$14,PL_Saisie_Estime2!$F$15,PL_Saisie_Estime2!$F$14,PL_Saisie_Estime2!$F$20,PL_Saisie_Estime2!AB$2,PL_Saisie_Estime2!AB$1,PL_Saisie_Estime2!$C61),"")</f>
        <v/>
      </c>
      <c r="AC61" s="192" t="str">
        <f ca="1">IF(Flag_Send_Data=1,_xll.DBSW(PL_Saisie_Estime2!AC61,Server&amp;Cube1,PL_Saisie_Estime2!$F$17,PL_Saisie_Estime2!$F$18,PL_Saisie_Estime2!$F$19,PL_Saisie_Estime2!$F$16,PL_Saisie_Estime2!$C$14,PL_Saisie_Estime2!$F$15,PL_Saisie_Estime2!$F$14,PL_Saisie_Estime2!$F$20,PL_Saisie_Estime2!AC$2,PL_Saisie_Estime2!AC$1,PL_Saisie_Estime2!$C61),"")</f>
        <v/>
      </c>
      <c r="AD61" s="192" t="str">
        <f ca="1">IF(Flag_Send_Data=1,_xll.DBSW(PL_Saisie_Estime2!AD61,Server&amp;Cube1,PL_Saisie_Estime2!$F$17,PL_Saisie_Estime2!$F$18,PL_Saisie_Estime2!$F$19,PL_Saisie_Estime2!$F$16,PL_Saisie_Estime2!$C$14,PL_Saisie_Estime2!$F$15,PL_Saisie_Estime2!$F$14,PL_Saisie_Estime2!$F$20,PL_Saisie_Estime2!AD$2,PL_Saisie_Estime2!AD$1,PL_Saisie_Estime2!$C61),"")</f>
        <v/>
      </c>
      <c r="AE61" s="192" t="str">
        <f ca="1">IF(Flag_Send_Data=1,_xll.DBSW(PL_Saisie_Estime2!AE61,Server&amp;Cube1,PL_Saisie_Estime2!$F$17,PL_Saisie_Estime2!$F$18,PL_Saisie_Estime2!$F$19,PL_Saisie_Estime2!$F$16,PL_Saisie_Estime2!$C$14,PL_Saisie_Estime2!$F$15,PL_Saisie_Estime2!$F$14,PL_Saisie_Estime2!$F$20,PL_Saisie_Estime2!AE$2,PL_Saisie_Estime2!AE$1,PL_Saisie_Estime2!$C61),"")</f>
        <v/>
      </c>
      <c r="AF61" s="204"/>
      <c r="AG61" s="53"/>
      <c r="AH61" s="53"/>
      <c r="AI61" s="53"/>
      <c r="AJ61" s="53"/>
      <c r="AK61" s="53"/>
      <c r="AL61" s="53"/>
      <c r="AM61" s="53"/>
      <c r="AN61" s="53"/>
      <c r="AO61" s="53"/>
      <c r="AP61" s="62"/>
      <c r="AQ61" s="53"/>
      <c r="AR61" s="256"/>
      <c r="AS61" s="170">
        <v>4320</v>
      </c>
      <c r="AT61" s="209" t="s">
        <v>494</v>
      </c>
      <c r="AU61" s="53"/>
      <c r="AV61" s="53"/>
      <c r="AW61" s="53"/>
      <c r="AX61" s="53"/>
      <c r="AY61" s="53"/>
      <c r="AZ61" s="53"/>
      <c r="BA61" s="53"/>
    </row>
    <row r="62" spans="1:53" s="9" customFormat="1" ht="24.75" customHeight="1" x14ac:dyDescent="0.35">
      <c r="A62" s="181"/>
      <c r="B62" s="163"/>
      <c r="C62" s="158"/>
      <c r="E62" s="268"/>
      <c r="F62" s="268"/>
      <c r="G62" s="268"/>
      <c r="H62" s="40"/>
      <c r="I62" s="130"/>
      <c r="J62" s="130"/>
      <c r="K62" s="130"/>
      <c r="L62" s="130"/>
      <c r="M62" s="130"/>
      <c r="N62" s="126"/>
      <c r="O62" s="204"/>
      <c r="P62" s="126"/>
      <c r="Q62" s="124"/>
      <c r="R62" s="192"/>
      <c r="S62" s="126"/>
      <c r="T62" s="200"/>
      <c r="U62" s="200"/>
      <c r="V62" s="200"/>
      <c r="W62" s="200"/>
      <c r="X62" s="200"/>
      <c r="Y62" s="200"/>
      <c r="Z62" s="192" t="str">
        <f ca="1">IF(Flag_Send_Data=1,_xll.DBSW(PL_Saisie_Estime2!Z62,Server&amp;Cube1,PL_Saisie_Estime2!$F$17,PL_Saisie_Estime2!$F$18,PL_Saisie_Estime2!$F$19,PL_Saisie_Estime2!$F$16,PL_Saisie_Estime2!$C$14,PL_Saisie_Estime2!$F$15,PL_Saisie_Estime2!$F$14,PL_Saisie_Estime2!$F$20,PL_Saisie_Estime2!Z$2,PL_Saisie_Estime2!Z$1,PL_Saisie_Estime2!$C62),"")</f>
        <v/>
      </c>
      <c r="AA62" s="192" t="str">
        <f ca="1">IF(Flag_Send_Data=1,_xll.DBSW(PL_Saisie_Estime2!AA62,Server&amp;Cube1,PL_Saisie_Estime2!$F$17,PL_Saisie_Estime2!$F$18,PL_Saisie_Estime2!$F$19,PL_Saisie_Estime2!$F$16,PL_Saisie_Estime2!$C$14,PL_Saisie_Estime2!$F$15,PL_Saisie_Estime2!$F$14,PL_Saisie_Estime2!$F$20,PL_Saisie_Estime2!AA$2,PL_Saisie_Estime2!AA$1,PL_Saisie_Estime2!$C62),"")</f>
        <v/>
      </c>
      <c r="AB62" s="192" t="str">
        <f ca="1">IF(Flag_Send_Data=1,_xll.DBSW(PL_Saisie_Estime2!AB62,Server&amp;Cube1,PL_Saisie_Estime2!$F$17,PL_Saisie_Estime2!$F$18,PL_Saisie_Estime2!$F$19,PL_Saisie_Estime2!$F$16,PL_Saisie_Estime2!$C$14,PL_Saisie_Estime2!$F$15,PL_Saisie_Estime2!$F$14,PL_Saisie_Estime2!$F$20,PL_Saisie_Estime2!AB$2,PL_Saisie_Estime2!AB$1,PL_Saisie_Estime2!$C62),"")</f>
        <v/>
      </c>
      <c r="AC62" s="192" t="str">
        <f ca="1">IF(Flag_Send_Data=1,_xll.DBSW(PL_Saisie_Estime2!AC62,Server&amp;Cube1,PL_Saisie_Estime2!$F$17,PL_Saisie_Estime2!$F$18,PL_Saisie_Estime2!$F$19,PL_Saisie_Estime2!$F$16,PL_Saisie_Estime2!$C$14,PL_Saisie_Estime2!$F$15,PL_Saisie_Estime2!$F$14,PL_Saisie_Estime2!$F$20,PL_Saisie_Estime2!AC$2,PL_Saisie_Estime2!AC$1,PL_Saisie_Estime2!$C62),"")</f>
        <v/>
      </c>
      <c r="AD62" s="192" t="str">
        <f ca="1">IF(Flag_Send_Data=1,_xll.DBSW(PL_Saisie_Estime2!AD62,Server&amp;Cube1,PL_Saisie_Estime2!$F$17,PL_Saisie_Estime2!$F$18,PL_Saisie_Estime2!$F$19,PL_Saisie_Estime2!$F$16,PL_Saisie_Estime2!$C$14,PL_Saisie_Estime2!$F$15,PL_Saisie_Estime2!$F$14,PL_Saisie_Estime2!$F$20,PL_Saisie_Estime2!AD$2,PL_Saisie_Estime2!AD$1,PL_Saisie_Estime2!$C62),"")</f>
        <v/>
      </c>
      <c r="AE62" s="192" t="str">
        <f ca="1">IF(Flag_Send_Data=1,_xll.DBSW(PL_Saisie_Estime2!AE62,Server&amp;Cube1,PL_Saisie_Estime2!$F$17,PL_Saisie_Estime2!$F$18,PL_Saisie_Estime2!$F$19,PL_Saisie_Estime2!$F$16,PL_Saisie_Estime2!$C$14,PL_Saisie_Estime2!$F$15,PL_Saisie_Estime2!$F$14,PL_Saisie_Estime2!$F$20,PL_Saisie_Estime2!AE$2,PL_Saisie_Estime2!AE$1,PL_Saisie_Estime2!$C62),"")</f>
        <v/>
      </c>
      <c r="AF62" s="204"/>
      <c r="AG62" s="53"/>
      <c r="AH62" s="53"/>
      <c r="AI62" s="53"/>
      <c r="AJ62" s="53"/>
      <c r="AK62" s="53"/>
      <c r="AL62" s="53"/>
      <c r="AM62" s="53"/>
      <c r="AN62" s="53"/>
      <c r="AO62" s="53"/>
      <c r="AP62" s="62"/>
      <c r="AQ62" s="53"/>
      <c r="AR62" s="255" t="s">
        <v>474</v>
      </c>
      <c r="AS62" s="168">
        <v>4350</v>
      </c>
      <c r="AT62" s="207" t="s">
        <v>496</v>
      </c>
      <c r="AU62" s="53"/>
      <c r="AV62" s="53"/>
      <c r="AW62" s="53"/>
      <c r="AX62" s="53"/>
      <c r="AY62" s="53"/>
      <c r="AZ62" s="53"/>
      <c r="BA62" s="53"/>
    </row>
    <row r="63" spans="1:53" s="9" customFormat="1" ht="24.95" customHeight="1" collapsed="1" x14ac:dyDescent="0.35">
      <c r="A63" s="181"/>
      <c r="B63" s="163"/>
      <c r="C63" s="117"/>
      <c r="E63" s="270"/>
      <c r="F63" s="270"/>
      <c r="G63" s="270"/>
      <c r="H63" s="40"/>
      <c r="I63" s="130"/>
      <c r="J63" s="130"/>
      <c r="K63" s="130"/>
      <c r="L63" s="130"/>
      <c r="M63" s="130"/>
      <c r="N63" s="125"/>
      <c r="O63" s="125"/>
      <c r="P63" s="125"/>
      <c r="Q63" s="124"/>
      <c r="R63" s="125"/>
      <c r="S63" s="125"/>
      <c r="T63" s="201"/>
      <c r="U63" s="201"/>
      <c r="V63" s="201"/>
      <c r="W63" s="201"/>
      <c r="X63" s="125"/>
      <c r="Y63" s="125"/>
      <c r="Z63" s="125"/>
      <c r="AA63" s="125"/>
      <c r="AB63" s="125"/>
      <c r="AC63" s="125"/>
      <c r="AD63" s="125"/>
      <c r="AE63" s="125"/>
      <c r="AF63" s="125"/>
      <c r="AG63" s="53"/>
      <c r="AH63" s="53"/>
      <c r="AI63" s="53"/>
      <c r="AJ63" s="53"/>
      <c r="AK63" s="53"/>
      <c r="AL63" s="53"/>
      <c r="AM63" s="53"/>
      <c r="AN63" s="53"/>
      <c r="AO63" s="53"/>
      <c r="AQ63" s="53"/>
      <c r="AR63" s="257"/>
      <c r="AS63" s="169">
        <v>5000</v>
      </c>
      <c r="AT63" s="208" t="s">
        <v>496</v>
      </c>
      <c r="AU63" s="53"/>
      <c r="AV63" s="53"/>
      <c r="AW63" s="53"/>
      <c r="AX63" s="53"/>
      <c r="AY63" s="53"/>
      <c r="AZ63" s="53"/>
      <c r="BA63" s="53"/>
    </row>
    <row r="64" spans="1:53" s="9" customFormat="1" ht="24.95" customHeight="1" x14ac:dyDescent="0.35">
      <c r="A64" s="181"/>
      <c r="B64" s="190"/>
      <c r="C64" s="158"/>
      <c r="E64" s="268"/>
      <c r="F64" s="268"/>
      <c r="G64" s="268"/>
      <c r="H64" s="40"/>
      <c r="I64" s="130"/>
      <c r="J64" s="130"/>
      <c r="K64" s="130"/>
      <c r="L64" s="130"/>
      <c r="M64" s="130"/>
      <c r="N64" s="126"/>
      <c r="O64" s="204"/>
      <c r="P64" s="126"/>
      <c r="Q64" s="124"/>
      <c r="R64" s="192"/>
      <c r="S64" s="126"/>
      <c r="T64" s="200"/>
      <c r="U64" s="200"/>
      <c r="V64" s="200"/>
      <c r="W64" s="200"/>
      <c r="X64" s="200"/>
      <c r="Y64" s="200"/>
      <c r="Z64" s="192" t="str">
        <f ca="1">IF(Flag_Send_Data=1,_xll.DBSW(PL_Saisie_Estime2!Z64,Server&amp;Cube1,PL_Saisie_Estime2!$F$17,PL_Saisie_Estime2!$F$18,PL_Saisie_Estime2!$F$19,PL_Saisie_Estime2!$F$16,PL_Saisie_Estime2!$C$14,PL_Saisie_Estime2!$F$15,PL_Saisie_Estime2!$F$14,PL_Saisie_Estime2!$F$20,PL_Saisie_Estime2!Z$2,PL_Saisie_Estime2!Z$1,PL_Saisie_Estime2!$C64),"")</f>
        <v/>
      </c>
      <c r="AA64" s="192" t="str">
        <f ca="1">IF(Flag_Send_Data=1,_xll.DBSW(PL_Saisie_Estime2!AA64,Server&amp;Cube1,PL_Saisie_Estime2!$F$17,PL_Saisie_Estime2!$F$18,PL_Saisie_Estime2!$F$19,PL_Saisie_Estime2!$F$16,PL_Saisie_Estime2!$C$14,PL_Saisie_Estime2!$F$15,PL_Saisie_Estime2!$F$14,PL_Saisie_Estime2!$F$20,PL_Saisie_Estime2!AA$2,PL_Saisie_Estime2!AA$1,PL_Saisie_Estime2!$C64),"")</f>
        <v/>
      </c>
      <c r="AB64" s="192" t="str">
        <f ca="1">IF(Flag_Send_Data=1,_xll.DBSW(PL_Saisie_Estime2!AB64,Server&amp;Cube1,PL_Saisie_Estime2!$F$17,PL_Saisie_Estime2!$F$18,PL_Saisie_Estime2!$F$19,PL_Saisie_Estime2!$F$16,PL_Saisie_Estime2!$C$14,PL_Saisie_Estime2!$F$15,PL_Saisie_Estime2!$F$14,PL_Saisie_Estime2!$F$20,PL_Saisie_Estime2!AB$2,PL_Saisie_Estime2!AB$1,PL_Saisie_Estime2!$C64),"")</f>
        <v/>
      </c>
      <c r="AC64" s="192" t="str">
        <f ca="1">IF(Flag_Send_Data=1,_xll.DBSW(PL_Saisie_Estime2!AC64,Server&amp;Cube1,PL_Saisie_Estime2!$F$17,PL_Saisie_Estime2!$F$18,PL_Saisie_Estime2!$F$19,PL_Saisie_Estime2!$F$16,PL_Saisie_Estime2!$C$14,PL_Saisie_Estime2!$F$15,PL_Saisie_Estime2!$F$14,PL_Saisie_Estime2!$F$20,PL_Saisie_Estime2!AC$2,PL_Saisie_Estime2!AC$1,PL_Saisie_Estime2!$C64),"")</f>
        <v/>
      </c>
      <c r="AD64" s="192" t="str">
        <f ca="1">IF(Flag_Send_Data=1,_xll.DBSW(PL_Saisie_Estime2!AD64,Server&amp;Cube1,PL_Saisie_Estime2!$F$17,PL_Saisie_Estime2!$F$18,PL_Saisie_Estime2!$F$19,PL_Saisie_Estime2!$F$16,PL_Saisie_Estime2!$C$14,PL_Saisie_Estime2!$F$15,PL_Saisie_Estime2!$F$14,PL_Saisie_Estime2!$F$20,PL_Saisie_Estime2!AD$2,PL_Saisie_Estime2!AD$1,PL_Saisie_Estime2!$C64),"")</f>
        <v/>
      </c>
      <c r="AE64" s="192" t="str">
        <f ca="1">IF(Flag_Send_Data=1,_xll.DBSW(PL_Saisie_Estime2!AE64,Server&amp;Cube1,PL_Saisie_Estime2!$F$17,PL_Saisie_Estime2!$F$18,PL_Saisie_Estime2!$F$19,PL_Saisie_Estime2!$F$16,PL_Saisie_Estime2!$C$14,PL_Saisie_Estime2!$F$15,PL_Saisie_Estime2!$F$14,PL_Saisie_Estime2!$F$20,PL_Saisie_Estime2!AE$2,PL_Saisie_Estime2!AE$1,PL_Saisie_Estime2!$C64),"")</f>
        <v/>
      </c>
      <c r="AF64" s="204"/>
      <c r="AG64" s="53"/>
      <c r="AH64" s="53"/>
      <c r="AI64" s="53"/>
      <c r="AJ64" s="53"/>
      <c r="AK64" s="53"/>
      <c r="AL64" s="53"/>
      <c r="AM64" s="53"/>
      <c r="AN64" s="53"/>
      <c r="AO64" s="53"/>
      <c r="AP64" s="62"/>
      <c r="AQ64" s="53"/>
      <c r="AR64" s="257"/>
      <c r="AS64" s="169">
        <v>5010</v>
      </c>
      <c r="AT64" s="208" t="s">
        <v>496</v>
      </c>
      <c r="AU64" s="53"/>
      <c r="AV64" s="53"/>
      <c r="AW64" s="53"/>
      <c r="AX64" s="53"/>
      <c r="AY64" s="53"/>
      <c r="AZ64" s="53"/>
      <c r="BA64" s="53"/>
    </row>
    <row r="65" spans="1:57" s="9" customFormat="1" ht="24.95" customHeight="1" x14ac:dyDescent="0.35">
      <c r="A65" s="181"/>
      <c r="B65" s="190"/>
      <c r="C65" s="158"/>
      <c r="E65" s="268"/>
      <c r="F65" s="268"/>
      <c r="G65" s="268"/>
      <c r="H65" s="40"/>
      <c r="I65" s="130"/>
      <c r="J65" s="130"/>
      <c r="K65" s="130"/>
      <c r="L65" s="130"/>
      <c r="M65" s="130"/>
      <c r="N65" s="126"/>
      <c r="O65" s="204"/>
      <c r="P65" s="126"/>
      <c r="Q65" s="124"/>
      <c r="R65" s="192"/>
      <c r="S65" s="126"/>
      <c r="T65" s="200"/>
      <c r="U65" s="200"/>
      <c r="V65" s="200"/>
      <c r="W65" s="200"/>
      <c r="X65" s="200"/>
      <c r="Y65" s="200"/>
      <c r="Z65" s="192" t="str">
        <f ca="1">IF(Flag_Send_Data=1,_xll.DBSW(PL_Saisie_Estime2!Z65,Server&amp;Cube1,PL_Saisie_Estime2!$F$17,PL_Saisie_Estime2!$F$18,PL_Saisie_Estime2!$F$19,PL_Saisie_Estime2!$F$16,PL_Saisie_Estime2!$C$14,PL_Saisie_Estime2!$F$15,PL_Saisie_Estime2!$F$14,PL_Saisie_Estime2!$F$20,PL_Saisie_Estime2!Z$2,PL_Saisie_Estime2!Z$1,PL_Saisie_Estime2!$C65),"")</f>
        <v/>
      </c>
      <c r="AA65" s="192" t="str">
        <f ca="1">IF(Flag_Send_Data=1,_xll.DBSW(PL_Saisie_Estime2!AA65,Server&amp;Cube1,PL_Saisie_Estime2!$F$17,PL_Saisie_Estime2!$F$18,PL_Saisie_Estime2!$F$19,PL_Saisie_Estime2!$F$16,PL_Saisie_Estime2!$C$14,PL_Saisie_Estime2!$F$15,PL_Saisie_Estime2!$F$14,PL_Saisie_Estime2!$F$20,PL_Saisie_Estime2!AA$2,PL_Saisie_Estime2!AA$1,PL_Saisie_Estime2!$C65),"")</f>
        <v/>
      </c>
      <c r="AB65" s="192" t="str">
        <f ca="1">IF(Flag_Send_Data=1,_xll.DBSW(PL_Saisie_Estime2!AB65,Server&amp;Cube1,PL_Saisie_Estime2!$F$17,PL_Saisie_Estime2!$F$18,PL_Saisie_Estime2!$F$19,PL_Saisie_Estime2!$F$16,PL_Saisie_Estime2!$C$14,PL_Saisie_Estime2!$F$15,PL_Saisie_Estime2!$F$14,PL_Saisie_Estime2!$F$20,PL_Saisie_Estime2!AB$2,PL_Saisie_Estime2!AB$1,PL_Saisie_Estime2!$C65),"")</f>
        <v/>
      </c>
      <c r="AC65" s="192" t="str">
        <f ca="1">IF(Flag_Send_Data=1,_xll.DBSW(PL_Saisie_Estime2!AC65,Server&amp;Cube1,PL_Saisie_Estime2!$F$17,PL_Saisie_Estime2!$F$18,PL_Saisie_Estime2!$F$19,PL_Saisie_Estime2!$F$16,PL_Saisie_Estime2!$C$14,PL_Saisie_Estime2!$F$15,PL_Saisie_Estime2!$F$14,PL_Saisie_Estime2!$F$20,PL_Saisie_Estime2!AC$2,PL_Saisie_Estime2!AC$1,PL_Saisie_Estime2!$C65),"")</f>
        <v/>
      </c>
      <c r="AD65" s="192" t="str">
        <f ca="1">IF(Flag_Send_Data=1,_xll.DBSW(PL_Saisie_Estime2!AD65,Server&amp;Cube1,PL_Saisie_Estime2!$F$17,PL_Saisie_Estime2!$F$18,PL_Saisie_Estime2!$F$19,PL_Saisie_Estime2!$F$16,PL_Saisie_Estime2!$C$14,PL_Saisie_Estime2!$F$15,PL_Saisie_Estime2!$F$14,PL_Saisie_Estime2!$F$20,PL_Saisie_Estime2!AD$2,PL_Saisie_Estime2!AD$1,PL_Saisie_Estime2!$C65),"")</f>
        <v/>
      </c>
      <c r="AE65" s="192" t="str">
        <f ca="1">IF(Flag_Send_Data=1,_xll.DBSW(PL_Saisie_Estime2!AE65,Server&amp;Cube1,PL_Saisie_Estime2!$F$17,PL_Saisie_Estime2!$F$18,PL_Saisie_Estime2!$F$19,PL_Saisie_Estime2!$F$16,PL_Saisie_Estime2!$C$14,PL_Saisie_Estime2!$F$15,PL_Saisie_Estime2!$F$14,PL_Saisie_Estime2!$F$20,PL_Saisie_Estime2!AE$2,PL_Saisie_Estime2!AE$1,PL_Saisie_Estime2!$C65),"")</f>
        <v/>
      </c>
      <c r="AF65" s="204"/>
      <c r="AG65" s="53"/>
      <c r="AH65" s="53"/>
      <c r="AI65" s="53"/>
      <c r="AJ65" s="53"/>
      <c r="AK65" s="53"/>
      <c r="AL65" s="53"/>
      <c r="AM65" s="53"/>
      <c r="AN65" s="53"/>
      <c r="AO65" s="53"/>
      <c r="AP65" s="62"/>
      <c r="AQ65" s="53"/>
      <c r="AR65" s="257"/>
      <c r="AS65" s="169">
        <v>5020</v>
      </c>
      <c r="AT65" s="208" t="s">
        <v>496</v>
      </c>
      <c r="AU65" s="53"/>
      <c r="AV65" s="53"/>
      <c r="AW65" s="53"/>
      <c r="AX65" s="53"/>
      <c r="AY65" s="53"/>
      <c r="AZ65" s="53"/>
      <c r="BA65" s="53"/>
    </row>
    <row r="66" spans="1:57" s="9" customFormat="1" ht="24.95" customHeight="1" thickBot="1" x14ac:dyDescent="0.4">
      <c r="A66" s="181"/>
      <c r="B66" s="190"/>
      <c r="C66" s="158"/>
      <c r="E66" s="268"/>
      <c r="F66" s="268"/>
      <c r="G66" s="268"/>
      <c r="H66" s="40"/>
      <c r="I66" s="130"/>
      <c r="J66" s="130"/>
      <c r="K66" s="130"/>
      <c r="L66" s="130"/>
      <c r="M66" s="130"/>
      <c r="N66" s="126"/>
      <c r="O66" s="204"/>
      <c r="P66" s="126"/>
      <c r="Q66" s="124"/>
      <c r="R66" s="192"/>
      <c r="S66" s="126"/>
      <c r="T66" s="200"/>
      <c r="U66" s="200"/>
      <c r="V66" s="200"/>
      <c r="W66" s="200"/>
      <c r="X66" s="200"/>
      <c r="Y66" s="200"/>
      <c r="Z66" s="192" t="str">
        <f ca="1">IF(Flag_Send_Data=1,_xll.DBSW(PL_Saisie_Estime2!Z66,Server&amp;Cube1,PL_Saisie_Estime2!$F$17,PL_Saisie_Estime2!$F$18,PL_Saisie_Estime2!$F$19,PL_Saisie_Estime2!$F$16,PL_Saisie_Estime2!$C$14,PL_Saisie_Estime2!$F$15,PL_Saisie_Estime2!$F$14,PL_Saisie_Estime2!$F$20,PL_Saisie_Estime2!Z$2,PL_Saisie_Estime2!Z$1,PL_Saisie_Estime2!$C66),"")</f>
        <v/>
      </c>
      <c r="AA66" s="192" t="str">
        <f ca="1">IF(Flag_Send_Data=1,_xll.DBSW(PL_Saisie_Estime2!AA66,Server&amp;Cube1,PL_Saisie_Estime2!$F$17,PL_Saisie_Estime2!$F$18,PL_Saisie_Estime2!$F$19,PL_Saisie_Estime2!$F$16,PL_Saisie_Estime2!$C$14,PL_Saisie_Estime2!$F$15,PL_Saisie_Estime2!$F$14,PL_Saisie_Estime2!$F$20,PL_Saisie_Estime2!AA$2,PL_Saisie_Estime2!AA$1,PL_Saisie_Estime2!$C66),"")</f>
        <v/>
      </c>
      <c r="AB66" s="192" t="str">
        <f ca="1">IF(Flag_Send_Data=1,_xll.DBSW(PL_Saisie_Estime2!AB66,Server&amp;Cube1,PL_Saisie_Estime2!$F$17,PL_Saisie_Estime2!$F$18,PL_Saisie_Estime2!$F$19,PL_Saisie_Estime2!$F$16,PL_Saisie_Estime2!$C$14,PL_Saisie_Estime2!$F$15,PL_Saisie_Estime2!$F$14,PL_Saisie_Estime2!$F$20,PL_Saisie_Estime2!AB$2,PL_Saisie_Estime2!AB$1,PL_Saisie_Estime2!$C66),"")</f>
        <v/>
      </c>
      <c r="AC66" s="192" t="str">
        <f ca="1">IF(Flag_Send_Data=1,_xll.DBSW(PL_Saisie_Estime2!AC66,Server&amp;Cube1,PL_Saisie_Estime2!$F$17,PL_Saisie_Estime2!$F$18,PL_Saisie_Estime2!$F$19,PL_Saisie_Estime2!$F$16,PL_Saisie_Estime2!$C$14,PL_Saisie_Estime2!$F$15,PL_Saisie_Estime2!$F$14,PL_Saisie_Estime2!$F$20,PL_Saisie_Estime2!AC$2,PL_Saisie_Estime2!AC$1,PL_Saisie_Estime2!$C66),"")</f>
        <v/>
      </c>
      <c r="AD66" s="192" t="str">
        <f ca="1">IF(Flag_Send_Data=1,_xll.DBSW(PL_Saisie_Estime2!AD66,Server&amp;Cube1,PL_Saisie_Estime2!$F$17,PL_Saisie_Estime2!$F$18,PL_Saisie_Estime2!$F$19,PL_Saisie_Estime2!$F$16,PL_Saisie_Estime2!$C$14,PL_Saisie_Estime2!$F$15,PL_Saisie_Estime2!$F$14,PL_Saisie_Estime2!$F$20,PL_Saisie_Estime2!AD$2,PL_Saisie_Estime2!AD$1,PL_Saisie_Estime2!$C66),"")</f>
        <v/>
      </c>
      <c r="AE66" s="192" t="str">
        <f ca="1">IF(Flag_Send_Data=1,_xll.DBSW(PL_Saisie_Estime2!AE66,Server&amp;Cube1,PL_Saisie_Estime2!$F$17,PL_Saisie_Estime2!$F$18,PL_Saisie_Estime2!$F$19,PL_Saisie_Estime2!$F$16,PL_Saisie_Estime2!$C$14,PL_Saisie_Estime2!$F$15,PL_Saisie_Estime2!$F$14,PL_Saisie_Estime2!$F$20,PL_Saisie_Estime2!AE$2,PL_Saisie_Estime2!AE$1,PL_Saisie_Estime2!$C66),"")</f>
        <v/>
      </c>
      <c r="AF66" s="204"/>
      <c r="AG66" s="53"/>
      <c r="AH66" s="53"/>
      <c r="AI66" s="53"/>
      <c r="AJ66" s="53"/>
      <c r="AK66" s="53"/>
      <c r="AL66" s="53"/>
      <c r="AM66" s="53"/>
      <c r="AN66" s="53"/>
      <c r="AO66" s="53"/>
      <c r="AP66" s="62"/>
      <c r="AQ66" s="53"/>
      <c r="AR66" s="256"/>
      <c r="AS66" s="170">
        <v>5100</v>
      </c>
      <c r="AT66" s="209" t="s">
        <v>496</v>
      </c>
      <c r="AU66" s="53"/>
      <c r="AV66" s="53"/>
      <c r="AW66" s="53"/>
      <c r="AX66" s="53"/>
      <c r="AY66" s="53"/>
      <c r="AZ66" s="53"/>
      <c r="BA66" s="53"/>
    </row>
    <row r="67" spans="1:57" s="9" customFormat="1" ht="24.95" customHeight="1" thickBot="1" x14ac:dyDescent="0.4">
      <c r="A67" s="181"/>
      <c r="B67" s="190"/>
      <c r="C67" s="158"/>
      <c r="E67" s="268"/>
      <c r="F67" s="268"/>
      <c r="G67" s="268"/>
      <c r="H67" s="40"/>
      <c r="I67" s="130"/>
      <c r="J67" s="130"/>
      <c r="K67" s="130"/>
      <c r="L67" s="130"/>
      <c r="M67" s="130"/>
      <c r="N67" s="126"/>
      <c r="O67" s="204"/>
      <c r="P67" s="126"/>
      <c r="Q67" s="124"/>
      <c r="R67" s="192"/>
      <c r="S67" s="126"/>
      <c r="T67" s="200"/>
      <c r="U67" s="200"/>
      <c r="V67" s="200"/>
      <c r="W67" s="200"/>
      <c r="X67" s="200"/>
      <c r="Y67" s="200"/>
      <c r="Z67" s="192" t="str">
        <f ca="1">IF(Flag_Send_Data=1,_xll.DBSW(PL_Saisie_Estime2!Z67,Server&amp;Cube1,PL_Saisie_Estime2!$F$17,PL_Saisie_Estime2!$F$18,PL_Saisie_Estime2!$F$19,PL_Saisie_Estime2!$F$16,PL_Saisie_Estime2!$C$14,PL_Saisie_Estime2!$F$15,PL_Saisie_Estime2!$F$14,PL_Saisie_Estime2!$F$20,PL_Saisie_Estime2!Z$2,PL_Saisie_Estime2!Z$1,PL_Saisie_Estime2!$C67),"")</f>
        <v/>
      </c>
      <c r="AA67" s="192" t="str">
        <f ca="1">IF(Flag_Send_Data=1,_xll.DBSW(PL_Saisie_Estime2!AA67,Server&amp;Cube1,PL_Saisie_Estime2!$F$17,PL_Saisie_Estime2!$F$18,PL_Saisie_Estime2!$F$19,PL_Saisie_Estime2!$F$16,PL_Saisie_Estime2!$C$14,PL_Saisie_Estime2!$F$15,PL_Saisie_Estime2!$F$14,PL_Saisie_Estime2!$F$20,PL_Saisie_Estime2!AA$2,PL_Saisie_Estime2!AA$1,PL_Saisie_Estime2!$C67),"")</f>
        <v/>
      </c>
      <c r="AB67" s="192" t="str">
        <f ca="1">IF(Flag_Send_Data=1,_xll.DBSW(PL_Saisie_Estime2!AB67,Server&amp;Cube1,PL_Saisie_Estime2!$F$17,PL_Saisie_Estime2!$F$18,PL_Saisie_Estime2!$F$19,PL_Saisie_Estime2!$F$16,PL_Saisie_Estime2!$C$14,PL_Saisie_Estime2!$F$15,PL_Saisie_Estime2!$F$14,PL_Saisie_Estime2!$F$20,PL_Saisie_Estime2!AB$2,PL_Saisie_Estime2!AB$1,PL_Saisie_Estime2!$C67),"")</f>
        <v/>
      </c>
      <c r="AC67" s="192" t="str">
        <f ca="1">IF(Flag_Send_Data=1,_xll.DBSW(PL_Saisie_Estime2!AC67,Server&amp;Cube1,PL_Saisie_Estime2!$F$17,PL_Saisie_Estime2!$F$18,PL_Saisie_Estime2!$F$19,PL_Saisie_Estime2!$F$16,PL_Saisie_Estime2!$C$14,PL_Saisie_Estime2!$F$15,PL_Saisie_Estime2!$F$14,PL_Saisie_Estime2!$F$20,PL_Saisie_Estime2!AC$2,PL_Saisie_Estime2!AC$1,PL_Saisie_Estime2!$C67),"")</f>
        <v/>
      </c>
      <c r="AD67" s="192" t="str">
        <f ca="1">IF(Flag_Send_Data=1,_xll.DBSW(PL_Saisie_Estime2!AD67,Server&amp;Cube1,PL_Saisie_Estime2!$F$17,PL_Saisie_Estime2!$F$18,PL_Saisie_Estime2!$F$19,PL_Saisie_Estime2!$F$16,PL_Saisie_Estime2!$C$14,PL_Saisie_Estime2!$F$15,PL_Saisie_Estime2!$F$14,PL_Saisie_Estime2!$F$20,PL_Saisie_Estime2!AD$2,PL_Saisie_Estime2!AD$1,PL_Saisie_Estime2!$C67),"")</f>
        <v/>
      </c>
      <c r="AE67" s="192" t="str">
        <f ca="1">IF(Flag_Send_Data=1,_xll.DBSW(PL_Saisie_Estime2!AE67,Server&amp;Cube1,PL_Saisie_Estime2!$F$17,PL_Saisie_Estime2!$F$18,PL_Saisie_Estime2!$F$19,PL_Saisie_Estime2!$F$16,PL_Saisie_Estime2!$C$14,PL_Saisie_Estime2!$F$15,PL_Saisie_Estime2!$F$14,PL_Saisie_Estime2!$F$20,PL_Saisie_Estime2!AE$2,PL_Saisie_Estime2!AE$1,PL_Saisie_Estime2!$C67),"")</f>
        <v/>
      </c>
      <c r="AF67" s="204"/>
      <c r="AG67" s="53"/>
      <c r="AH67" s="53"/>
      <c r="AI67" s="53"/>
      <c r="AJ67" s="53"/>
      <c r="AK67" s="53"/>
      <c r="AL67" s="53"/>
      <c r="AM67" s="53"/>
      <c r="AN67" s="53"/>
      <c r="AO67" s="53"/>
      <c r="AP67" s="62"/>
      <c r="AQ67" s="53"/>
      <c r="AR67" s="184" t="s">
        <v>475</v>
      </c>
      <c r="AS67" s="185">
        <v>4020</v>
      </c>
      <c r="AT67" s="178" t="s">
        <v>492</v>
      </c>
      <c r="AU67" s="53"/>
      <c r="AV67" s="53"/>
      <c r="AW67" s="53"/>
      <c r="AX67" s="53"/>
      <c r="AY67" s="53"/>
      <c r="AZ67" s="53"/>
      <c r="BA67" s="53"/>
    </row>
    <row r="68" spans="1:57" s="9" customFormat="1" ht="24.95" customHeight="1" x14ac:dyDescent="0.35">
      <c r="A68" s="181"/>
      <c r="B68" s="190"/>
      <c r="C68" s="158"/>
      <c r="E68" s="268"/>
      <c r="F68" s="268"/>
      <c r="G68" s="268"/>
      <c r="H68" s="40"/>
      <c r="I68" s="130"/>
      <c r="J68" s="130"/>
      <c r="K68" s="130"/>
      <c r="L68" s="130"/>
      <c r="M68" s="130"/>
      <c r="N68" s="126"/>
      <c r="O68" s="204"/>
      <c r="P68" s="126"/>
      <c r="Q68" s="124"/>
      <c r="R68" s="192"/>
      <c r="S68" s="126"/>
      <c r="T68" s="200"/>
      <c r="U68" s="200"/>
      <c r="V68" s="200"/>
      <c r="W68" s="200"/>
      <c r="X68" s="200"/>
      <c r="Y68" s="200"/>
      <c r="Z68" s="192" t="str">
        <f ca="1">IF(Flag_Send_Data=1,_xll.DBSW(PL_Saisie_Estime2!Z68,Server&amp;Cube1,PL_Saisie_Estime2!$F$17,PL_Saisie_Estime2!$F$18,PL_Saisie_Estime2!$F$19,PL_Saisie_Estime2!$F$16,PL_Saisie_Estime2!$C$14,PL_Saisie_Estime2!$F$15,PL_Saisie_Estime2!$F$14,PL_Saisie_Estime2!$F$20,PL_Saisie_Estime2!Z$2,PL_Saisie_Estime2!Z$1,PL_Saisie_Estime2!$C68),"")</f>
        <v/>
      </c>
      <c r="AA68" s="192" t="str">
        <f ca="1">IF(Flag_Send_Data=1,_xll.DBSW(PL_Saisie_Estime2!AA68,Server&amp;Cube1,PL_Saisie_Estime2!$F$17,PL_Saisie_Estime2!$F$18,PL_Saisie_Estime2!$F$19,PL_Saisie_Estime2!$F$16,PL_Saisie_Estime2!$C$14,PL_Saisie_Estime2!$F$15,PL_Saisie_Estime2!$F$14,PL_Saisie_Estime2!$F$20,PL_Saisie_Estime2!AA$2,PL_Saisie_Estime2!AA$1,PL_Saisie_Estime2!$C68),"")</f>
        <v/>
      </c>
      <c r="AB68" s="192" t="str">
        <f ca="1">IF(Flag_Send_Data=1,_xll.DBSW(PL_Saisie_Estime2!AB68,Server&amp;Cube1,PL_Saisie_Estime2!$F$17,PL_Saisie_Estime2!$F$18,PL_Saisie_Estime2!$F$19,PL_Saisie_Estime2!$F$16,PL_Saisie_Estime2!$C$14,PL_Saisie_Estime2!$F$15,PL_Saisie_Estime2!$F$14,PL_Saisie_Estime2!$F$20,PL_Saisie_Estime2!AB$2,PL_Saisie_Estime2!AB$1,PL_Saisie_Estime2!$C68),"")</f>
        <v/>
      </c>
      <c r="AC68" s="192" t="str">
        <f ca="1">IF(Flag_Send_Data=1,_xll.DBSW(PL_Saisie_Estime2!AC68,Server&amp;Cube1,PL_Saisie_Estime2!$F$17,PL_Saisie_Estime2!$F$18,PL_Saisie_Estime2!$F$19,PL_Saisie_Estime2!$F$16,PL_Saisie_Estime2!$C$14,PL_Saisie_Estime2!$F$15,PL_Saisie_Estime2!$F$14,PL_Saisie_Estime2!$F$20,PL_Saisie_Estime2!AC$2,PL_Saisie_Estime2!AC$1,PL_Saisie_Estime2!$C68),"")</f>
        <v/>
      </c>
      <c r="AD68" s="192" t="str">
        <f ca="1">IF(Flag_Send_Data=1,_xll.DBSW(PL_Saisie_Estime2!AD68,Server&amp;Cube1,PL_Saisie_Estime2!$F$17,PL_Saisie_Estime2!$F$18,PL_Saisie_Estime2!$F$19,PL_Saisie_Estime2!$F$16,PL_Saisie_Estime2!$C$14,PL_Saisie_Estime2!$F$15,PL_Saisie_Estime2!$F$14,PL_Saisie_Estime2!$F$20,PL_Saisie_Estime2!AD$2,PL_Saisie_Estime2!AD$1,PL_Saisie_Estime2!$C68),"")</f>
        <v/>
      </c>
      <c r="AE68" s="192" t="str">
        <f ca="1">IF(Flag_Send_Data=1,_xll.DBSW(PL_Saisie_Estime2!AE68,Server&amp;Cube1,PL_Saisie_Estime2!$F$17,PL_Saisie_Estime2!$F$18,PL_Saisie_Estime2!$F$19,PL_Saisie_Estime2!$F$16,PL_Saisie_Estime2!$C$14,PL_Saisie_Estime2!$F$15,PL_Saisie_Estime2!$F$14,PL_Saisie_Estime2!$F$20,PL_Saisie_Estime2!AE$2,PL_Saisie_Estime2!AE$1,PL_Saisie_Estime2!$C68),"")</f>
        <v/>
      </c>
      <c r="AF68" s="204"/>
      <c r="AG68" s="53"/>
      <c r="AH68" s="53"/>
      <c r="AI68" s="53"/>
      <c r="AJ68" s="53"/>
      <c r="AK68" s="53"/>
      <c r="AL68" s="53"/>
      <c r="AM68" s="53"/>
      <c r="AN68" s="53"/>
      <c r="AO68" s="53"/>
      <c r="AP68" s="62"/>
      <c r="AQ68" s="53"/>
      <c r="AR68" s="258" t="s">
        <v>476</v>
      </c>
      <c r="AS68" s="182">
        <v>2000</v>
      </c>
      <c r="AT68" s="207" t="s">
        <v>488</v>
      </c>
      <c r="AU68" s="53"/>
      <c r="AV68" s="53"/>
      <c r="AW68" s="53"/>
      <c r="AX68" s="53"/>
      <c r="AY68" s="53"/>
      <c r="AZ68" s="53"/>
      <c r="BA68" s="53"/>
    </row>
    <row r="69" spans="1:57" s="9" customFormat="1" ht="24.95" customHeight="1" x14ac:dyDescent="0.35">
      <c r="A69" s="181"/>
      <c r="B69" s="190"/>
      <c r="C69" s="158"/>
      <c r="E69" s="268"/>
      <c r="F69" s="268"/>
      <c r="G69" s="268"/>
      <c r="H69" s="40"/>
      <c r="I69" s="130"/>
      <c r="J69" s="130"/>
      <c r="K69" s="130"/>
      <c r="L69" s="130"/>
      <c r="M69" s="130"/>
      <c r="N69" s="126"/>
      <c r="O69" s="204"/>
      <c r="P69" s="126"/>
      <c r="Q69" s="124"/>
      <c r="R69" s="192"/>
      <c r="S69" s="126"/>
      <c r="T69" s="200"/>
      <c r="U69" s="200"/>
      <c r="V69" s="200"/>
      <c r="W69" s="200"/>
      <c r="X69" s="200"/>
      <c r="Y69" s="200"/>
      <c r="Z69" s="192" t="str">
        <f ca="1">IF(Flag_Send_Data=1,_xll.DBSW(PL_Saisie_Estime2!Z69,Server&amp;Cube1,PL_Saisie_Estime2!$F$17,PL_Saisie_Estime2!$F$18,PL_Saisie_Estime2!$F$19,PL_Saisie_Estime2!$F$16,PL_Saisie_Estime2!$C$14,PL_Saisie_Estime2!$F$15,PL_Saisie_Estime2!$F$14,PL_Saisie_Estime2!$F$20,PL_Saisie_Estime2!Z$2,PL_Saisie_Estime2!Z$1,PL_Saisie_Estime2!$C69),"")</f>
        <v/>
      </c>
      <c r="AA69" s="192" t="str">
        <f ca="1">IF(Flag_Send_Data=1,_xll.DBSW(PL_Saisie_Estime2!AA69,Server&amp;Cube1,PL_Saisie_Estime2!$F$17,PL_Saisie_Estime2!$F$18,PL_Saisie_Estime2!$F$19,PL_Saisie_Estime2!$F$16,PL_Saisie_Estime2!$C$14,PL_Saisie_Estime2!$F$15,PL_Saisie_Estime2!$F$14,PL_Saisie_Estime2!$F$20,PL_Saisie_Estime2!AA$2,PL_Saisie_Estime2!AA$1,PL_Saisie_Estime2!$C69),"")</f>
        <v/>
      </c>
      <c r="AB69" s="192" t="str">
        <f ca="1">IF(Flag_Send_Data=1,_xll.DBSW(PL_Saisie_Estime2!AB69,Server&amp;Cube1,PL_Saisie_Estime2!$F$17,PL_Saisie_Estime2!$F$18,PL_Saisie_Estime2!$F$19,PL_Saisie_Estime2!$F$16,PL_Saisie_Estime2!$C$14,PL_Saisie_Estime2!$F$15,PL_Saisie_Estime2!$F$14,PL_Saisie_Estime2!$F$20,PL_Saisie_Estime2!AB$2,PL_Saisie_Estime2!AB$1,PL_Saisie_Estime2!$C69),"")</f>
        <v/>
      </c>
      <c r="AC69" s="192" t="str">
        <f ca="1">IF(Flag_Send_Data=1,_xll.DBSW(PL_Saisie_Estime2!AC69,Server&amp;Cube1,PL_Saisie_Estime2!$F$17,PL_Saisie_Estime2!$F$18,PL_Saisie_Estime2!$F$19,PL_Saisie_Estime2!$F$16,PL_Saisie_Estime2!$C$14,PL_Saisie_Estime2!$F$15,PL_Saisie_Estime2!$F$14,PL_Saisie_Estime2!$F$20,PL_Saisie_Estime2!AC$2,PL_Saisie_Estime2!AC$1,PL_Saisie_Estime2!$C69),"")</f>
        <v/>
      </c>
      <c r="AD69" s="192" t="str">
        <f ca="1">IF(Flag_Send_Data=1,_xll.DBSW(PL_Saisie_Estime2!AD69,Server&amp;Cube1,PL_Saisie_Estime2!$F$17,PL_Saisie_Estime2!$F$18,PL_Saisie_Estime2!$F$19,PL_Saisie_Estime2!$F$16,PL_Saisie_Estime2!$C$14,PL_Saisie_Estime2!$F$15,PL_Saisie_Estime2!$F$14,PL_Saisie_Estime2!$F$20,PL_Saisie_Estime2!AD$2,PL_Saisie_Estime2!AD$1,PL_Saisie_Estime2!$C69),"")</f>
        <v/>
      </c>
      <c r="AE69" s="192" t="str">
        <f ca="1">IF(Flag_Send_Data=1,_xll.DBSW(PL_Saisie_Estime2!AE69,Server&amp;Cube1,PL_Saisie_Estime2!$F$17,PL_Saisie_Estime2!$F$18,PL_Saisie_Estime2!$F$19,PL_Saisie_Estime2!$F$16,PL_Saisie_Estime2!$C$14,PL_Saisie_Estime2!$F$15,PL_Saisie_Estime2!$F$14,PL_Saisie_Estime2!$F$20,PL_Saisie_Estime2!AE$2,PL_Saisie_Estime2!AE$1,PL_Saisie_Estime2!$C69),"")</f>
        <v/>
      </c>
      <c r="AF69" s="204"/>
      <c r="AG69" s="53"/>
      <c r="AH69" s="53"/>
      <c r="AI69" s="53"/>
      <c r="AJ69" s="53"/>
      <c r="AK69" s="53"/>
      <c r="AL69" s="53"/>
      <c r="AM69" s="53"/>
      <c r="AN69" s="53"/>
      <c r="AO69" s="53"/>
      <c r="AP69" s="62"/>
      <c r="AQ69" s="53"/>
      <c r="AR69" s="259"/>
      <c r="AS69" s="183">
        <v>2040</v>
      </c>
      <c r="AT69" s="208" t="s">
        <v>488</v>
      </c>
      <c r="AU69" s="53"/>
      <c r="AV69" s="53"/>
      <c r="AW69" s="53"/>
      <c r="AX69" s="53"/>
      <c r="AY69" s="53"/>
      <c r="AZ69" s="53"/>
      <c r="BA69" s="53"/>
    </row>
    <row r="70" spans="1:57" s="9" customFormat="1" ht="24.95" customHeight="1" x14ac:dyDescent="0.35">
      <c r="A70" s="181"/>
      <c r="B70" s="190"/>
      <c r="C70" s="158"/>
      <c r="E70" s="268"/>
      <c r="F70" s="268"/>
      <c r="G70" s="268"/>
      <c r="H70" s="40"/>
      <c r="I70" s="130"/>
      <c r="J70" s="130"/>
      <c r="K70" s="130"/>
      <c r="L70" s="130"/>
      <c r="M70" s="130"/>
      <c r="N70" s="126"/>
      <c r="O70" s="204"/>
      <c r="P70" s="126"/>
      <c r="Q70" s="124"/>
      <c r="R70" s="192"/>
      <c r="S70" s="126"/>
      <c r="T70" s="200"/>
      <c r="U70" s="200"/>
      <c r="V70" s="200"/>
      <c r="W70" s="200"/>
      <c r="X70" s="200"/>
      <c r="Y70" s="200"/>
      <c r="Z70" s="192" t="str">
        <f ca="1">IF(Flag_Send_Data=1,_xll.DBSW(PL_Saisie_Estime2!Z70,Server&amp;Cube1,PL_Saisie_Estime2!$F$17,PL_Saisie_Estime2!$F$18,PL_Saisie_Estime2!$F$19,PL_Saisie_Estime2!$F$16,PL_Saisie_Estime2!$C$14,PL_Saisie_Estime2!$F$15,PL_Saisie_Estime2!$F$14,PL_Saisie_Estime2!$F$20,PL_Saisie_Estime2!Z$2,PL_Saisie_Estime2!Z$1,PL_Saisie_Estime2!$C70),"")</f>
        <v/>
      </c>
      <c r="AA70" s="192" t="str">
        <f ca="1">IF(Flag_Send_Data=1,_xll.DBSW(PL_Saisie_Estime2!AA70,Server&amp;Cube1,PL_Saisie_Estime2!$F$17,PL_Saisie_Estime2!$F$18,PL_Saisie_Estime2!$F$19,PL_Saisie_Estime2!$F$16,PL_Saisie_Estime2!$C$14,PL_Saisie_Estime2!$F$15,PL_Saisie_Estime2!$F$14,PL_Saisie_Estime2!$F$20,PL_Saisie_Estime2!AA$2,PL_Saisie_Estime2!AA$1,PL_Saisie_Estime2!$C70),"")</f>
        <v/>
      </c>
      <c r="AB70" s="192" t="str">
        <f ca="1">IF(Flag_Send_Data=1,_xll.DBSW(PL_Saisie_Estime2!AB70,Server&amp;Cube1,PL_Saisie_Estime2!$F$17,PL_Saisie_Estime2!$F$18,PL_Saisie_Estime2!$F$19,PL_Saisie_Estime2!$F$16,PL_Saisie_Estime2!$C$14,PL_Saisie_Estime2!$F$15,PL_Saisie_Estime2!$F$14,PL_Saisie_Estime2!$F$20,PL_Saisie_Estime2!AB$2,PL_Saisie_Estime2!AB$1,PL_Saisie_Estime2!$C70),"")</f>
        <v/>
      </c>
      <c r="AC70" s="192" t="str">
        <f ca="1">IF(Flag_Send_Data=1,_xll.DBSW(PL_Saisie_Estime2!AC70,Server&amp;Cube1,PL_Saisie_Estime2!$F$17,PL_Saisie_Estime2!$F$18,PL_Saisie_Estime2!$F$19,PL_Saisie_Estime2!$F$16,PL_Saisie_Estime2!$C$14,PL_Saisie_Estime2!$F$15,PL_Saisie_Estime2!$F$14,PL_Saisie_Estime2!$F$20,PL_Saisie_Estime2!AC$2,PL_Saisie_Estime2!AC$1,PL_Saisie_Estime2!$C70),"")</f>
        <v/>
      </c>
      <c r="AD70" s="192" t="str">
        <f ca="1">IF(Flag_Send_Data=1,_xll.DBSW(PL_Saisie_Estime2!AD70,Server&amp;Cube1,PL_Saisie_Estime2!$F$17,PL_Saisie_Estime2!$F$18,PL_Saisie_Estime2!$F$19,PL_Saisie_Estime2!$F$16,PL_Saisie_Estime2!$C$14,PL_Saisie_Estime2!$F$15,PL_Saisie_Estime2!$F$14,PL_Saisie_Estime2!$F$20,PL_Saisie_Estime2!AD$2,PL_Saisie_Estime2!AD$1,PL_Saisie_Estime2!$C70),"")</f>
        <v/>
      </c>
      <c r="AE70" s="192" t="str">
        <f ca="1">IF(Flag_Send_Data=1,_xll.DBSW(PL_Saisie_Estime2!AE70,Server&amp;Cube1,PL_Saisie_Estime2!$F$17,PL_Saisie_Estime2!$F$18,PL_Saisie_Estime2!$F$19,PL_Saisie_Estime2!$F$16,PL_Saisie_Estime2!$C$14,PL_Saisie_Estime2!$F$15,PL_Saisie_Estime2!$F$14,PL_Saisie_Estime2!$F$20,PL_Saisie_Estime2!AE$2,PL_Saisie_Estime2!AE$1,PL_Saisie_Estime2!$C70),"")</f>
        <v/>
      </c>
      <c r="AF70" s="204"/>
      <c r="AG70" s="53"/>
      <c r="AH70" s="53"/>
      <c r="AI70" s="53"/>
      <c r="AJ70" s="53"/>
      <c r="AK70" s="53"/>
      <c r="AL70" s="53"/>
      <c r="AM70" s="53"/>
      <c r="AN70" s="53"/>
      <c r="AO70" s="53"/>
      <c r="AP70" s="62"/>
      <c r="AQ70" s="53"/>
      <c r="AR70" s="259"/>
      <c r="AS70" s="183">
        <v>2010</v>
      </c>
      <c r="AT70" s="208" t="s">
        <v>488</v>
      </c>
      <c r="AU70" s="53"/>
      <c r="AV70" s="53"/>
      <c r="AW70" s="53"/>
      <c r="AX70" s="53"/>
      <c r="AY70" s="53"/>
      <c r="AZ70" s="53"/>
      <c r="BA70" s="53"/>
    </row>
    <row r="71" spans="1:57" s="9" customFormat="1" ht="24.95" customHeight="1" x14ac:dyDescent="0.35">
      <c r="A71" s="181"/>
      <c r="B71" s="190"/>
      <c r="C71" s="158"/>
      <c r="E71" s="268"/>
      <c r="F71" s="268"/>
      <c r="G71" s="268"/>
      <c r="H71" s="40"/>
      <c r="I71" s="130"/>
      <c r="J71" s="130"/>
      <c r="K71" s="130"/>
      <c r="L71" s="130"/>
      <c r="M71" s="130"/>
      <c r="N71" s="126"/>
      <c r="O71" s="204"/>
      <c r="P71" s="126"/>
      <c r="Q71" s="124"/>
      <c r="R71" s="192"/>
      <c r="S71" s="126"/>
      <c r="T71" s="200"/>
      <c r="U71" s="200"/>
      <c r="V71" s="200"/>
      <c r="W71" s="200"/>
      <c r="X71" s="200"/>
      <c r="Y71" s="200"/>
      <c r="Z71" s="192" t="str">
        <f ca="1">IF(Flag_Send_Data=1,_xll.DBSW(PL_Saisie_Estime2!Z71,Server&amp;Cube1,PL_Saisie_Estime2!$F$17,PL_Saisie_Estime2!$F$18,PL_Saisie_Estime2!$F$19,PL_Saisie_Estime2!$F$16,PL_Saisie_Estime2!$C$14,PL_Saisie_Estime2!$F$15,PL_Saisie_Estime2!$F$14,PL_Saisie_Estime2!$F$20,PL_Saisie_Estime2!Z$2,PL_Saisie_Estime2!Z$1,PL_Saisie_Estime2!$C71),"")</f>
        <v/>
      </c>
      <c r="AA71" s="192" t="str">
        <f ca="1">IF(Flag_Send_Data=1,_xll.DBSW(PL_Saisie_Estime2!AA71,Server&amp;Cube1,PL_Saisie_Estime2!$F$17,PL_Saisie_Estime2!$F$18,PL_Saisie_Estime2!$F$19,PL_Saisie_Estime2!$F$16,PL_Saisie_Estime2!$C$14,PL_Saisie_Estime2!$F$15,PL_Saisie_Estime2!$F$14,PL_Saisie_Estime2!$F$20,PL_Saisie_Estime2!AA$2,PL_Saisie_Estime2!AA$1,PL_Saisie_Estime2!$C71),"")</f>
        <v/>
      </c>
      <c r="AB71" s="192" t="str">
        <f ca="1">IF(Flag_Send_Data=1,_xll.DBSW(PL_Saisie_Estime2!AB71,Server&amp;Cube1,PL_Saisie_Estime2!$F$17,PL_Saisie_Estime2!$F$18,PL_Saisie_Estime2!$F$19,PL_Saisie_Estime2!$F$16,PL_Saisie_Estime2!$C$14,PL_Saisie_Estime2!$F$15,PL_Saisie_Estime2!$F$14,PL_Saisie_Estime2!$F$20,PL_Saisie_Estime2!AB$2,PL_Saisie_Estime2!AB$1,PL_Saisie_Estime2!$C71),"")</f>
        <v/>
      </c>
      <c r="AC71" s="192" t="str">
        <f ca="1">IF(Flag_Send_Data=1,_xll.DBSW(PL_Saisie_Estime2!AC71,Server&amp;Cube1,PL_Saisie_Estime2!$F$17,PL_Saisie_Estime2!$F$18,PL_Saisie_Estime2!$F$19,PL_Saisie_Estime2!$F$16,PL_Saisie_Estime2!$C$14,PL_Saisie_Estime2!$F$15,PL_Saisie_Estime2!$F$14,PL_Saisie_Estime2!$F$20,PL_Saisie_Estime2!AC$2,PL_Saisie_Estime2!AC$1,PL_Saisie_Estime2!$C71),"")</f>
        <v/>
      </c>
      <c r="AD71" s="192" t="str">
        <f ca="1">IF(Flag_Send_Data=1,_xll.DBSW(PL_Saisie_Estime2!AD71,Server&amp;Cube1,PL_Saisie_Estime2!$F$17,PL_Saisie_Estime2!$F$18,PL_Saisie_Estime2!$F$19,PL_Saisie_Estime2!$F$16,PL_Saisie_Estime2!$C$14,PL_Saisie_Estime2!$F$15,PL_Saisie_Estime2!$F$14,PL_Saisie_Estime2!$F$20,PL_Saisie_Estime2!AD$2,PL_Saisie_Estime2!AD$1,PL_Saisie_Estime2!$C71),"")</f>
        <v/>
      </c>
      <c r="AE71" s="192" t="str">
        <f ca="1">IF(Flag_Send_Data=1,_xll.DBSW(PL_Saisie_Estime2!AE71,Server&amp;Cube1,PL_Saisie_Estime2!$F$17,PL_Saisie_Estime2!$F$18,PL_Saisie_Estime2!$F$19,PL_Saisie_Estime2!$F$16,PL_Saisie_Estime2!$C$14,PL_Saisie_Estime2!$F$15,PL_Saisie_Estime2!$F$14,PL_Saisie_Estime2!$F$20,PL_Saisie_Estime2!AE$2,PL_Saisie_Estime2!AE$1,PL_Saisie_Estime2!$C71),"")</f>
        <v/>
      </c>
      <c r="AF71" s="204"/>
      <c r="AG71" s="53"/>
      <c r="AH71" s="53"/>
      <c r="AI71" s="53"/>
      <c r="AJ71" s="53"/>
      <c r="AK71" s="53"/>
      <c r="AL71" s="53"/>
      <c r="AM71" s="53"/>
      <c r="AN71" s="53"/>
      <c r="AO71" s="53"/>
      <c r="AP71" s="62"/>
      <c r="AQ71" s="53"/>
      <c r="AR71" s="259"/>
      <c r="AS71" s="183">
        <v>2020</v>
      </c>
      <c r="AT71" s="208" t="s">
        <v>488</v>
      </c>
      <c r="AU71" s="53"/>
      <c r="AV71" s="53"/>
      <c r="AW71" s="53"/>
      <c r="AX71" s="53"/>
      <c r="AY71" s="53"/>
      <c r="AZ71" s="53"/>
      <c r="BA71" s="53"/>
    </row>
    <row r="72" spans="1:57" s="9" customFormat="1" ht="24.95" customHeight="1" x14ac:dyDescent="0.35">
      <c r="A72" s="181"/>
      <c r="B72" s="190"/>
      <c r="C72" s="158"/>
      <c r="E72" s="268"/>
      <c r="F72" s="268"/>
      <c r="G72" s="268"/>
      <c r="H72" s="40"/>
      <c r="I72" s="130"/>
      <c r="J72" s="130"/>
      <c r="K72" s="130"/>
      <c r="L72" s="130"/>
      <c r="M72" s="130"/>
      <c r="N72" s="126"/>
      <c r="O72" s="204"/>
      <c r="P72" s="126"/>
      <c r="Q72" s="124"/>
      <c r="R72" s="192"/>
      <c r="S72" s="126"/>
      <c r="T72" s="200"/>
      <c r="U72" s="200"/>
      <c r="V72" s="200"/>
      <c r="W72" s="200"/>
      <c r="X72" s="200"/>
      <c r="Y72" s="200"/>
      <c r="Z72" s="192" t="str">
        <f ca="1">IF(Flag_Send_Data=1,_xll.DBSW(PL_Saisie_Estime2!Z72,Server&amp;Cube1,PL_Saisie_Estime2!$F$17,PL_Saisie_Estime2!$F$18,PL_Saisie_Estime2!$F$19,PL_Saisie_Estime2!$F$16,PL_Saisie_Estime2!$C$14,PL_Saisie_Estime2!$F$15,PL_Saisie_Estime2!$F$14,PL_Saisie_Estime2!$F$20,PL_Saisie_Estime2!Z$2,PL_Saisie_Estime2!Z$1,PL_Saisie_Estime2!$C72),"")</f>
        <v/>
      </c>
      <c r="AA72" s="192" t="str">
        <f ca="1">IF(Flag_Send_Data=1,_xll.DBSW(PL_Saisie_Estime2!AA72,Server&amp;Cube1,PL_Saisie_Estime2!$F$17,PL_Saisie_Estime2!$F$18,PL_Saisie_Estime2!$F$19,PL_Saisie_Estime2!$F$16,PL_Saisie_Estime2!$C$14,PL_Saisie_Estime2!$F$15,PL_Saisie_Estime2!$F$14,PL_Saisie_Estime2!$F$20,PL_Saisie_Estime2!AA$2,PL_Saisie_Estime2!AA$1,PL_Saisie_Estime2!$C72),"")</f>
        <v/>
      </c>
      <c r="AB72" s="192" t="str">
        <f ca="1">IF(Flag_Send_Data=1,_xll.DBSW(PL_Saisie_Estime2!AB72,Server&amp;Cube1,PL_Saisie_Estime2!$F$17,PL_Saisie_Estime2!$F$18,PL_Saisie_Estime2!$F$19,PL_Saisie_Estime2!$F$16,PL_Saisie_Estime2!$C$14,PL_Saisie_Estime2!$F$15,PL_Saisie_Estime2!$F$14,PL_Saisie_Estime2!$F$20,PL_Saisie_Estime2!AB$2,PL_Saisie_Estime2!AB$1,PL_Saisie_Estime2!$C72),"")</f>
        <v/>
      </c>
      <c r="AC72" s="192" t="str">
        <f ca="1">IF(Flag_Send_Data=1,_xll.DBSW(PL_Saisie_Estime2!AC72,Server&amp;Cube1,PL_Saisie_Estime2!$F$17,PL_Saisie_Estime2!$F$18,PL_Saisie_Estime2!$F$19,PL_Saisie_Estime2!$F$16,PL_Saisie_Estime2!$C$14,PL_Saisie_Estime2!$F$15,PL_Saisie_Estime2!$F$14,PL_Saisie_Estime2!$F$20,PL_Saisie_Estime2!AC$2,PL_Saisie_Estime2!AC$1,PL_Saisie_Estime2!$C72),"")</f>
        <v/>
      </c>
      <c r="AD72" s="192" t="str">
        <f ca="1">IF(Flag_Send_Data=1,_xll.DBSW(PL_Saisie_Estime2!AD72,Server&amp;Cube1,PL_Saisie_Estime2!$F$17,PL_Saisie_Estime2!$F$18,PL_Saisie_Estime2!$F$19,PL_Saisie_Estime2!$F$16,PL_Saisie_Estime2!$C$14,PL_Saisie_Estime2!$F$15,PL_Saisie_Estime2!$F$14,PL_Saisie_Estime2!$F$20,PL_Saisie_Estime2!AD$2,PL_Saisie_Estime2!AD$1,PL_Saisie_Estime2!$C72),"")</f>
        <v/>
      </c>
      <c r="AE72" s="192" t="str">
        <f ca="1">IF(Flag_Send_Data=1,_xll.DBSW(PL_Saisie_Estime2!AE72,Server&amp;Cube1,PL_Saisie_Estime2!$F$17,PL_Saisie_Estime2!$F$18,PL_Saisie_Estime2!$F$19,PL_Saisie_Estime2!$F$16,PL_Saisie_Estime2!$C$14,PL_Saisie_Estime2!$F$15,PL_Saisie_Estime2!$F$14,PL_Saisie_Estime2!$F$20,PL_Saisie_Estime2!AE$2,PL_Saisie_Estime2!AE$1,PL_Saisie_Estime2!$C72),"")</f>
        <v/>
      </c>
      <c r="AF72" s="204"/>
      <c r="AG72" s="53"/>
      <c r="AH72" s="53"/>
      <c r="AI72" s="53"/>
      <c r="AJ72" s="53"/>
      <c r="AK72" s="53"/>
      <c r="AL72" s="53"/>
      <c r="AM72" s="53"/>
      <c r="AN72" s="53"/>
      <c r="AO72" s="53"/>
      <c r="AP72" s="62"/>
      <c r="AQ72" s="53"/>
      <c r="AR72" s="259"/>
      <c r="AS72" s="183">
        <v>2030</v>
      </c>
      <c r="AT72" s="208" t="s">
        <v>488</v>
      </c>
      <c r="AU72" s="53"/>
      <c r="AV72" s="53"/>
      <c r="AW72" s="53"/>
      <c r="AX72" s="53"/>
      <c r="AY72" s="53"/>
      <c r="AZ72" s="53"/>
      <c r="BA72" s="53"/>
    </row>
    <row r="73" spans="1:57" s="9" customFormat="1" ht="24.95" customHeight="1" x14ac:dyDescent="0.35">
      <c r="A73" s="181"/>
      <c r="B73" s="190"/>
      <c r="C73" s="158"/>
      <c r="E73" s="268"/>
      <c r="F73" s="268"/>
      <c r="G73" s="268"/>
      <c r="H73" s="40"/>
      <c r="I73" s="130"/>
      <c r="J73" s="130"/>
      <c r="K73" s="130"/>
      <c r="L73" s="130"/>
      <c r="M73" s="130"/>
      <c r="N73" s="126"/>
      <c r="O73" s="204"/>
      <c r="P73" s="126"/>
      <c r="Q73" s="124"/>
      <c r="R73" s="192"/>
      <c r="S73" s="126"/>
      <c r="T73" s="200"/>
      <c r="U73" s="200"/>
      <c r="V73" s="200"/>
      <c r="W73" s="200"/>
      <c r="X73" s="200"/>
      <c r="Y73" s="200"/>
      <c r="Z73" s="192" t="str">
        <f ca="1">IF(Flag_Send_Data=1,_xll.DBSW(PL_Saisie_Estime2!Z73,Server&amp;Cube1,PL_Saisie_Estime2!$F$17,PL_Saisie_Estime2!$F$18,PL_Saisie_Estime2!$F$19,PL_Saisie_Estime2!$F$16,PL_Saisie_Estime2!$C$14,PL_Saisie_Estime2!$F$15,PL_Saisie_Estime2!$F$14,PL_Saisie_Estime2!$F$20,PL_Saisie_Estime2!Z$2,PL_Saisie_Estime2!Z$1,PL_Saisie_Estime2!$C73),"")</f>
        <v/>
      </c>
      <c r="AA73" s="192" t="str">
        <f ca="1">IF(Flag_Send_Data=1,_xll.DBSW(PL_Saisie_Estime2!AA73,Server&amp;Cube1,PL_Saisie_Estime2!$F$17,PL_Saisie_Estime2!$F$18,PL_Saisie_Estime2!$F$19,PL_Saisie_Estime2!$F$16,PL_Saisie_Estime2!$C$14,PL_Saisie_Estime2!$F$15,PL_Saisie_Estime2!$F$14,PL_Saisie_Estime2!$F$20,PL_Saisie_Estime2!AA$2,PL_Saisie_Estime2!AA$1,PL_Saisie_Estime2!$C73),"")</f>
        <v/>
      </c>
      <c r="AB73" s="192" t="str">
        <f ca="1">IF(Flag_Send_Data=1,_xll.DBSW(PL_Saisie_Estime2!AB73,Server&amp;Cube1,PL_Saisie_Estime2!$F$17,PL_Saisie_Estime2!$F$18,PL_Saisie_Estime2!$F$19,PL_Saisie_Estime2!$F$16,PL_Saisie_Estime2!$C$14,PL_Saisie_Estime2!$F$15,PL_Saisie_Estime2!$F$14,PL_Saisie_Estime2!$F$20,PL_Saisie_Estime2!AB$2,PL_Saisie_Estime2!AB$1,PL_Saisie_Estime2!$C73),"")</f>
        <v/>
      </c>
      <c r="AC73" s="192" t="str">
        <f ca="1">IF(Flag_Send_Data=1,_xll.DBSW(PL_Saisie_Estime2!AC73,Server&amp;Cube1,PL_Saisie_Estime2!$F$17,PL_Saisie_Estime2!$F$18,PL_Saisie_Estime2!$F$19,PL_Saisie_Estime2!$F$16,PL_Saisie_Estime2!$C$14,PL_Saisie_Estime2!$F$15,PL_Saisie_Estime2!$F$14,PL_Saisie_Estime2!$F$20,PL_Saisie_Estime2!AC$2,PL_Saisie_Estime2!AC$1,PL_Saisie_Estime2!$C73),"")</f>
        <v/>
      </c>
      <c r="AD73" s="192" t="str">
        <f ca="1">IF(Flag_Send_Data=1,_xll.DBSW(PL_Saisie_Estime2!AD73,Server&amp;Cube1,PL_Saisie_Estime2!$F$17,PL_Saisie_Estime2!$F$18,PL_Saisie_Estime2!$F$19,PL_Saisie_Estime2!$F$16,PL_Saisie_Estime2!$C$14,PL_Saisie_Estime2!$F$15,PL_Saisie_Estime2!$F$14,PL_Saisie_Estime2!$F$20,PL_Saisie_Estime2!AD$2,PL_Saisie_Estime2!AD$1,PL_Saisie_Estime2!$C73),"")</f>
        <v/>
      </c>
      <c r="AE73" s="192" t="str">
        <f ca="1">IF(Flag_Send_Data=1,_xll.DBSW(PL_Saisie_Estime2!AE73,Server&amp;Cube1,PL_Saisie_Estime2!$F$17,PL_Saisie_Estime2!$F$18,PL_Saisie_Estime2!$F$19,PL_Saisie_Estime2!$F$16,PL_Saisie_Estime2!$C$14,PL_Saisie_Estime2!$F$15,PL_Saisie_Estime2!$F$14,PL_Saisie_Estime2!$F$20,PL_Saisie_Estime2!AE$2,PL_Saisie_Estime2!AE$1,PL_Saisie_Estime2!$C73),"")</f>
        <v/>
      </c>
      <c r="AF73" s="204"/>
      <c r="AG73" s="53"/>
      <c r="AH73" s="53"/>
      <c r="AI73" s="53"/>
      <c r="AJ73" s="53"/>
      <c r="AK73" s="53"/>
      <c r="AL73" s="53"/>
      <c r="AM73" s="53"/>
      <c r="AN73" s="53"/>
      <c r="AO73" s="53"/>
      <c r="AP73" s="62"/>
      <c r="AQ73" s="53"/>
      <c r="AR73" s="259"/>
      <c r="AS73" s="183">
        <v>4620</v>
      </c>
      <c r="AT73" s="208" t="s">
        <v>488</v>
      </c>
      <c r="AU73" s="53"/>
      <c r="AV73" s="53"/>
      <c r="AW73" s="53"/>
      <c r="AX73" s="53"/>
      <c r="AY73" s="53"/>
      <c r="AZ73" s="53"/>
      <c r="BA73" s="53"/>
    </row>
    <row r="74" spans="1:57" s="9" customFormat="1" ht="24.95" customHeight="1" x14ac:dyDescent="0.35">
      <c r="A74" s="181"/>
      <c r="B74" s="190"/>
      <c r="C74" s="158"/>
      <c r="E74" s="268"/>
      <c r="F74" s="268"/>
      <c r="G74" s="268"/>
      <c r="H74" s="40"/>
      <c r="I74" s="130"/>
      <c r="J74" s="130"/>
      <c r="K74" s="130"/>
      <c r="L74" s="130"/>
      <c r="M74" s="130"/>
      <c r="N74" s="126"/>
      <c r="O74" s="204"/>
      <c r="P74" s="126"/>
      <c r="Q74" s="124"/>
      <c r="R74" s="192"/>
      <c r="S74" s="126"/>
      <c r="T74" s="200"/>
      <c r="U74" s="200"/>
      <c r="V74" s="200"/>
      <c r="W74" s="200"/>
      <c r="X74" s="200"/>
      <c r="Y74" s="200"/>
      <c r="Z74" s="192" t="str">
        <f ca="1">IF(Flag_Send_Data=1,_xll.DBSW(PL_Saisie_Estime2!Z74,Server&amp;Cube1,PL_Saisie_Estime2!$F$17,PL_Saisie_Estime2!$F$18,PL_Saisie_Estime2!$F$19,PL_Saisie_Estime2!$F$16,PL_Saisie_Estime2!$C$14,PL_Saisie_Estime2!$F$15,PL_Saisie_Estime2!$F$14,PL_Saisie_Estime2!$F$20,PL_Saisie_Estime2!Z$2,PL_Saisie_Estime2!Z$1,PL_Saisie_Estime2!$C74),"")</f>
        <v/>
      </c>
      <c r="AA74" s="192" t="str">
        <f ca="1">IF(Flag_Send_Data=1,_xll.DBSW(PL_Saisie_Estime2!AA74,Server&amp;Cube1,PL_Saisie_Estime2!$F$17,PL_Saisie_Estime2!$F$18,PL_Saisie_Estime2!$F$19,PL_Saisie_Estime2!$F$16,PL_Saisie_Estime2!$C$14,PL_Saisie_Estime2!$F$15,PL_Saisie_Estime2!$F$14,PL_Saisie_Estime2!$F$20,PL_Saisie_Estime2!AA$2,PL_Saisie_Estime2!AA$1,PL_Saisie_Estime2!$C74),"")</f>
        <v/>
      </c>
      <c r="AB74" s="192" t="str">
        <f ca="1">IF(Flag_Send_Data=1,_xll.DBSW(PL_Saisie_Estime2!AB74,Server&amp;Cube1,PL_Saisie_Estime2!$F$17,PL_Saisie_Estime2!$F$18,PL_Saisie_Estime2!$F$19,PL_Saisie_Estime2!$F$16,PL_Saisie_Estime2!$C$14,PL_Saisie_Estime2!$F$15,PL_Saisie_Estime2!$F$14,PL_Saisie_Estime2!$F$20,PL_Saisie_Estime2!AB$2,PL_Saisie_Estime2!AB$1,PL_Saisie_Estime2!$C74),"")</f>
        <v/>
      </c>
      <c r="AC74" s="192" t="str">
        <f ca="1">IF(Flag_Send_Data=1,_xll.DBSW(PL_Saisie_Estime2!AC74,Server&amp;Cube1,PL_Saisie_Estime2!$F$17,PL_Saisie_Estime2!$F$18,PL_Saisie_Estime2!$F$19,PL_Saisie_Estime2!$F$16,PL_Saisie_Estime2!$C$14,PL_Saisie_Estime2!$F$15,PL_Saisie_Estime2!$F$14,PL_Saisie_Estime2!$F$20,PL_Saisie_Estime2!AC$2,PL_Saisie_Estime2!AC$1,PL_Saisie_Estime2!$C74),"")</f>
        <v/>
      </c>
      <c r="AD74" s="192" t="str">
        <f ca="1">IF(Flag_Send_Data=1,_xll.DBSW(PL_Saisie_Estime2!AD74,Server&amp;Cube1,PL_Saisie_Estime2!$F$17,PL_Saisie_Estime2!$F$18,PL_Saisie_Estime2!$F$19,PL_Saisie_Estime2!$F$16,PL_Saisie_Estime2!$C$14,PL_Saisie_Estime2!$F$15,PL_Saisie_Estime2!$F$14,PL_Saisie_Estime2!$F$20,PL_Saisie_Estime2!AD$2,PL_Saisie_Estime2!AD$1,PL_Saisie_Estime2!$C74),"")</f>
        <v/>
      </c>
      <c r="AE74" s="192" t="str">
        <f ca="1">IF(Flag_Send_Data=1,_xll.DBSW(PL_Saisie_Estime2!AE74,Server&amp;Cube1,PL_Saisie_Estime2!$F$17,PL_Saisie_Estime2!$F$18,PL_Saisie_Estime2!$F$19,PL_Saisie_Estime2!$F$16,PL_Saisie_Estime2!$C$14,PL_Saisie_Estime2!$F$15,PL_Saisie_Estime2!$F$14,PL_Saisie_Estime2!$F$20,PL_Saisie_Estime2!AE$2,PL_Saisie_Estime2!AE$1,PL_Saisie_Estime2!$C74),"")</f>
        <v/>
      </c>
      <c r="AF74" s="204"/>
      <c r="AG74" s="53"/>
      <c r="AH74" s="53"/>
      <c r="AI74" s="53"/>
      <c r="AJ74" s="53"/>
      <c r="AK74" s="53"/>
      <c r="AL74" s="53"/>
      <c r="AM74" s="53"/>
      <c r="AN74" s="53"/>
      <c r="AO74" s="53"/>
      <c r="AP74" s="62"/>
      <c r="AQ74" s="53"/>
      <c r="AR74" s="259"/>
      <c r="AS74" s="183">
        <v>4630</v>
      </c>
      <c r="AT74" s="208" t="s">
        <v>488</v>
      </c>
      <c r="AU74" s="53"/>
      <c r="AV74" s="53"/>
      <c r="AW74" s="53"/>
      <c r="AX74" s="53"/>
      <c r="AY74" s="53"/>
      <c r="AZ74" s="53"/>
      <c r="BA74" s="53"/>
    </row>
    <row r="75" spans="1:57" s="9" customFormat="1" ht="24.95" customHeight="1" x14ac:dyDescent="0.35">
      <c r="A75" s="181"/>
      <c r="B75" s="190"/>
      <c r="C75" s="158"/>
      <c r="E75" s="268"/>
      <c r="F75" s="268"/>
      <c r="G75" s="268"/>
      <c r="H75" s="40"/>
      <c r="I75" s="130"/>
      <c r="J75" s="130"/>
      <c r="K75" s="130"/>
      <c r="L75" s="130"/>
      <c r="M75" s="130"/>
      <c r="N75" s="126"/>
      <c r="O75" s="204"/>
      <c r="P75" s="126"/>
      <c r="Q75" s="124"/>
      <c r="R75" s="192"/>
      <c r="S75" s="126"/>
      <c r="T75" s="200"/>
      <c r="U75" s="200"/>
      <c r="V75" s="200"/>
      <c r="W75" s="200"/>
      <c r="X75" s="200"/>
      <c r="Y75" s="200"/>
      <c r="Z75" s="192" t="str">
        <f ca="1">IF(Flag_Send_Data=1,_xll.DBSW(PL_Saisie_Estime2!Z75,Server&amp;Cube1,PL_Saisie_Estime2!$F$17,PL_Saisie_Estime2!$F$18,PL_Saisie_Estime2!$F$19,PL_Saisie_Estime2!$F$16,PL_Saisie_Estime2!$C$14,PL_Saisie_Estime2!$F$15,PL_Saisie_Estime2!$F$14,PL_Saisie_Estime2!$F$20,PL_Saisie_Estime2!Z$2,PL_Saisie_Estime2!Z$1,PL_Saisie_Estime2!$C75),"")</f>
        <v/>
      </c>
      <c r="AA75" s="192" t="str">
        <f ca="1">IF(Flag_Send_Data=1,_xll.DBSW(PL_Saisie_Estime2!AA75,Server&amp;Cube1,PL_Saisie_Estime2!$F$17,PL_Saisie_Estime2!$F$18,PL_Saisie_Estime2!$F$19,PL_Saisie_Estime2!$F$16,PL_Saisie_Estime2!$C$14,PL_Saisie_Estime2!$F$15,PL_Saisie_Estime2!$F$14,PL_Saisie_Estime2!$F$20,PL_Saisie_Estime2!AA$2,PL_Saisie_Estime2!AA$1,PL_Saisie_Estime2!$C75),"")</f>
        <v/>
      </c>
      <c r="AB75" s="192" t="str">
        <f ca="1">IF(Flag_Send_Data=1,_xll.DBSW(PL_Saisie_Estime2!AB75,Server&amp;Cube1,PL_Saisie_Estime2!$F$17,PL_Saisie_Estime2!$F$18,PL_Saisie_Estime2!$F$19,PL_Saisie_Estime2!$F$16,PL_Saisie_Estime2!$C$14,PL_Saisie_Estime2!$F$15,PL_Saisie_Estime2!$F$14,PL_Saisie_Estime2!$F$20,PL_Saisie_Estime2!AB$2,PL_Saisie_Estime2!AB$1,PL_Saisie_Estime2!$C75),"")</f>
        <v/>
      </c>
      <c r="AC75" s="192" t="str">
        <f ca="1">IF(Flag_Send_Data=1,_xll.DBSW(PL_Saisie_Estime2!AC75,Server&amp;Cube1,PL_Saisie_Estime2!$F$17,PL_Saisie_Estime2!$F$18,PL_Saisie_Estime2!$F$19,PL_Saisie_Estime2!$F$16,PL_Saisie_Estime2!$C$14,PL_Saisie_Estime2!$F$15,PL_Saisie_Estime2!$F$14,PL_Saisie_Estime2!$F$20,PL_Saisie_Estime2!AC$2,PL_Saisie_Estime2!AC$1,PL_Saisie_Estime2!$C75),"")</f>
        <v/>
      </c>
      <c r="AD75" s="192" t="str">
        <f ca="1">IF(Flag_Send_Data=1,_xll.DBSW(PL_Saisie_Estime2!AD75,Server&amp;Cube1,PL_Saisie_Estime2!$F$17,PL_Saisie_Estime2!$F$18,PL_Saisie_Estime2!$F$19,PL_Saisie_Estime2!$F$16,PL_Saisie_Estime2!$C$14,PL_Saisie_Estime2!$F$15,PL_Saisie_Estime2!$F$14,PL_Saisie_Estime2!$F$20,PL_Saisie_Estime2!AD$2,PL_Saisie_Estime2!AD$1,PL_Saisie_Estime2!$C75),"")</f>
        <v/>
      </c>
      <c r="AE75" s="192" t="str">
        <f ca="1">IF(Flag_Send_Data=1,_xll.DBSW(PL_Saisie_Estime2!AE75,Server&amp;Cube1,PL_Saisie_Estime2!$F$17,PL_Saisie_Estime2!$F$18,PL_Saisie_Estime2!$F$19,PL_Saisie_Estime2!$F$16,PL_Saisie_Estime2!$C$14,PL_Saisie_Estime2!$F$15,PL_Saisie_Estime2!$F$14,PL_Saisie_Estime2!$F$20,PL_Saisie_Estime2!AE$2,PL_Saisie_Estime2!AE$1,PL_Saisie_Estime2!$C75),"")</f>
        <v/>
      </c>
      <c r="AF75" s="204"/>
      <c r="AG75" s="53"/>
      <c r="AH75" s="53"/>
      <c r="AI75" s="53"/>
      <c r="AJ75" s="53"/>
      <c r="AK75" s="53"/>
      <c r="AL75" s="53"/>
      <c r="AM75" s="53"/>
      <c r="AN75" s="53"/>
      <c r="AO75" s="53"/>
      <c r="AP75" s="62"/>
      <c r="AQ75" s="53"/>
      <c r="AR75" s="259"/>
      <c r="AS75" s="183">
        <v>4640</v>
      </c>
      <c r="AT75" s="208" t="s">
        <v>488</v>
      </c>
      <c r="AU75" s="53"/>
      <c r="AV75" s="53"/>
      <c r="AW75" s="53"/>
      <c r="AX75" s="53"/>
      <c r="AY75" s="53"/>
      <c r="AZ75" s="53"/>
      <c r="BA75" s="53"/>
    </row>
    <row r="76" spans="1:57" s="9" customFormat="1" ht="24.95" customHeight="1" x14ac:dyDescent="0.35">
      <c r="A76" s="181"/>
      <c r="B76" s="190"/>
      <c r="C76" s="158"/>
      <c r="E76" s="268"/>
      <c r="F76" s="268"/>
      <c r="G76" s="268"/>
      <c r="H76" s="40"/>
      <c r="I76" s="130"/>
      <c r="J76" s="130"/>
      <c r="K76" s="130"/>
      <c r="L76" s="130"/>
      <c r="M76" s="130"/>
      <c r="N76" s="126"/>
      <c r="O76" s="204"/>
      <c r="P76" s="126"/>
      <c r="Q76" s="124"/>
      <c r="R76" s="192"/>
      <c r="S76" s="126"/>
      <c r="T76" s="200"/>
      <c r="U76" s="200"/>
      <c r="V76" s="200"/>
      <c r="W76" s="200"/>
      <c r="X76" s="200"/>
      <c r="Y76" s="200"/>
      <c r="Z76" s="192" t="str">
        <f ca="1">IF(Flag_Send_Data=1,_xll.DBSW(PL_Saisie_Estime2!Z76,Server&amp;Cube1,PL_Saisie_Estime2!$F$17,PL_Saisie_Estime2!$F$18,PL_Saisie_Estime2!$F$19,PL_Saisie_Estime2!$F$16,PL_Saisie_Estime2!$C$14,PL_Saisie_Estime2!$F$15,PL_Saisie_Estime2!$F$14,PL_Saisie_Estime2!$F$20,PL_Saisie_Estime2!Z$2,PL_Saisie_Estime2!Z$1,PL_Saisie_Estime2!$C76),"")</f>
        <v/>
      </c>
      <c r="AA76" s="192" t="str">
        <f ca="1">IF(Flag_Send_Data=1,_xll.DBSW(PL_Saisie_Estime2!AA76,Server&amp;Cube1,PL_Saisie_Estime2!$F$17,PL_Saisie_Estime2!$F$18,PL_Saisie_Estime2!$F$19,PL_Saisie_Estime2!$F$16,PL_Saisie_Estime2!$C$14,PL_Saisie_Estime2!$F$15,PL_Saisie_Estime2!$F$14,PL_Saisie_Estime2!$F$20,PL_Saisie_Estime2!AA$2,PL_Saisie_Estime2!AA$1,PL_Saisie_Estime2!$C76),"")</f>
        <v/>
      </c>
      <c r="AB76" s="192" t="str">
        <f ca="1">IF(Flag_Send_Data=1,_xll.DBSW(PL_Saisie_Estime2!AB76,Server&amp;Cube1,PL_Saisie_Estime2!$F$17,PL_Saisie_Estime2!$F$18,PL_Saisie_Estime2!$F$19,PL_Saisie_Estime2!$F$16,PL_Saisie_Estime2!$C$14,PL_Saisie_Estime2!$F$15,PL_Saisie_Estime2!$F$14,PL_Saisie_Estime2!$F$20,PL_Saisie_Estime2!AB$2,PL_Saisie_Estime2!AB$1,PL_Saisie_Estime2!$C76),"")</f>
        <v/>
      </c>
      <c r="AC76" s="192" t="str">
        <f ca="1">IF(Flag_Send_Data=1,_xll.DBSW(PL_Saisie_Estime2!AC76,Server&amp;Cube1,PL_Saisie_Estime2!$F$17,PL_Saisie_Estime2!$F$18,PL_Saisie_Estime2!$F$19,PL_Saisie_Estime2!$F$16,PL_Saisie_Estime2!$C$14,PL_Saisie_Estime2!$F$15,PL_Saisie_Estime2!$F$14,PL_Saisie_Estime2!$F$20,PL_Saisie_Estime2!AC$2,PL_Saisie_Estime2!AC$1,PL_Saisie_Estime2!$C76),"")</f>
        <v/>
      </c>
      <c r="AD76" s="192" t="str">
        <f ca="1">IF(Flag_Send_Data=1,_xll.DBSW(PL_Saisie_Estime2!AD76,Server&amp;Cube1,PL_Saisie_Estime2!$F$17,PL_Saisie_Estime2!$F$18,PL_Saisie_Estime2!$F$19,PL_Saisie_Estime2!$F$16,PL_Saisie_Estime2!$C$14,PL_Saisie_Estime2!$F$15,PL_Saisie_Estime2!$F$14,PL_Saisie_Estime2!$F$20,PL_Saisie_Estime2!AD$2,PL_Saisie_Estime2!AD$1,PL_Saisie_Estime2!$C76),"")</f>
        <v/>
      </c>
      <c r="AE76" s="192" t="str">
        <f ca="1">IF(Flag_Send_Data=1,_xll.DBSW(PL_Saisie_Estime2!AE76,Server&amp;Cube1,PL_Saisie_Estime2!$F$17,PL_Saisie_Estime2!$F$18,PL_Saisie_Estime2!$F$19,PL_Saisie_Estime2!$F$16,PL_Saisie_Estime2!$C$14,PL_Saisie_Estime2!$F$15,PL_Saisie_Estime2!$F$14,PL_Saisie_Estime2!$F$20,PL_Saisie_Estime2!AE$2,PL_Saisie_Estime2!AE$1,PL_Saisie_Estime2!$C76),"")</f>
        <v/>
      </c>
      <c r="AF76" s="204"/>
      <c r="AG76" s="53"/>
      <c r="AH76" s="53"/>
      <c r="AI76" s="53"/>
      <c r="AJ76" s="53"/>
      <c r="AK76" s="53"/>
      <c r="AL76" s="53"/>
      <c r="AM76" s="53"/>
      <c r="AN76" s="53"/>
      <c r="AO76" s="53"/>
      <c r="AP76" s="62"/>
      <c r="AQ76" s="53"/>
      <c r="AR76" s="259"/>
      <c r="AS76" s="183">
        <v>2100</v>
      </c>
      <c r="AT76" s="208" t="s">
        <v>488</v>
      </c>
      <c r="AU76" s="53"/>
      <c r="AV76" s="53"/>
      <c r="AW76" s="53"/>
      <c r="AX76" s="53"/>
      <c r="AY76" s="53"/>
      <c r="AZ76" s="53"/>
      <c r="BA76" s="53"/>
    </row>
    <row r="77" spans="1:57" ht="21" customHeight="1" collapsed="1" x14ac:dyDescent="0.3">
      <c r="A77" s="181"/>
      <c r="C77" s="117"/>
      <c r="D77" s="24"/>
      <c r="E77" s="270"/>
      <c r="F77" s="270"/>
      <c r="G77" s="270"/>
      <c r="H77" s="56"/>
      <c r="I77" s="130"/>
      <c r="J77" s="130"/>
      <c r="K77" s="130"/>
      <c r="L77" s="130"/>
      <c r="M77" s="130"/>
      <c r="N77" s="125"/>
      <c r="O77" s="125"/>
      <c r="P77" s="125"/>
      <c r="Q77" s="124"/>
      <c r="R77" s="125"/>
      <c r="S77" s="125"/>
      <c r="T77" s="201"/>
      <c r="U77" s="201"/>
      <c r="V77" s="201"/>
      <c r="W77" s="201"/>
      <c r="X77" s="125"/>
      <c r="Y77" s="125"/>
      <c r="Z77" s="125"/>
      <c r="AA77" s="125"/>
      <c r="AB77" s="125"/>
      <c r="AC77" s="125"/>
      <c r="AD77" s="125"/>
      <c r="AE77" s="125"/>
      <c r="AF77" s="125"/>
      <c r="AP77" s="1"/>
      <c r="AR77" s="259"/>
      <c r="AS77" s="183">
        <v>2200</v>
      </c>
      <c r="AT77" s="208" t="s">
        <v>488</v>
      </c>
      <c r="BB77" s="9"/>
      <c r="BC77" s="9"/>
      <c r="BD77" s="9"/>
      <c r="BE77" s="9"/>
    </row>
    <row r="78" spans="1:57" ht="21" customHeight="1" x14ac:dyDescent="0.3">
      <c r="A78" s="181"/>
      <c r="C78" s="158"/>
      <c r="D78" s="24"/>
      <c r="E78" s="268"/>
      <c r="F78" s="268"/>
      <c r="G78" s="268"/>
      <c r="H78" s="43"/>
      <c r="I78" s="130"/>
      <c r="J78" s="130"/>
      <c r="K78" s="130"/>
      <c r="L78" s="130"/>
      <c r="M78" s="130"/>
      <c r="N78" s="126"/>
      <c r="O78" s="204"/>
      <c r="P78" s="126"/>
      <c r="Q78" s="124"/>
      <c r="R78" s="192"/>
      <c r="S78" s="126"/>
      <c r="T78" s="200"/>
      <c r="U78" s="200"/>
      <c r="V78" s="200"/>
      <c r="W78" s="200"/>
      <c r="X78" s="200"/>
      <c r="Y78" s="200"/>
      <c r="Z78" s="192" t="str">
        <f ca="1">IF(Flag_Send_Data=1,_xll.DBSW(PL_Saisie_Estime2!Z78,Server&amp;Cube1,PL_Saisie_Estime2!$F$17,PL_Saisie_Estime2!$F$18,PL_Saisie_Estime2!$F$19,PL_Saisie_Estime2!$F$16,PL_Saisie_Estime2!$C$14,PL_Saisie_Estime2!$F$15,PL_Saisie_Estime2!$F$14,PL_Saisie_Estime2!$F$20,PL_Saisie_Estime2!Z$2,PL_Saisie_Estime2!Z$1,PL_Saisie_Estime2!$C78),"")</f>
        <v/>
      </c>
      <c r="AA78" s="192" t="str">
        <f ca="1">IF(Flag_Send_Data=1,_xll.DBSW(PL_Saisie_Estime2!AA78,Server&amp;Cube1,PL_Saisie_Estime2!$F$17,PL_Saisie_Estime2!$F$18,PL_Saisie_Estime2!$F$19,PL_Saisie_Estime2!$F$16,PL_Saisie_Estime2!$C$14,PL_Saisie_Estime2!$F$15,PL_Saisie_Estime2!$F$14,PL_Saisie_Estime2!$F$20,PL_Saisie_Estime2!AA$2,PL_Saisie_Estime2!AA$1,PL_Saisie_Estime2!$C78),"")</f>
        <v/>
      </c>
      <c r="AB78" s="192" t="str">
        <f ca="1">IF(Flag_Send_Data=1,_xll.DBSW(PL_Saisie_Estime2!AB78,Server&amp;Cube1,PL_Saisie_Estime2!$F$17,PL_Saisie_Estime2!$F$18,PL_Saisie_Estime2!$F$19,PL_Saisie_Estime2!$F$16,PL_Saisie_Estime2!$C$14,PL_Saisie_Estime2!$F$15,PL_Saisie_Estime2!$F$14,PL_Saisie_Estime2!$F$20,PL_Saisie_Estime2!AB$2,PL_Saisie_Estime2!AB$1,PL_Saisie_Estime2!$C78),"")</f>
        <v/>
      </c>
      <c r="AC78" s="192" t="str">
        <f ca="1">IF(Flag_Send_Data=1,_xll.DBSW(PL_Saisie_Estime2!AC78,Server&amp;Cube1,PL_Saisie_Estime2!$F$17,PL_Saisie_Estime2!$F$18,PL_Saisie_Estime2!$F$19,PL_Saisie_Estime2!$F$16,PL_Saisie_Estime2!$C$14,PL_Saisie_Estime2!$F$15,PL_Saisie_Estime2!$F$14,PL_Saisie_Estime2!$F$20,PL_Saisie_Estime2!AC$2,PL_Saisie_Estime2!AC$1,PL_Saisie_Estime2!$C78),"")</f>
        <v/>
      </c>
      <c r="AD78" s="192" t="str">
        <f ca="1">IF(Flag_Send_Data=1,_xll.DBSW(PL_Saisie_Estime2!AD78,Server&amp;Cube1,PL_Saisie_Estime2!$F$17,PL_Saisie_Estime2!$F$18,PL_Saisie_Estime2!$F$19,PL_Saisie_Estime2!$F$16,PL_Saisie_Estime2!$C$14,PL_Saisie_Estime2!$F$15,PL_Saisie_Estime2!$F$14,PL_Saisie_Estime2!$F$20,PL_Saisie_Estime2!AD$2,PL_Saisie_Estime2!AD$1,PL_Saisie_Estime2!$C78),"")</f>
        <v/>
      </c>
      <c r="AE78" s="192" t="str">
        <f ca="1">IF(Flag_Send_Data=1,_xll.DBSW(PL_Saisie_Estime2!AE78,Server&amp;Cube1,PL_Saisie_Estime2!$F$17,PL_Saisie_Estime2!$F$18,PL_Saisie_Estime2!$F$19,PL_Saisie_Estime2!$F$16,PL_Saisie_Estime2!$C$14,PL_Saisie_Estime2!$F$15,PL_Saisie_Estime2!$F$14,PL_Saisie_Estime2!$F$20,PL_Saisie_Estime2!AE$2,PL_Saisie_Estime2!AE$1,PL_Saisie_Estime2!$C78),"")</f>
        <v/>
      </c>
      <c r="AF78" s="204"/>
      <c r="AP78" s="1"/>
      <c r="AR78" s="259"/>
      <c r="AS78" s="183">
        <v>2300</v>
      </c>
      <c r="AT78" s="208" t="s">
        <v>488</v>
      </c>
      <c r="BB78" s="9"/>
      <c r="BC78" s="9"/>
      <c r="BD78" s="9"/>
      <c r="BE78" s="9"/>
    </row>
    <row r="79" spans="1:57" ht="21" customHeight="1" x14ac:dyDescent="0.3">
      <c r="A79" s="181"/>
      <c r="C79" s="158"/>
      <c r="D79" s="24"/>
      <c r="E79" s="268"/>
      <c r="F79" s="268"/>
      <c r="G79" s="268"/>
      <c r="H79" s="43"/>
      <c r="I79" s="130"/>
      <c r="J79" s="130"/>
      <c r="K79" s="130"/>
      <c r="L79" s="130"/>
      <c r="M79" s="130"/>
      <c r="N79" s="126"/>
      <c r="O79" s="204"/>
      <c r="P79" s="126"/>
      <c r="Q79" s="124"/>
      <c r="R79" s="192"/>
      <c r="S79" s="126"/>
      <c r="T79" s="200"/>
      <c r="U79" s="200"/>
      <c r="V79" s="200"/>
      <c r="W79" s="200"/>
      <c r="X79" s="200"/>
      <c r="Y79" s="200"/>
      <c r="Z79" s="192" t="str">
        <f ca="1">IF(Flag_Send_Data=1,_xll.DBSW(PL_Saisie_Estime2!Z79,Server&amp;Cube1,PL_Saisie_Estime2!$F$17,PL_Saisie_Estime2!$F$18,PL_Saisie_Estime2!$F$19,PL_Saisie_Estime2!$F$16,PL_Saisie_Estime2!$C$14,PL_Saisie_Estime2!$F$15,PL_Saisie_Estime2!$F$14,PL_Saisie_Estime2!$F$20,PL_Saisie_Estime2!Z$2,PL_Saisie_Estime2!Z$1,PL_Saisie_Estime2!$C79),"")</f>
        <v/>
      </c>
      <c r="AA79" s="192" t="str">
        <f ca="1">IF(Flag_Send_Data=1,_xll.DBSW(PL_Saisie_Estime2!AA79,Server&amp;Cube1,PL_Saisie_Estime2!$F$17,PL_Saisie_Estime2!$F$18,PL_Saisie_Estime2!$F$19,PL_Saisie_Estime2!$F$16,PL_Saisie_Estime2!$C$14,PL_Saisie_Estime2!$F$15,PL_Saisie_Estime2!$F$14,PL_Saisie_Estime2!$F$20,PL_Saisie_Estime2!AA$2,PL_Saisie_Estime2!AA$1,PL_Saisie_Estime2!$C79),"")</f>
        <v/>
      </c>
      <c r="AB79" s="192" t="str">
        <f ca="1">IF(Flag_Send_Data=1,_xll.DBSW(PL_Saisie_Estime2!AB79,Server&amp;Cube1,PL_Saisie_Estime2!$F$17,PL_Saisie_Estime2!$F$18,PL_Saisie_Estime2!$F$19,PL_Saisie_Estime2!$F$16,PL_Saisie_Estime2!$C$14,PL_Saisie_Estime2!$F$15,PL_Saisie_Estime2!$F$14,PL_Saisie_Estime2!$F$20,PL_Saisie_Estime2!AB$2,PL_Saisie_Estime2!AB$1,PL_Saisie_Estime2!$C79),"")</f>
        <v/>
      </c>
      <c r="AC79" s="192" t="str">
        <f ca="1">IF(Flag_Send_Data=1,_xll.DBSW(PL_Saisie_Estime2!AC79,Server&amp;Cube1,PL_Saisie_Estime2!$F$17,PL_Saisie_Estime2!$F$18,PL_Saisie_Estime2!$F$19,PL_Saisie_Estime2!$F$16,PL_Saisie_Estime2!$C$14,PL_Saisie_Estime2!$F$15,PL_Saisie_Estime2!$F$14,PL_Saisie_Estime2!$F$20,PL_Saisie_Estime2!AC$2,PL_Saisie_Estime2!AC$1,PL_Saisie_Estime2!$C79),"")</f>
        <v/>
      </c>
      <c r="AD79" s="192" t="str">
        <f ca="1">IF(Flag_Send_Data=1,_xll.DBSW(PL_Saisie_Estime2!AD79,Server&amp;Cube1,PL_Saisie_Estime2!$F$17,PL_Saisie_Estime2!$F$18,PL_Saisie_Estime2!$F$19,PL_Saisie_Estime2!$F$16,PL_Saisie_Estime2!$C$14,PL_Saisie_Estime2!$F$15,PL_Saisie_Estime2!$F$14,PL_Saisie_Estime2!$F$20,PL_Saisie_Estime2!AD$2,PL_Saisie_Estime2!AD$1,PL_Saisie_Estime2!$C79),"")</f>
        <v/>
      </c>
      <c r="AE79" s="192" t="str">
        <f ca="1">IF(Flag_Send_Data=1,_xll.DBSW(PL_Saisie_Estime2!AE79,Server&amp;Cube1,PL_Saisie_Estime2!$F$17,PL_Saisie_Estime2!$F$18,PL_Saisie_Estime2!$F$19,PL_Saisie_Estime2!$F$16,PL_Saisie_Estime2!$C$14,PL_Saisie_Estime2!$F$15,PL_Saisie_Estime2!$F$14,PL_Saisie_Estime2!$F$20,PL_Saisie_Estime2!AE$2,PL_Saisie_Estime2!AE$1,PL_Saisie_Estime2!$C79),"")</f>
        <v/>
      </c>
      <c r="AF79" s="204"/>
      <c r="AP79" s="1"/>
      <c r="AR79" s="259"/>
      <c r="AS79" s="183">
        <v>2310</v>
      </c>
      <c r="AT79" s="208" t="s">
        <v>488</v>
      </c>
      <c r="BB79" s="9"/>
      <c r="BC79" s="9"/>
      <c r="BD79" s="9"/>
      <c r="BE79" s="9"/>
    </row>
    <row r="80" spans="1:57" ht="21" customHeight="1" x14ac:dyDescent="0.3">
      <c r="A80" s="181"/>
      <c r="C80" s="158"/>
      <c r="D80" s="24"/>
      <c r="E80" s="268"/>
      <c r="F80" s="268"/>
      <c r="G80" s="268"/>
      <c r="H80" s="43"/>
      <c r="I80" s="130"/>
      <c r="J80" s="130"/>
      <c r="K80" s="130"/>
      <c r="L80" s="130"/>
      <c r="M80" s="130"/>
      <c r="N80" s="126"/>
      <c r="O80" s="204"/>
      <c r="P80" s="126"/>
      <c r="Q80" s="124"/>
      <c r="R80" s="192"/>
      <c r="S80" s="126"/>
      <c r="T80" s="200"/>
      <c r="U80" s="200"/>
      <c r="V80" s="200"/>
      <c r="W80" s="200"/>
      <c r="X80" s="200"/>
      <c r="Y80" s="200"/>
      <c r="Z80" s="192" t="str">
        <f ca="1">IF(Flag_Send_Data=1,_xll.DBSW(PL_Saisie_Estime2!Z80,Server&amp;Cube1,PL_Saisie_Estime2!$F$17,PL_Saisie_Estime2!$F$18,PL_Saisie_Estime2!$F$19,PL_Saisie_Estime2!$F$16,PL_Saisie_Estime2!$C$14,PL_Saisie_Estime2!$F$15,PL_Saisie_Estime2!$F$14,PL_Saisie_Estime2!$F$20,PL_Saisie_Estime2!Z$2,PL_Saisie_Estime2!Z$1,PL_Saisie_Estime2!$C80),"")</f>
        <v/>
      </c>
      <c r="AA80" s="192" t="str">
        <f ca="1">IF(Flag_Send_Data=1,_xll.DBSW(PL_Saisie_Estime2!AA80,Server&amp;Cube1,PL_Saisie_Estime2!$F$17,PL_Saisie_Estime2!$F$18,PL_Saisie_Estime2!$F$19,PL_Saisie_Estime2!$F$16,PL_Saisie_Estime2!$C$14,PL_Saisie_Estime2!$F$15,PL_Saisie_Estime2!$F$14,PL_Saisie_Estime2!$F$20,PL_Saisie_Estime2!AA$2,PL_Saisie_Estime2!AA$1,PL_Saisie_Estime2!$C80),"")</f>
        <v/>
      </c>
      <c r="AB80" s="192" t="str">
        <f ca="1">IF(Flag_Send_Data=1,_xll.DBSW(PL_Saisie_Estime2!AB80,Server&amp;Cube1,PL_Saisie_Estime2!$F$17,PL_Saisie_Estime2!$F$18,PL_Saisie_Estime2!$F$19,PL_Saisie_Estime2!$F$16,PL_Saisie_Estime2!$C$14,PL_Saisie_Estime2!$F$15,PL_Saisie_Estime2!$F$14,PL_Saisie_Estime2!$F$20,PL_Saisie_Estime2!AB$2,PL_Saisie_Estime2!AB$1,PL_Saisie_Estime2!$C80),"")</f>
        <v/>
      </c>
      <c r="AC80" s="192" t="str">
        <f ca="1">IF(Flag_Send_Data=1,_xll.DBSW(PL_Saisie_Estime2!AC80,Server&amp;Cube1,PL_Saisie_Estime2!$F$17,PL_Saisie_Estime2!$F$18,PL_Saisie_Estime2!$F$19,PL_Saisie_Estime2!$F$16,PL_Saisie_Estime2!$C$14,PL_Saisie_Estime2!$F$15,PL_Saisie_Estime2!$F$14,PL_Saisie_Estime2!$F$20,PL_Saisie_Estime2!AC$2,PL_Saisie_Estime2!AC$1,PL_Saisie_Estime2!$C80),"")</f>
        <v/>
      </c>
      <c r="AD80" s="192" t="str">
        <f ca="1">IF(Flag_Send_Data=1,_xll.DBSW(PL_Saisie_Estime2!AD80,Server&amp;Cube1,PL_Saisie_Estime2!$F$17,PL_Saisie_Estime2!$F$18,PL_Saisie_Estime2!$F$19,PL_Saisie_Estime2!$F$16,PL_Saisie_Estime2!$C$14,PL_Saisie_Estime2!$F$15,PL_Saisie_Estime2!$F$14,PL_Saisie_Estime2!$F$20,PL_Saisie_Estime2!AD$2,PL_Saisie_Estime2!AD$1,PL_Saisie_Estime2!$C80),"")</f>
        <v/>
      </c>
      <c r="AE80" s="192" t="str">
        <f ca="1">IF(Flag_Send_Data=1,_xll.DBSW(PL_Saisie_Estime2!AE80,Server&amp;Cube1,PL_Saisie_Estime2!$F$17,PL_Saisie_Estime2!$F$18,PL_Saisie_Estime2!$F$19,PL_Saisie_Estime2!$F$16,PL_Saisie_Estime2!$C$14,PL_Saisie_Estime2!$F$15,PL_Saisie_Estime2!$F$14,PL_Saisie_Estime2!$F$20,PL_Saisie_Estime2!AE$2,PL_Saisie_Estime2!AE$1,PL_Saisie_Estime2!$C80),"")</f>
        <v/>
      </c>
      <c r="AF80" s="204"/>
      <c r="AP80" s="1"/>
      <c r="AR80" s="259"/>
      <c r="AS80" s="183">
        <v>2330</v>
      </c>
      <c r="AT80" s="208" t="s">
        <v>488</v>
      </c>
    </row>
    <row r="81" spans="1:46" ht="21" customHeight="1" x14ac:dyDescent="0.3">
      <c r="A81" s="181"/>
      <c r="C81" s="158"/>
      <c r="D81" s="24"/>
      <c r="E81" s="268"/>
      <c r="F81" s="268"/>
      <c r="G81" s="268"/>
      <c r="H81" s="43"/>
      <c r="I81" s="130"/>
      <c r="J81" s="130"/>
      <c r="K81" s="130"/>
      <c r="L81" s="130"/>
      <c r="M81" s="130"/>
      <c r="N81" s="126"/>
      <c r="O81" s="204"/>
      <c r="P81" s="126"/>
      <c r="Q81" s="124"/>
      <c r="R81" s="192"/>
      <c r="S81" s="126"/>
      <c r="T81" s="200"/>
      <c r="U81" s="200"/>
      <c r="V81" s="200"/>
      <c r="W81" s="200"/>
      <c r="X81" s="200"/>
      <c r="Y81" s="200"/>
      <c r="Z81" s="192" t="str">
        <f ca="1">IF(Flag_Send_Data=1,_xll.DBSW(PL_Saisie_Estime2!Z81,Server&amp;Cube1,PL_Saisie_Estime2!$F$17,PL_Saisie_Estime2!$F$18,PL_Saisie_Estime2!$F$19,PL_Saisie_Estime2!$F$16,PL_Saisie_Estime2!$C$14,PL_Saisie_Estime2!$F$15,PL_Saisie_Estime2!$F$14,PL_Saisie_Estime2!$F$20,PL_Saisie_Estime2!Z$2,PL_Saisie_Estime2!Z$1,PL_Saisie_Estime2!$C81),"")</f>
        <v/>
      </c>
      <c r="AA81" s="192" t="str">
        <f ca="1">IF(Flag_Send_Data=1,_xll.DBSW(PL_Saisie_Estime2!AA81,Server&amp;Cube1,PL_Saisie_Estime2!$F$17,PL_Saisie_Estime2!$F$18,PL_Saisie_Estime2!$F$19,PL_Saisie_Estime2!$F$16,PL_Saisie_Estime2!$C$14,PL_Saisie_Estime2!$F$15,PL_Saisie_Estime2!$F$14,PL_Saisie_Estime2!$F$20,PL_Saisie_Estime2!AA$2,PL_Saisie_Estime2!AA$1,PL_Saisie_Estime2!$C81),"")</f>
        <v/>
      </c>
      <c r="AB81" s="192" t="str">
        <f ca="1">IF(Flag_Send_Data=1,_xll.DBSW(PL_Saisie_Estime2!AB81,Server&amp;Cube1,PL_Saisie_Estime2!$F$17,PL_Saisie_Estime2!$F$18,PL_Saisie_Estime2!$F$19,PL_Saisie_Estime2!$F$16,PL_Saisie_Estime2!$C$14,PL_Saisie_Estime2!$F$15,PL_Saisie_Estime2!$F$14,PL_Saisie_Estime2!$F$20,PL_Saisie_Estime2!AB$2,PL_Saisie_Estime2!AB$1,PL_Saisie_Estime2!$C81),"")</f>
        <v/>
      </c>
      <c r="AC81" s="192" t="str">
        <f ca="1">IF(Flag_Send_Data=1,_xll.DBSW(PL_Saisie_Estime2!AC81,Server&amp;Cube1,PL_Saisie_Estime2!$F$17,PL_Saisie_Estime2!$F$18,PL_Saisie_Estime2!$F$19,PL_Saisie_Estime2!$F$16,PL_Saisie_Estime2!$C$14,PL_Saisie_Estime2!$F$15,PL_Saisie_Estime2!$F$14,PL_Saisie_Estime2!$F$20,PL_Saisie_Estime2!AC$2,PL_Saisie_Estime2!AC$1,PL_Saisie_Estime2!$C81),"")</f>
        <v/>
      </c>
      <c r="AD81" s="192" t="str">
        <f ca="1">IF(Flag_Send_Data=1,_xll.DBSW(PL_Saisie_Estime2!AD81,Server&amp;Cube1,PL_Saisie_Estime2!$F$17,PL_Saisie_Estime2!$F$18,PL_Saisie_Estime2!$F$19,PL_Saisie_Estime2!$F$16,PL_Saisie_Estime2!$C$14,PL_Saisie_Estime2!$F$15,PL_Saisie_Estime2!$F$14,PL_Saisie_Estime2!$F$20,PL_Saisie_Estime2!AD$2,PL_Saisie_Estime2!AD$1,PL_Saisie_Estime2!$C81),"")</f>
        <v/>
      </c>
      <c r="AE81" s="192" t="str">
        <f ca="1">IF(Flag_Send_Data=1,_xll.DBSW(PL_Saisie_Estime2!AE81,Server&amp;Cube1,PL_Saisie_Estime2!$F$17,PL_Saisie_Estime2!$F$18,PL_Saisie_Estime2!$F$19,PL_Saisie_Estime2!$F$16,PL_Saisie_Estime2!$C$14,PL_Saisie_Estime2!$F$15,PL_Saisie_Estime2!$F$14,PL_Saisie_Estime2!$F$20,PL_Saisie_Estime2!AE$2,PL_Saisie_Estime2!AE$1,PL_Saisie_Estime2!$C81),"")</f>
        <v/>
      </c>
      <c r="AF81" s="204"/>
      <c r="AP81" s="1"/>
      <c r="AR81" s="259"/>
      <c r="AS81" s="183">
        <v>2320</v>
      </c>
      <c r="AT81" s="208" t="s">
        <v>488</v>
      </c>
    </row>
    <row r="82" spans="1:46" ht="21" customHeight="1" x14ac:dyDescent="0.3">
      <c r="A82" s="181"/>
      <c r="C82" s="158"/>
      <c r="D82" s="24"/>
      <c r="E82" s="268"/>
      <c r="F82" s="268"/>
      <c r="G82" s="268"/>
      <c r="H82" s="43"/>
      <c r="I82" s="130"/>
      <c r="J82" s="130"/>
      <c r="K82" s="130"/>
      <c r="L82" s="130"/>
      <c r="M82" s="130"/>
      <c r="N82" s="126"/>
      <c r="O82" s="204"/>
      <c r="P82" s="126"/>
      <c r="Q82" s="124"/>
      <c r="R82" s="192"/>
      <c r="S82" s="126"/>
      <c r="T82" s="200"/>
      <c r="U82" s="200"/>
      <c r="V82" s="200"/>
      <c r="W82" s="200"/>
      <c r="X82" s="200"/>
      <c r="Y82" s="200"/>
      <c r="Z82" s="192" t="str">
        <f ca="1">IF(Flag_Send_Data=1,_xll.DBSW(PL_Saisie_Estime2!Z82,Server&amp;Cube1,PL_Saisie_Estime2!$F$17,PL_Saisie_Estime2!$F$18,PL_Saisie_Estime2!$F$19,PL_Saisie_Estime2!$F$16,PL_Saisie_Estime2!$C$14,PL_Saisie_Estime2!$F$15,PL_Saisie_Estime2!$F$14,PL_Saisie_Estime2!$F$20,PL_Saisie_Estime2!Z$2,PL_Saisie_Estime2!Z$1,PL_Saisie_Estime2!$C82),"")</f>
        <v/>
      </c>
      <c r="AA82" s="192" t="str">
        <f ca="1">IF(Flag_Send_Data=1,_xll.DBSW(PL_Saisie_Estime2!AA82,Server&amp;Cube1,PL_Saisie_Estime2!$F$17,PL_Saisie_Estime2!$F$18,PL_Saisie_Estime2!$F$19,PL_Saisie_Estime2!$F$16,PL_Saisie_Estime2!$C$14,PL_Saisie_Estime2!$F$15,PL_Saisie_Estime2!$F$14,PL_Saisie_Estime2!$F$20,PL_Saisie_Estime2!AA$2,PL_Saisie_Estime2!AA$1,PL_Saisie_Estime2!$C82),"")</f>
        <v/>
      </c>
      <c r="AB82" s="192" t="str">
        <f ca="1">IF(Flag_Send_Data=1,_xll.DBSW(PL_Saisie_Estime2!AB82,Server&amp;Cube1,PL_Saisie_Estime2!$F$17,PL_Saisie_Estime2!$F$18,PL_Saisie_Estime2!$F$19,PL_Saisie_Estime2!$F$16,PL_Saisie_Estime2!$C$14,PL_Saisie_Estime2!$F$15,PL_Saisie_Estime2!$F$14,PL_Saisie_Estime2!$F$20,PL_Saisie_Estime2!AB$2,PL_Saisie_Estime2!AB$1,PL_Saisie_Estime2!$C82),"")</f>
        <v/>
      </c>
      <c r="AC82" s="192" t="str">
        <f ca="1">IF(Flag_Send_Data=1,_xll.DBSW(PL_Saisie_Estime2!AC82,Server&amp;Cube1,PL_Saisie_Estime2!$F$17,PL_Saisie_Estime2!$F$18,PL_Saisie_Estime2!$F$19,PL_Saisie_Estime2!$F$16,PL_Saisie_Estime2!$C$14,PL_Saisie_Estime2!$F$15,PL_Saisie_Estime2!$F$14,PL_Saisie_Estime2!$F$20,PL_Saisie_Estime2!AC$2,PL_Saisie_Estime2!AC$1,PL_Saisie_Estime2!$C82),"")</f>
        <v/>
      </c>
      <c r="AD82" s="192" t="str">
        <f ca="1">IF(Flag_Send_Data=1,_xll.DBSW(PL_Saisie_Estime2!AD82,Server&amp;Cube1,PL_Saisie_Estime2!$F$17,PL_Saisie_Estime2!$F$18,PL_Saisie_Estime2!$F$19,PL_Saisie_Estime2!$F$16,PL_Saisie_Estime2!$C$14,PL_Saisie_Estime2!$F$15,PL_Saisie_Estime2!$F$14,PL_Saisie_Estime2!$F$20,PL_Saisie_Estime2!AD$2,PL_Saisie_Estime2!AD$1,PL_Saisie_Estime2!$C82),"")</f>
        <v/>
      </c>
      <c r="AE82" s="192" t="str">
        <f ca="1">IF(Flag_Send_Data=1,_xll.DBSW(PL_Saisie_Estime2!AE82,Server&amp;Cube1,PL_Saisie_Estime2!$F$17,PL_Saisie_Estime2!$F$18,PL_Saisie_Estime2!$F$19,PL_Saisie_Estime2!$F$16,PL_Saisie_Estime2!$C$14,PL_Saisie_Estime2!$F$15,PL_Saisie_Estime2!$F$14,PL_Saisie_Estime2!$F$20,PL_Saisie_Estime2!AE$2,PL_Saisie_Estime2!AE$1,PL_Saisie_Estime2!$C82),"")</f>
        <v/>
      </c>
      <c r="AF82" s="204"/>
      <c r="AP82" s="1"/>
      <c r="AR82" s="259"/>
      <c r="AS82" s="183">
        <v>2400</v>
      </c>
      <c r="AT82" s="208" t="s">
        <v>488</v>
      </c>
    </row>
    <row r="83" spans="1:46" ht="21" customHeight="1" thickBot="1" x14ac:dyDescent="0.35">
      <c r="A83" s="181"/>
      <c r="C83" s="158"/>
      <c r="D83" s="24"/>
      <c r="E83" s="268"/>
      <c r="F83" s="268"/>
      <c r="G83" s="268"/>
      <c r="H83" s="43"/>
      <c r="I83" s="130"/>
      <c r="J83" s="130"/>
      <c r="K83" s="130"/>
      <c r="L83" s="130"/>
      <c r="M83" s="130"/>
      <c r="N83" s="126"/>
      <c r="O83" s="204"/>
      <c r="P83" s="126"/>
      <c r="Q83" s="124"/>
      <c r="R83" s="192"/>
      <c r="S83" s="126"/>
      <c r="T83" s="200"/>
      <c r="U83" s="200"/>
      <c r="V83" s="200"/>
      <c r="W83" s="200"/>
      <c r="X83" s="200"/>
      <c r="Y83" s="200"/>
      <c r="Z83" s="192" t="str">
        <f ca="1">IF(Flag_Send_Data=1,_xll.DBSW(PL_Saisie_Estime2!Z83,Server&amp;Cube1,PL_Saisie_Estime2!$F$17,PL_Saisie_Estime2!$F$18,PL_Saisie_Estime2!$F$19,PL_Saisie_Estime2!$F$16,PL_Saisie_Estime2!$C$14,PL_Saisie_Estime2!$F$15,PL_Saisie_Estime2!$F$14,PL_Saisie_Estime2!$F$20,PL_Saisie_Estime2!Z$2,PL_Saisie_Estime2!Z$1,PL_Saisie_Estime2!$C83),"")</f>
        <v/>
      </c>
      <c r="AA83" s="192" t="str">
        <f ca="1">IF(Flag_Send_Data=1,_xll.DBSW(PL_Saisie_Estime2!AA83,Server&amp;Cube1,PL_Saisie_Estime2!$F$17,PL_Saisie_Estime2!$F$18,PL_Saisie_Estime2!$F$19,PL_Saisie_Estime2!$F$16,PL_Saisie_Estime2!$C$14,PL_Saisie_Estime2!$F$15,PL_Saisie_Estime2!$F$14,PL_Saisie_Estime2!$F$20,PL_Saisie_Estime2!AA$2,PL_Saisie_Estime2!AA$1,PL_Saisie_Estime2!$C83),"")</f>
        <v/>
      </c>
      <c r="AB83" s="192" t="str">
        <f ca="1">IF(Flag_Send_Data=1,_xll.DBSW(PL_Saisie_Estime2!AB83,Server&amp;Cube1,PL_Saisie_Estime2!$F$17,PL_Saisie_Estime2!$F$18,PL_Saisie_Estime2!$F$19,PL_Saisie_Estime2!$F$16,PL_Saisie_Estime2!$C$14,PL_Saisie_Estime2!$F$15,PL_Saisie_Estime2!$F$14,PL_Saisie_Estime2!$F$20,PL_Saisie_Estime2!AB$2,PL_Saisie_Estime2!AB$1,PL_Saisie_Estime2!$C83),"")</f>
        <v/>
      </c>
      <c r="AC83" s="192" t="str">
        <f ca="1">IF(Flag_Send_Data=1,_xll.DBSW(PL_Saisie_Estime2!AC83,Server&amp;Cube1,PL_Saisie_Estime2!$F$17,PL_Saisie_Estime2!$F$18,PL_Saisie_Estime2!$F$19,PL_Saisie_Estime2!$F$16,PL_Saisie_Estime2!$C$14,PL_Saisie_Estime2!$F$15,PL_Saisie_Estime2!$F$14,PL_Saisie_Estime2!$F$20,PL_Saisie_Estime2!AC$2,PL_Saisie_Estime2!AC$1,PL_Saisie_Estime2!$C83),"")</f>
        <v/>
      </c>
      <c r="AD83" s="192" t="str">
        <f ca="1">IF(Flag_Send_Data=1,_xll.DBSW(PL_Saisie_Estime2!AD83,Server&amp;Cube1,PL_Saisie_Estime2!$F$17,PL_Saisie_Estime2!$F$18,PL_Saisie_Estime2!$F$19,PL_Saisie_Estime2!$F$16,PL_Saisie_Estime2!$C$14,PL_Saisie_Estime2!$F$15,PL_Saisie_Estime2!$F$14,PL_Saisie_Estime2!$F$20,PL_Saisie_Estime2!AD$2,PL_Saisie_Estime2!AD$1,PL_Saisie_Estime2!$C83),"")</f>
        <v/>
      </c>
      <c r="AE83" s="192" t="str">
        <f ca="1">IF(Flag_Send_Data=1,_xll.DBSW(PL_Saisie_Estime2!AE83,Server&amp;Cube1,PL_Saisie_Estime2!$F$17,PL_Saisie_Estime2!$F$18,PL_Saisie_Estime2!$F$19,PL_Saisie_Estime2!$F$16,PL_Saisie_Estime2!$C$14,PL_Saisie_Estime2!$F$15,PL_Saisie_Estime2!$F$14,PL_Saisie_Estime2!$F$20,PL_Saisie_Estime2!AE$2,PL_Saisie_Estime2!AE$1,PL_Saisie_Estime2!$C83),"")</f>
        <v/>
      </c>
      <c r="AF83" s="204"/>
      <c r="AP83" s="1"/>
      <c r="AR83" s="260"/>
      <c r="AS83" s="186">
        <v>4360</v>
      </c>
      <c r="AT83" s="209" t="s">
        <v>488</v>
      </c>
    </row>
    <row r="84" spans="1:46" ht="21" customHeight="1" x14ac:dyDescent="0.3">
      <c r="A84" s="181"/>
      <c r="C84" s="158"/>
      <c r="D84" s="24"/>
      <c r="E84" s="268"/>
      <c r="F84" s="268"/>
      <c r="G84" s="268"/>
      <c r="H84" s="43"/>
      <c r="I84" s="130"/>
      <c r="J84" s="130"/>
      <c r="K84" s="130"/>
      <c r="L84" s="130"/>
      <c r="M84" s="130"/>
      <c r="N84" s="126"/>
      <c r="O84" s="204"/>
      <c r="P84" s="126"/>
      <c r="Q84" s="124"/>
      <c r="R84" s="192"/>
      <c r="S84" s="126"/>
      <c r="T84" s="200"/>
      <c r="U84" s="200"/>
      <c r="V84" s="200"/>
      <c r="W84" s="200"/>
      <c r="X84" s="200"/>
      <c r="Y84" s="200"/>
      <c r="Z84" s="192" t="str">
        <f ca="1">IF(Flag_Send_Data=1,_xll.DBSW(PL_Saisie_Estime2!Z84,Server&amp;Cube1,PL_Saisie_Estime2!$F$17,PL_Saisie_Estime2!$F$18,PL_Saisie_Estime2!$F$19,PL_Saisie_Estime2!$F$16,PL_Saisie_Estime2!$C$14,PL_Saisie_Estime2!$F$15,PL_Saisie_Estime2!$F$14,PL_Saisie_Estime2!$F$20,PL_Saisie_Estime2!Z$2,PL_Saisie_Estime2!Z$1,PL_Saisie_Estime2!$C84),"")</f>
        <v/>
      </c>
      <c r="AA84" s="192" t="str">
        <f ca="1">IF(Flag_Send_Data=1,_xll.DBSW(PL_Saisie_Estime2!AA84,Server&amp;Cube1,PL_Saisie_Estime2!$F$17,PL_Saisie_Estime2!$F$18,PL_Saisie_Estime2!$F$19,PL_Saisie_Estime2!$F$16,PL_Saisie_Estime2!$C$14,PL_Saisie_Estime2!$F$15,PL_Saisie_Estime2!$F$14,PL_Saisie_Estime2!$F$20,PL_Saisie_Estime2!AA$2,PL_Saisie_Estime2!AA$1,PL_Saisie_Estime2!$C84),"")</f>
        <v/>
      </c>
      <c r="AB84" s="192" t="str">
        <f ca="1">IF(Flag_Send_Data=1,_xll.DBSW(PL_Saisie_Estime2!AB84,Server&amp;Cube1,PL_Saisie_Estime2!$F$17,PL_Saisie_Estime2!$F$18,PL_Saisie_Estime2!$F$19,PL_Saisie_Estime2!$F$16,PL_Saisie_Estime2!$C$14,PL_Saisie_Estime2!$F$15,PL_Saisie_Estime2!$F$14,PL_Saisie_Estime2!$F$20,PL_Saisie_Estime2!AB$2,PL_Saisie_Estime2!AB$1,PL_Saisie_Estime2!$C84),"")</f>
        <v/>
      </c>
      <c r="AC84" s="192" t="str">
        <f ca="1">IF(Flag_Send_Data=1,_xll.DBSW(PL_Saisie_Estime2!AC84,Server&amp;Cube1,PL_Saisie_Estime2!$F$17,PL_Saisie_Estime2!$F$18,PL_Saisie_Estime2!$F$19,PL_Saisie_Estime2!$F$16,PL_Saisie_Estime2!$C$14,PL_Saisie_Estime2!$F$15,PL_Saisie_Estime2!$F$14,PL_Saisie_Estime2!$F$20,PL_Saisie_Estime2!AC$2,PL_Saisie_Estime2!AC$1,PL_Saisie_Estime2!$C84),"")</f>
        <v/>
      </c>
      <c r="AD84" s="192" t="str">
        <f ca="1">IF(Flag_Send_Data=1,_xll.DBSW(PL_Saisie_Estime2!AD84,Server&amp;Cube1,PL_Saisie_Estime2!$F$17,PL_Saisie_Estime2!$F$18,PL_Saisie_Estime2!$F$19,PL_Saisie_Estime2!$F$16,PL_Saisie_Estime2!$C$14,PL_Saisie_Estime2!$F$15,PL_Saisie_Estime2!$F$14,PL_Saisie_Estime2!$F$20,PL_Saisie_Estime2!AD$2,PL_Saisie_Estime2!AD$1,PL_Saisie_Estime2!$C84),"")</f>
        <v/>
      </c>
      <c r="AE84" s="192" t="str">
        <f ca="1">IF(Flag_Send_Data=1,_xll.DBSW(PL_Saisie_Estime2!AE84,Server&amp;Cube1,PL_Saisie_Estime2!$F$17,PL_Saisie_Estime2!$F$18,PL_Saisie_Estime2!$F$19,PL_Saisie_Estime2!$F$16,PL_Saisie_Estime2!$C$14,PL_Saisie_Estime2!$F$15,PL_Saisie_Estime2!$F$14,PL_Saisie_Estime2!$F$20,PL_Saisie_Estime2!AE$2,PL_Saisie_Estime2!AE$1,PL_Saisie_Estime2!$C84),"")</f>
        <v/>
      </c>
      <c r="AF84" s="204"/>
      <c r="AP84" s="1"/>
      <c r="AR84" s="255" t="s">
        <v>477</v>
      </c>
      <c r="AS84" s="168">
        <v>4600</v>
      </c>
      <c r="AT84" s="207" t="s">
        <v>477</v>
      </c>
    </row>
    <row r="85" spans="1:46" ht="21" customHeight="1" thickBot="1" x14ac:dyDescent="0.35">
      <c r="A85" s="181"/>
      <c r="C85" s="158"/>
      <c r="D85" s="24"/>
      <c r="E85" s="268"/>
      <c r="F85" s="268"/>
      <c r="G85" s="268"/>
      <c r="H85" s="43"/>
      <c r="I85" s="130"/>
      <c r="J85" s="130"/>
      <c r="K85" s="130"/>
      <c r="L85" s="130"/>
      <c r="M85" s="130"/>
      <c r="N85" s="126"/>
      <c r="O85" s="204"/>
      <c r="P85" s="126"/>
      <c r="Q85" s="124"/>
      <c r="R85" s="192"/>
      <c r="S85" s="126"/>
      <c r="T85" s="200"/>
      <c r="U85" s="200"/>
      <c r="V85" s="200"/>
      <c r="W85" s="200"/>
      <c r="X85" s="200"/>
      <c r="Y85" s="200"/>
      <c r="Z85" s="192" t="str">
        <f ca="1">IF(Flag_Send_Data=1,_xll.DBSW(PL_Saisie_Estime2!Z85,Server&amp;Cube1,PL_Saisie_Estime2!$F$17,PL_Saisie_Estime2!$F$18,PL_Saisie_Estime2!$F$19,PL_Saisie_Estime2!$F$16,PL_Saisie_Estime2!$C$14,PL_Saisie_Estime2!$F$15,PL_Saisie_Estime2!$F$14,PL_Saisie_Estime2!$F$20,PL_Saisie_Estime2!Z$2,PL_Saisie_Estime2!Z$1,PL_Saisie_Estime2!$C85),"")</f>
        <v/>
      </c>
      <c r="AA85" s="192" t="str">
        <f ca="1">IF(Flag_Send_Data=1,_xll.DBSW(PL_Saisie_Estime2!AA85,Server&amp;Cube1,PL_Saisie_Estime2!$F$17,PL_Saisie_Estime2!$F$18,PL_Saisie_Estime2!$F$19,PL_Saisie_Estime2!$F$16,PL_Saisie_Estime2!$C$14,PL_Saisie_Estime2!$F$15,PL_Saisie_Estime2!$F$14,PL_Saisie_Estime2!$F$20,PL_Saisie_Estime2!AA$2,PL_Saisie_Estime2!AA$1,PL_Saisie_Estime2!$C85),"")</f>
        <v/>
      </c>
      <c r="AB85" s="192" t="str">
        <f ca="1">IF(Flag_Send_Data=1,_xll.DBSW(PL_Saisie_Estime2!AB85,Server&amp;Cube1,PL_Saisie_Estime2!$F$17,PL_Saisie_Estime2!$F$18,PL_Saisie_Estime2!$F$19,PL_Saisie_Estime2!$F$16,PL_Saisie_Estime2!$C$14,PL_Saisie_Estime2!$F$15,PL_Saisie_Estime2!$F$14,PL_Saisie_Estime2!$F$20,PL_Saisie_Estime2!AB$2,PL_Saisie_Estime2!AB$1,PL_Saisie_Estime2!$C85),"")</f>
        <v/>
      </c>
      <c r="AC85" s="192" t="str">
        <f ca="1">IF(Flag_Send_Data=1,_xll.DBSW(PL_Saisie_Estime2!AC85,Server&amp;Cube1,PL_Saisie_Estime2!$F$17,PL_Saisie_Estime2!$F$18,PL_Saisie_Estime2!$F$19,PL_Saisie_Estime2!$F$16,PL_Saisie_Estime2!$C$14,PL_Saisie_Estime2!$F$15,PL_Saisie_Estime2!$F$14,PL_Saisie_Estime2!$F$20,PL_Saisie_Estime2!AC$2,PL_Saisie_Estime2!AC$1,PL_Saisie_Estime2!$C85),"")</f>
        <v/>
      </c>
      <c r="AD85" s="192" t="str">
        <f ca="1">IF(Flag_Send_Data=1,_xll.DBSW(PL_Saisie_Estime2!AD85,Server&amp;Cube1,PL_Saisie_Estime2!$F$17,PL_Saisie_Estime2!$F$18,PL_Saisie_Estime2!$F$19,PL_Saisie_Estime2!$F$16,PL_Saisie_Estime2!$C$14,PL_Saisie_Estime2!$F$15,PL_Saisie_Estime2!$F$14,PL_Saisie_Estime2!$F$20,PL_Saisie_Estime2!AD$2,PL_Saisie_Estime2!AD$1,PL_Saisie_Estime2!$C85),"")</f>
        <v/>
      </c>
      <c r="AE85" s="192" t="str">
        <f ca="1">IF(Flag_Send_Data=1,_xll.DBSW(PL_Saisie_Estime2!AE85,Server&amp;Cube1,PL_Saisie_Estime2!$F$17,PL_Saisie_Estime2!$F$18,PL_Saisie_Estime2!$F$19,PL_Saisie_Estime2!$F$16,PL_Saisie_Estime2!$C$14,PL_Saisie_Estime2!$F$15,PL_Saisie_Estime2!$F$14,PL_Saisie_Estime2!$F$20,PL_Saisie_Estime2!AE$2,PL_Saisie_Estime2!AE$1,PL_Saisie_Estime2!$C85),"")</f>
        <v/>
      </c>
      <c r="AF85" s="204"/>
      <c r="AP85" s="1"/>
      <c r="AR85" s="256"/>
      <c r="AS85" s="170">
        <v>4610</v>
      </c>
      <c r="AT85" s="209" t="s">
        <v>477</v>
      </c>
    </row>
    <row r="86" spans="1:46" ht="21" customHeight="1" x14ac:dyDescent="0.3">
      <c r="A86" s="181"/>
      <c r="C86" s="158"/>
      <c r="D86" s="24"/>
      <c r="E86" s="268"/>
      <c r="F86" s="268"/>
      <c r="G86" s="268"/>
      <c r="H86" s="43"/>
      <c r="I86" s="130"/>
      <c r="J86" s="130"/>
      <c r="K86" s="130"/>
      <c r="L86" s="130"/>
      <c r="M86" s="130"/>
      <c r="N86" s="126"/>
      <c r="O86" s="204"/>
      <c r="P86" s="126"/>
      <c r="Q86" s="124"/>
      <c r="R86" s="192"/>
      <c r="S86" s="126"/>
      <c r="T86" s="200"/>
      <c r="U86" s="200"/>
      <c r="V86" s="200"/>
      <c r="W86" s="200"/>
      <c r="X86" s="200"/>
      <c r="Y86" s="200"/>
      <c r="Z86" s="192" t="str">
        <f ca="1">IF(Flag_Send_Data=1,_xll.DBSW(PL_Saisie_Estime2!Z86,Server&amp;Cube1,PL_Saisie_Estime2!$F$17,PL_Saisie_Estime2!$F$18,PL_Saisie_Estime2!$F$19,PL_Saisie_Estime2!$F$16,PL_Saisie_Estime2!$C$14,PL_Saisie_Estime2!$F$15,PL_Saisie_Estime2!$F$14,PL_Saisie_Estime2!$F$20,PL_Saisie_Estime2!Z$2,PL_Saisie_Estime2!Z$1,PL_Saisie_Estime2!$C86),"")</f>
        <v/>
      </c>
      <c r="AA86" s="192" t="str">
        <f ca="1">IF(Flag_Send_Data=1,_xll.DBSW(PL_Saisie_Estime2!AA86,Server&amp;Cube1,PL_Saisie_Estime2!$F$17,PL_Saisie_Estime2!$F$18,PL_Saisie_Estime2!$F$19,PL_Saisie_Estime2!$F$16,PL_Saisie_Estime2!$C$14,PL_Saisie_Estime2!$F$15,PL_Saisie_Estime2!$F$14,PL_Saisie_Estime2!$F$20,PL_Saisie_Estime2!AA$2,PL_Saisie_Estime2!AA$1,PL_Saisie_Estime2!$C86),"")</f>
        <v/>
      </c>
      <c r="AB86" s="192" t="str">
        <f ca="1">IF(Flag_Send_Data=1,_xll.DBSW(PL_Saisie_Estime2!AB86,Server&amp;Cube1,PL_Saisie_Estime2!$F$17,PL_Saisie_Estime2!$F$18,PL_Saisie_Estime2!$F$19,PL_Saisie_Estime2!$F$16,PL_Saisie_Estime2!$C$14,PL_Saisie_Estime2!$F$15,PL_Saisie_Estime2!$F$14,PL_Saisie_Estime2!$F$20,PL_Saisie_Estime2!AB$2,PL_Saisie_Estime2!AB$1,PL_Saisie_Estime2!$C86),"")</f>
        <v/>
      </c>
      <c r="AC86" s="192" t="str">
        <f ca="1">IF(Flag_Send_Data=1,_xll.DBSW(PL_Saisie_Estime2!AC86,Server&amp;Cube1,PL_Saisie_Estime2!$F$17,PL_Saisie_Estime2!$F$18,PL_Saisie_Estime2!$F$19,PL_Saisie_Estime2!$F$16,PL_Saisie_Estime2!$C$14,PL_Saisie_Estime2!$F$15,PL_Saisie_Estime2!$F$14,PL_Saisie_Estime2!$F$20,PL_Saisie_Estime2!AC$2,PL_Saisie_Estime2!AC$1,PL_Saisie_Estime2!$C86),"")</f>
        <v/>
      </c>
      <c r="AD86" s="192" t="str">
        <f ca="1">IF(Flag_Send_Data=1,_xll.DBSW(PL_Saisie_Estime2!AD86,Server&amp;Cube1,PL_Saisie_Estime2!$F$17,PL_Saisie_Estime2!$F$18,PL_Saisie_Estime2!$F$19,PL_Saisie_Estime2!$F$16,PL_Saisie_Estime2!$C$14,PL_Saisie_Estime2!$F$15,PL_Saisie_Estime2!$F$14,PL_Saisie_Estime2!$F$20,PL_Saisie_Estime2!AD$2,PL_Saisie_Estime2!AD$1,PL_Saisie_Estime2!$C86),"")</f>
        <v/>
      </c>
      <c r="AE86" s="192" t="str">
        <f ca="1">IF(Flag_Send_Data=1,_xll.DBSW(PL_Saisie_Estime2!AE86,Server&amp;Cube1,PL_Saisie_Estime2!$F$17,PL_Saisie_Estime2!$F$18,PL_Saisie_Estime2!$F$19,PL_Saisie_Estime2!$F$16,PL_Saisie_Estime2!$C$14,PL_Saisie_Estime2!$F$15,PL_Saisie_Estime2!$F$14,PL_Saisie_Estime2!$F$20,PL_Saisie_Estime2!AE$2,PL_Saisie_Estime2!AE$1,PL_Saisie_Estime2!$C86),"")</f>
        <v/>
      </c>
      <c r="AF86" s="204"/>
      <c r="AP86" s="1"/>
      <c r="AR86" s="255" t="s">
        <v>478</v>
      </c>
      <c r="AS86" s="182">
        <v>4000</v>
      </c>
      <c r="AT86" s="207" t="s">
        <v>491</v>
      </c>
    </row>
    <row r="87" spans="1:46" ht="21" customHeight="1" x14ac:dyDescent="0.3">
      <c r="A87" s="181"/>
      <c r="C87" s="158"/>
      <c r="D87" s="24"/>
      <c r="E87" s="268"/>
      <c r="F87" s="268"/>
      <c r="G87" s="268"/>
      <c r="H87" s="43"/>
      <c r="I87" s="130"/>
      <c r="J87" s="130"/>
      <c r="K87" s="130"/>
      <c r="L87" s="130"/>
      <c r="M87" s="130"/>
      <c r="N87" s="126"/>
      <c r="O87" s="204"/>
      <c r="P87" s="126"/>
      <c r="Q87" s="124"/>
      <c r="R87" s="192"/>
      <c r="S87" s="126"/>
      <c r="T87" s="200"/>
      <c r="U87" s="200"/>
      <c r="V87" s="200"/>
      <c r="W87" s="200"/>
      <c r="X87" s="200"/>
      <c r="Y87" s="200"/>
      <c r="Z87" s="192" t="str">
        <f ca="1">IF(Flag_Send_Data=1,_xll.DBSW(PL_Saisie_Estime2!Z87,Server&amp;Cube1,PL_Saisie_Estime2!$F$17,PL_Saisie_Estime2!$F$18,PL_Saisie_Estime2!$F$19,PL_Saisie_Estime2!$F$16,PL_Saisie_Estime2!$C$14,PL_Saisie_Estime2!$F$15,PL_Saisie_Estime2!$F$14,PL_Saisie_Estime2!$F$20,PL_Saisie_Estime2!Z$2,PL_Saisie_Estime2!Z$1,PL_Saisie_Estime2!$C87),"")</f>
        <v/>
      </c>
      <c r="AA87" s="192" t="str">
        <f ca="1">IF(Flag_Send_Data=1,_xll.DBSW(PL_Saisie_Estime2!AA87,Server&amp;Cube1,PL_Saisie_Estime2!$F$17,PL_Saisie_Estime2!$F$18,PL_Saisie_Estime2!$F$19,PL_Saisie_Estime2!$F$16,PL_Saisie_Estime2!$C$14,PL_Saisie_Estime2!$F$15,PL_Saisie_Estime2!$F$14,PL_Saisie_Estime2!$F$20,PL_Saisie_Estime2!AA$2,PL_Saisie_Estime2!AA$1,PL_Saisie_Estime2!$C87),"")</f>
        <v/>
      </c>
      <c r="AB87" s="192" t="str">
        <f ca="1">IF(Flag_Send_Data=1,_xll.DBSW(PL_Saisie_Estime2!AB87,Server&amp;Cube1,PL_Saisie_Estime2!$F$17,PL_Saisie_Estime2!$F$18,PL_Saisie_Estime2!$F$19,PL_Saisie_Estime2!$F$16,PL_Saisie_Estime2!$C$14,PL_Saisie_Estime2!$F$15,PL_Saisie_Estime2!$F$14,PL_Saisie_Estime2!$F$20,PL_Saisie_Estime2!AB$2,PL_Saisie_Estime2!AB$1,PL_Saisie_Estime2!$C87),"")</f>
        <v/>
      </c>
      <c r="AC87" s="192" t="str">
        <f ca="1">IF(Flag_Send_Data=1,_xll.DBSW(PL_Saisie_Estime2!AC87,Server&amp;Cube1,PL_Saisie_Estime2!$F$17,PL_Saisie_Estime2!$F$18,PL_Saisie_Estime2!$F$19,PL_Saisie_Estime2!$F$16,PL_Saisie_Estime2!$C$14,PL_Saisie_Estime2!$F$15,PL_Saisie_Estime2!$F$14,PL_Saisie_Estime2!$F$20,PL_Saisie_Estime2!AC$2,PL_Saisie_Estime2!AC$1,PL_Saisie_Estime2!$C87),"")</f>
        <v/>
      </c>
      <c r="AD87" s="192" t="str">
        <f ca="1">IF(Flag_Send_Data=1,_xll.DBSW(PL_Saisie_Estime2!AD87,Server&amp;Cube1,PL_Saisie_Estime2!$F$17,PL_Saisie_Estime2!$F$18,PL_Saisie_Estime2!$F$19,PL_Saisie_Estime2!$F$16,PL_Saisie_Estime2!$C$14,PL_Saisie_Estime2!$F$15,PL_Saisie_Estime2!$F$14,PL_Saisie_Estime2!$F$20,PL_Saisie_Estime2!AD$2,PL_Saisie_Estime2!AD$1,PL_Saisie_Estime2!$C87),"")</f>
        <v/>
      </c>
      <c r="AE87" s="192" t="str">
        <f ca="1">IF(Flag_Send_Data=1,_xll.DBSW(PL_Saisie_Estime2!AE87,Server&amp;Cube1,PL_Saisie_Estime2!$F$17,PL_Saisie_Estime2!$F$18,PL_Saisie_Estime2!$F$19,PL_Saisie_Estime2!$F$16,PL_Saisie_Estime2!$C$14,PL_Saisie_Estime2!$F$15,PL_Saisie_Estime2!$F$14,PL_Saisie_Estime2!$F$20,PL_Saisie_Estime2!AE$2,PL_Saisie_Estime2!AE$1,PL_Saisie_Estime2!$C87),"")</f>
        <v/>
      </c>
      <c r="AF87" s="204"/>
      <c r="AP87" s="1"/>
      <c r="AR87" s="257"/>
      <c r="AS87" s="183">
        <v>4010</v>
      </c>
      <c r="AT87" s="208" t="s">
        <v>491</v>
      </c>
    </row>
    <row r="88" spans="1:46" ht="21" customHeight="1" x14ac:dyDescent="0.3">
      <c r="A88" s="181"/>
      <c r="C88" s="158"/>
      <c r="D88" s="24"/>
      <c r="E88" s="268"/>
      <c r="F88" s="268"/>
      <c r="G88" s="268"/>
      <c r="H88" s="43"/>
      <c r="I88" s="130"/>
      <c r="J88" s="130"/>
      <c r="K88" s="130"/>
      <c r="L88" s="130"/>
      <c r="M88" s="130"/>
      <c r="N88" s="126"/>
      <c r="O88" s="204"/>
      <c r="P88" s="126"/>
      <c r="Q88" s="124"/>
      <c r="R88" s="192"/>
      <c r="S88" s="126"/>
      <c r="T88" s="200"/>
      <c r="U88" s="200"/>
      <c r="V88" s="200"/>
      <c r="W88" s="200"/>
      <c r="X88" s="200"/>
      <c r="Y88" s="200"/>
      <c r="Z88" s="192" t="str">
        <f ca="1">IF(Flag_Send_Data=1,_xll.DBSW(PL_Saisie_Estime2!Z88,Server&amp;Cube1,PL_Saisie_Estime2!$F$17,PL_Saisie_Estime2!$F$18,PL_Saisie_Estime2!$F$19,PL_Saisie_Estime2!$F$16,PL_Saisie_Estime2!$C$14,PL_Saisie_Estime2!$F$15,PL_Saisie_Estime2!$F$14,PL_Saisie_Estime2!$F$20,PL_Saisie_Estime2!Z$2,PL_Saisie_Estime2!Z$1,PL_Saisie_Estime2!$C88),"")</f>
        <v/>
      </c>
      <c r="AA88" s="192" t="str">
        <f ca="1">IF(Flag_Send_Data=1,_xll.DBSW(PL_Saisie_Estime2!AA88,Server&amp;Cube1,PL_Saisie_Estime2!$F$17,PL_Saisie_Estime2!$F$18,PL_Saisie_Estime2!$F$19,PL_Saisie_Estime2!$F$16,PL_Saisie_Estime2!$C$14,PL_Saisie_Estime2!$F$15,PL_Saisie_Estime2!$F$14,PL_Saisie_Estime2!$F$20,PL_Saisie_Estime2!AA$2,PL_Saisie_Estime2!AA$1,PL_Saisie_Estime2!$C88),"")</f>
        <v/>
      </c>
      <c r="AB88" s="192" t="str">
        <f ca="1">IF(Flag_Send_Data=1,_xll.DBSW(PL_Saisie_Estime2!AB88,Server&amp;Cube1,PL_Saisie_Estime2!$F$17,PL_Saisie_Estime2!$F$18,PL_Saisie_Estime2!$F$19,PL_Saisie_Estime2!$F$16,PL_Saisie_Estime2!$C$14,PL_Saisie_Estime2!$F$15,PL_Saisie_Estime2!$F$14,PL_Saisie_Estime2!$F$20,PL_Saisie_Estime2!AB$2,PL_Saisie_Estime2!AB$1,PL_Saisie_Estime2!$C88),"")</f>
        <v/>
      </c>
      <c r="AC88" s="192" t="str">
        <f ca="1">IF(Flag_Send_Data=1,_xll.DBSW(PL_Saisie_Estime2!AC88,Server&amp;Cube1,PL_Saisie_Estime2!$F$17,PL_Saisie_Estime2!$F$18,PL_Saisie_Estime2!$F$19,PL_Saisie_Estime2!$F$16,PL_Saisie_Estime2!$C$14,PL_Saisie_Estime2!$F$15,PL_Saisie_Estime2!$F$14,PL_Saisie_Estime2!$F$20,PL_Saisie_Estime2!AC$2,PL_Saisie_Estime2!AC$1,PL_Saisie_Estime2!$C88),"")</f>
        <v/>
      </c>
      <c r="AD88" s="192" t="str">
        <f ca="1">IF(Flag_Send_Data=1,_xll.DBSW(PL_Saisie_Estime2!AD88,Server&amp;Cube1,PL_Saisie_Estime2!$F$17,PL_Saisie_Estime2!$F$18,PL_Saisie_Estime2!$F$19,PL_Saisie_Estime2!$F$16,PL_Saisie_Estime2!$C$14,PL_Saisie_Estime2!$F$15,PL_Saisie_Estime2!$F$14,PL_Saisie_Estime2!$F$20,PL_Saisie_Estime2!AD$2,PL_Saisie_Estime2!AD$1,PL_Saisie_Estime2!$C88),"")</f>
        <v/>
      </c>
      <c r="AE88" s="192" t="str">
        <f ca="1">IF(Flag_Send_Data=1,_xll.DBSW(PL_Saisie_Estime2!AE88,Server&amp;Cube1,PL_Saisie_Estime2!$F$17,PL_Saisie_Estime2!$F$18,PL_Saisie_Estime2!$F$19,PL_Saisie_Estime2!$F$16,PL_Saisie_Estime2!$C$14,PL_Saisie_Estime2!$F$15,PL_Saisie_Estime2!$F$14,PL_Saisie_Estime2!$F$20,PL_Saisie_Estime2!AE$2,PL_Saisie_Estime2!AE$1,PL_Saisie_Estime2!$C88),"")</f>
        <v/>
      </c>
      <c r="AF88" s="204"/>
      <c r="AP88" s="1"/>
      <c r="AR88" s="257"/>
      <c r="AS88" s="183">
        <v>4300</v>
      </c>
      <c r="AT88" s="208" t="s">
        <v>491</v>
      </c>
    </row>
    <row r="89" spans="1:46" ht="21" customHeight="1" x14ac:dyDescent="0.3">
      <c r="A89" s="181"/>
      <c r="C89" s="158"/>
      <c r="D89" s="24"/>
      <c r="E89" s="268"/>
      <c r="F89" s="268"/>
      <c r="G89" s="268"/>
      <c r="H89" s="43"/>
      <c r="I89" s="130"/>
      <c r="J89" s="130"/>
      <c r="K89" s="130"/>
      <c r="L89" s="130"/>
      <c r="M89" s="130"/>
      <c r="N89" s="126"/>
      <c r="O89" s="204"/>
      <c r="P89" s="126"/>
      <c r="Q89" s="124"/>
      <c r="R89" s="192"/>
      <c r="S89" s="126"/>
      <c r="T89" s="200"/>
      <c r="U89" s="200"/>
      <c r="V89" s="200"/>
      <c r="W89" s="200"/>
      <c r="X89" s="200"/>
      <c r="Y89" s="200"/>
      <c r="Z89" s="192" t="str">
        <f ca="1">IF(Flag_Send_Data=1,_xll.DBSW(PL_Saisie_Estime2!Z89,Server&amp;Cube1,PL_Saisie_Estime2!$F$17,PL_Saisie_Estime2!$F$18,PL_Saisie_Estime2!$F$19,PL_Saisie_Estime2!$F$16,PL_Saisie_Estime2!$C$14,PL_Saisie_Estime2!$F$15,PL_Saisie_Estime2!$F$14,PL_Saisie_Estime2!$F$20,PL_Saisie_Estime2!Z$2,PL_Saisie_Estime2!Z$1,PL_Saisie_Estime2!$C89),"")</f>
        <v/>
      </c>
      <c r="AA89" s="192" t="str">
        <f ca="1">IF(Flag_Send_Data=1,_xll.DBSW(PL_Saisie_Estime2!AA89,Server&amp;Cube1,PL_Saisie_Estime2!$F$17,PL_Saisie_Estime2!$F$18,PL_Saisie_Estime2!$F$19,PL_Saisie_Estime2!$F$16,PL_Saisie_Estime2!$C$14,PL_Saisie_Estime2!$F$15,PL_Saisie_Estime2!$F$14,PL_Saisie_Estime2!$F$20,PL_Saisie_Estime2!AA$2,PL_Saisie_Estime2!AA$1,PL_Saisie_Estime2!$C89),"")</f>
        <v/>
      </c>
      <c r="AB89" s="192" t="str">
        <f ca="1">IF(Flag_Send_Data=1,_xll.DBSW(PL_Saisie_Estime2!AB89,Server&amp;Cube1,PL_Saisie_Estime2!$F$17,PL_Saisie_Estime2!$F$18,PL_Saisie_Estime2!$F$19,PL_Saisie_Estime2!$F$16,PL_Saisie_Estime2!$C$14,PL_Saisie_Estime2!$F$15,PL_Saisie_Estime2!$F$14,PL_Saisie_Estime2!$F$20,PL_Saisie_Estime2!AB$2,PL_Saisie_Estime2!AB$1,PL_Saisie_Estime2!$C89),"")</f>
        <v/>
      </c>
      <c r="AC89" s="192" t="str">
        <f ca="1">IF(Flag_Send_Data=1,_xll.DBSW(PL_Saisie_Estime2!AC89,Server&amp;Cube1,PL_Saisie_Estime2!$F$17,PL_Saisie_Estime2!$F$18,PL_Saisie_Estime2!$F$19,PL_Saisie_Estime2!$F$16,PL_Saisie_Estime2!$C$14,PL_Saisie_Estime2!$F$15,PL_Saisie_Estime2!$F$14,PL_Saisie_Estime2!$F$20,PL_Saisie_Estime2!AC$2,PL_Saisie_Estime2!AC$1,PL_Saisie_Estime2!$C89),"")</f>
        <v/>
      </c>
      <c r="AD89" s="192" t="str">
        <f ca="1">IF(Flag_Send_Data=1,_xll.DBSW(PL_Saisie_Estime2!AD89,Server&amp;Cube1,PL_Saisie_Estime2!$F$17,PL_Saisie_Estime2!$F$18,PL_Saisie_Estime2!$F$19,PL_Saisie_Estime2!$F$16,PL_Saisie_Estime2!$C$14,PL_Saisie_Estime2!$F$15,PL_Saisie_Estime2!$F$14,PL_Saisie_Estime2!$F$20,PL_Saisie_Estime2!AD$2,PL_Saisie_Estime2!AD$1,PL_Saisie_Estime2!$C89),"")</f>
        <v/>
      </c>
      <c r="AE89" s="192" t="str">
        <f ca="1">IF(Flag_Send_Data=1,_xll.DBSW(PL_Saisie_Estime2!AE89,Server&amp;Cube1,PL_Saisie_Estime2!$F$17,PL_Saisie_Estime2!$F$18,PL_Saisie_Estime2!$F$19,PL_Saisie_Estime2!$F$16,PL_Saisie_Estime2!$C$14,PL_Saisie_Estime2!$F$15,PL_Saisie_Estime2!$F$14,PL_Saisie_Estime2!$F$20,PL_Saisie_Estime2!AE$2,PL_Saisie_Estime2!AE$1,PL_Saisie_Estime2!$C89),"")</f>
        <v/>
      </c>
      <c r="AF89" s="204"/>
      <c r="AP89" s="1"/>
      <c r="AR89" s="257"/>
      <c r="AS89" s="183">
        <v>4800</v>
      </c>
      <c r="AT89" s="208" t="s">
        <v>491</v>
      </c>
    </row>
    <row r="90" spans="1:46" ht="21" customHeight="1" x14ac:dyDescent="0.3">
      <c r="A90" s="181"/>
      <c r="C90" s="158"/>
      <c r="D90" s="24"/>
      <c r="E90" s="268"/>
      <c r="F90" s="268"/>
      <c r="G90" s="268"/>
      <c r="H90" s="43"/>
      <c r="I90" s="130"/>
      <c r="J90" s="130"/>
      <c r="K90" s="130"/>
      <c r="L90" s="130"/>
      <c r="M90" s="130"/>
      <c r="N90" s="126"/>
      <c r="O90" s="204"/>
      <c r="P90" s="126"/>
      <c r="Q90" s="124"/>
      <c r="R90" s="192"/>
      <c r="S90" s="126"/>
      <c r="T90" s="200"/>
      <c r="U90" s="200"/>
      <c r="V90" s="200"/>
      <c r="W90" s="200"/>
      <c r="X90" s="200"/>
      <c r="Y90" s="200"/>
      <c r="Z90" s="192" t="str">
        <f ca="1">IF(Flag_Send_Data=1,_xll.DBSW(PL_Saisie_Estime2!Z90,Server&amp;Cube1,PL_Saisie_Estime2!$F$17,PL_Saisie_Estime2!$F$18,PL_Saisie_Estime2!$F$19,PL_Saisie_Estime2!$F$16,PL_Saisie_Estime2!$C$14,PL_Saisie_Estime2!$F$15,PL_Saisie_Estime2!$F$14,PL_Saisie_Estime2!$F$20,PL_Saisie_Estime2!Z$2,PL_Saisie_Estime2!Z$1,PL_Saisie_Estime2!$C90),"")</f>
        <v/>
      </c>
      <c r="AA90" s="192" t="str">
        <f ca="1">IF(Flag_Send_Data=1,_xll.DBSW(PL_Saisie_Estime2!AA90,Server&amp;Cube1,PL_Saisie_Estime2!$F$17,PL_Saisie_Estime2!$F$18,PL_Saisie_Estime2!$F$19,PL_Saisie_Estime2!$F$16,PL_Saisie_Estime2!$C$14,PL_Saisie_Estime2!$F$15,PL_Saisie_Estime2!$F$14,PL_Saisie_Estime2!$F$20,PL_Saisie_Estime2!AA$2,PL_Saisie_Estime2!AA$1,PL_Saisie_Estime2!$C90),"")</f>
        <v/>
      </c>
      <c r="AB90" s="192" t="str">
        <f ca="1">IF(Flag_Send_Data=1,_xll.DBSW(PL_Saisie_Estime2!AB90,Server&amp;Cube1,PL_Saisie_Estime2!$F$17,PL_Saisie_Estime2!$F$18,PL_Saisie_Estime2!$F$19,PL_Saisie_Estime2!$F$16,PL_Saisie_Estime2!$C$14,PL_Saisie_Estime2!$F$15,PL_Saisie_Estime2!$F$14,PL_Saisie_Estime2!$F$20,PL_Saisie_Estime2!AB$2,PL_Saisie_Estime2!AB$1,PL_Saisie_Estime2!$C90),"")</f>
        <v/>
      </c>
      <c r="AC90" s="192" t="str">
        <f ca="1">IF(Flag_Send_Data=1,_xll.DBSW(PL_Saisie_Estime2!AC90,Server&amp;Cube1,PL_Saisie_Estime2!$F$17,PL_Saisie_Estime2!$F$18,PL_Saisie_Estime2!$F$19,PL_Saisie_Estime2!$F$16,PL_Saisie_Estime2!$C$14,PL_Saisie_Estime2!$F$15,PL_Saisie_Estime2!$F$14,PL_Saisie_Estime2!$F$20,PL_Saisie_Estime2!AC$2,PL_Saisie_Estime2!AC$1,PL_Saisie_Estime2!$C90),"")</f>
        <v/>
      </c>
      <c r="AD90" s="192" t="str">
        <f ca="1">IF(Flag_Send_Data=1,_xll.DBSW(PL_Saisie_Estime2!AD90,Server&amp;Cube1,PL_Saisie_Estime2!$F$17,PL_Saisie_Estime2!$F$18,PL_Saisie_Estime2!$F$19,PL_Saisie_Estime2!$F$16,PL_Saisie_Estime2!$C$14,PL_Saisie_Estime2!$F$15,PL_Saisie_Estime2!$F$14,PL_Saisie_Estime2!$F$20,PL_Saisie_Estime2!AD$2,PL_Saisie_Estime2!AD$1,PL_Saisie_Estime2!$C90),"")</f>
        <v/>
      </c>
      <c r="AE90" s="192" t="str">
        <f ca="1">IF(Flag_Send_Data=1,_xll.DBSW(PL_Saisie_Estime2!AE90,Server&amp;Cube1,PL_Saisie_Estime2!$F$17,PL_Saisie_Estime2!$F$18,PL_Saisie_Estime2!$F$19,PL_Saisie_Estime2!$F$16,PL_Saisie_Estime2!$C$14,PL_Saisie_Estime2!$F$15,PL_Saisie_Estime2!$F$14,PL_Saisie_Estime2!$F$20,PL_Saisie_Estime2!AE$2,PL_Saisie_Estime2!AE$1,PL_Saisie_Estime2!$C90),"")</f>
        <v/>
      </c>
      <c r="AF90" s="204"/>
      <c r="AP90" s="1"/>
      <c r="AR90" s="257"/>
      <c r="AS90" s="183">
        <v>4900</v>
      </c>
      <c r="AT90" s="208" t="s">
        <v>491</v>
      </c>
    </row>
    <row r="91" spans="1:46" ht="24" collapsed="1" thickBot="1" x14ac:dyDescent="0.35">
      <c r="A91" s="181"/>
      <c r="C91" s="117"/>
      <c r="D91" s="24"/>
      <c r="E91" s="270"/>
      <c r="F91" s="270"/>
      <c r="G91" s="270"/>
      <c r="H91" s="43"/>
      <c r="I91" s="130"/>
      <c r="J91" s="130"/>
      <c r="K91" s="130"/>
      <c r="L91" s="130"/>
      <c r="M91" s="130"/>
      <c r="N91" s="125"/>
      <c r="O91" s="125"/>
      <c r="P91" s="125"/>
      <c r="Q91" s="124"/>
      <c r="R91" s="125"/>
      <c r="S91" s="125"/>
      <c r="T91" s="201"/>
      <c r="U91" s="201"/>
      <c r="V91" s="201"/>
      <c r="W91" s="201"/>
      <c r="X91" s="125"/>
      <c r="Y91" s="125"/>
      <c r="Z91" s="125"/>
      <c r="AA91" s="125"/>
      <c r="AB91" s="125"/>
      <c r="AC91" s="125"/>
      <c r="AD91" s="125"/>
      <c r="AE91" s="125"/>
      <c r="AF91" s="125"/>
      <c r="AP91" s="1"/>
      <c r="AR91" s="256"/>
      <c r="AS91" s="187">
        <v>660</v>
      </c>
      <c r="AT91" s="209" t="s">
        <v>491</v>
      </c>
    </row>
    <row r="92" spans="1:46" ht="23.25" x14ac:dyDescent="0.3">
      <c r="A92" s="181"/>
      <c r="C92" s="158"/>
      <c r="D92" s="24"/>
      <c r="E92" s="268"/>
      <c r="F92" s="268"/>
      <c r="G92" s="268"/>
      <c r="H92" s="43"/>
      <c r="I92" s="130"/>
      <c r="J92" s="130"/>
      <c r="K92" s="130"/>
      <c r="L92" s="130"/>
      <c r="M92" s="130"/>
      <c r="N92" s="126"/>
      <c r="O92" s="204"/>
      <c r="P92" s="126"/>
      <c r="Q92" s="124"/>
      <c r="R92" s="192"/>
      <c r="S92" s="126"/>
      <c r="T92" s="200"/>
      <c r="U92" s="200"/>
      <c r="V92" s="200"/>
      <c r="W92" s="200"/>
      <c r="X92" s="200"/>
      <c r="Y92" s="200"/>
      <c r="Z92" s="192" t="str">
        <f ca="1">IF(Flag_Send_Data=1,_xll.DBSW(PL_Saisie_Estime2!Z92,Server&amp;Cube1,PL_Saisie_Estime2!$F$17,PL_Saisie_Estime2!$F$18,PL_Saisie_Estime2!$F$19,PL_Saisie_Estime2!$F$16,PL_Saisie_Estime2!$C$14,PL_Saisie_Estime2!$F$15,PL_Saisie_Estime2!$F$14,PL_Saisie_Estime2!$F$20,PL_Saisie_Estime2!Z$2,PL_Saisie_Estime2!Z$1,PL_Saisie_Estime2!$C92),"")</f>
        <v/>
      </c>
      <c r="AA92" s="192" t="str">
        <f ca="1">IF(Flag_Send_Data=1,_xll.DBSW(PL_Saisie_Estime2!AA92,Server&amp;Cube1,PL_Saisie_Estime2!$F$17,PL_Saisie_Estime2!$F$18,PL_Saisie_Estime2!$F$19,PL_Saisie_Estime2!$F$16,PL_Saisie_Estime2!$C$14,PL_Saisie_Estime2!$F$15,PL_Saisie_Estime2!$F$14,PL_Saisie_Estime2!$F$20,PL_Saisie_Estime2!AA$2,PL_Saisie_Estime2!AA$1,PL_Saisie_Estime2!$C92),"")</f>
        <v/>
      </c>
      <c r="AB92" s="192" t="str">
        <f ca="1">IF(Flag_Send_Data=1,_xll.DBSW(PL_Saisie_Estime2!AB92,Server&amp;Cube1,PL_Saisie_Estime2!$F$17,PL_Saisie_Estime2!$F$18,PL_Saisie_Estime2!$F$19,PL_Saisie_Estime2!$F$16,PL_Saisie_Estime2!$C$14,PL_Saisie_Estime2!$F$15,PL_Saisie_Estime2!$F$14,PL_Saisie_Estime2!$F$20,PL_Saisie_Estime2!AB$2,PL_Saisie_Estime2!AB$1,PL_Saisie_Estime2!$C92),"")</f>
        <v/>
      </c>
      <c r="AC92" s="192" t="str">
        <f ca="1">IF(Flag_Send_Data=1,_xll.DBSW(PL_Saisie_Estime2!AC92,Server&amp;Cube1,PL_Saisie_Estime2!$F$17,PL_Saisie_Estime2!$F$18,PL_Saisie_Estime2!$F$19,PL_Saisie_Estime2!$F$16,PL_Saisie_Estime2!$C$14,PL_Saisie_Estime2!$F$15,PL_Saisie_Estime2!$F$14,PL_Saisie_Estime2!$F$20,PL_Saisie_Estime2!AC$2,PL_Saisie_Estime2!AC$1,PL_Saisie_Estime2!$C92),"")</f>
        <v/>
      </c>
      <c r="AD92" s="192" t="str">
        <f ca="1">IF(Flag_Send_Data=1,_xll.DBSW(PL_Saisie_Estime2!AD92,Server&amp;Cube1,PL_Saisie_Estime2!$F$17,PL_Saisie_Estime2!$F$18,PL_Saisie_Estime2!$F$19,PL_Saisie_Estime2!$F$16,PL_Saisie_Estime2!$C$14,PL_Saisie_Estime2!$F$15,PL_Saisie_Estime2!$F$14,PL_Saisie_Estime2!$F$20,PL_Saisie_Estime2!AD$2,PL_Saisie_Estime2!AD$1,PL_Saisie_Estime2!$C92),"")</f>
        <v/>
      </c>
      <c r="AE92" s="192" t="str">
        <f ca="1">IF(Flag_Send_Data=1,_xll.DBSW(PL_Saisie_Estime2!AE92,Server&amp;Cube1,PL_Saisie_Estime2!$F$17,PL_Saisie_Estime2!$F$18,PL_Saisie_Estime2!$F$19,PL_Saisie_Estime2!$F$16,PL_Saisie_Estime2!$C$14,PL_Saisie_Estime2!$F$15,PL_Saisie_Estime2!$F$14,PL_Saisie_Estime2!$F$20,PL_Saisie_Estime2!AE$2,PL_Saisie_Estime2!AE$1,PL_Saisie_Estime2!$C92),"")</f>
        <v/>
      </c>
      <c r="AF92" s="204"/>
      <c r="AP92" s="1"/>
      <c r="AR92" s="255" t="s">
        <v>479</v>
      </c>
      <c r="AS92" s="168">
        <v>1010</v>
      </c>
      <c r="AT92" s="207" t="s">
        <v>487</v>
      </c>
    </row>
    <row r="93" spans="1:46" ht="23.25" x14ac:dyDescent="0.3">
      <c r="A93" s="181"/>
      <c r="C93" s="158"/>
      <c r="D93" s="24"/>
      <c r="E93" s="268"/>
      <c r="F93" s="268"/>
      <c r="G93" s="268"/>
      <c r="H93" s="43"/>
      <c r="I93" s="130"/>
      <c r="J93" s="130"/>
      <c r="K93" s="130"/>
      <c r="L93" s="130"/>
      <c r="M93" s="130"/>
      <c r="N93" s="126"/>
      <c r="O93" s="204"/>
      <c r="P93" s="126"/>
      <c r="Q93" s="124"/>
      <c r="R93" s="192"/>
      <c r="S93" s="126"/>
      <c r="T93" s="200"/>
      <c r="U93" s="200"/>
      <c r="V93" s="200"/>
      <c r="W93" s="200"/>
      <c r="X93" s="200"/>
      <c r="Y93" s="200"/>
      <c r="Z93" s="192" t="str">
        <f ca="1">IF(Flag_Send_Data=1,_xll.DBSW(PL_Saisie_Estime2!Z93,Server&amp;Cube1,PL_Saisie_Estime2!$F$17,PL_Saisie_Estime2!$F$18,PL_Saisie_Estime2!$F$19,PL_Saisie_Estime2!$F$16,PL_Saisie_Estime2!$C$14,PL_Saisie_Estime2!$F$15,PL_Saisie_Estime2!$F$14,PL_Saisie_Estime2!$F$20,PL_Saisie_Estime2!Z$2,PL_Saisie_Estime2!Z$1,PL_Saisie_Estime2!$C93),"")</f>
        <v/>
      </c>
      <c r="AA93" s="192" t="str">
        <f ca="1">IF(Flag_Send_Data=1,_xll.DBSW(PL_Saisie_Estime2!AA93,Server&amp;Cube1,PL_Saisie_Estime2!$F$17,PL_Saisie_Estime2!$F$18,PL_Saisie_Estime2!$F$19,PL_Saisie_Estime2!$F$16,PL_Saisie_Estime2!$C$14,PL_Saisie_Estime2!$F$15,PL_Saisie_Estime2!$F$14,PL_Saisie_Estime2!$F$20,PL_Saisie_Estime2!AA$2,PL_Saisie_Estime2!AA$1,PL_Saisie_Estime2!$C93),"")</f>
        <v/>
      </c>
      <c r="AB93" s="192" t="str">
        <f ca="1">IF(Flag_Send_Data=1,_xll.DBSW(PL_Saisie_Estime2!AB93,Server&amp;Cube1,PL_Saisie_Estime2!$F$17,PL_Saisie_Estime2!$F$18,PL_Saisie_Estime2!$F$19,PL_Saisie_Estime2!$F$16,PL_Saisie_Estime2!$C$14,PL_Saisie_Estime2!$F$15,PL_Saisie_Estime2!$F$14,PL_Saisie_Estime2!$F$20,PL_Saisie_Estime2!AB$2,PL_Saisie_Estime2!AB$1,PL_Saisie_Estime2!$C93),"")</f>
        <v/>
      </c>
      <c r="AC93" s="192" t="str">
        <f ca="1">IF(Flag_Send_Data=1,_xll.DBSW(PL_Saisie_Estime2!AC93,Server&amp;Cube1,PL_Saisie_Estime2!$F$17,PL_Saisie_Estime2!$F$18,PL_Saisie_Estime2!$F$19,PL_Saisie_Estime2!$F$16,PL_Saisie_Estime2!$C$14,PL_Saisie_Estime2!$F$15,PL_Saisie_Estime2!$F$14,PL_Saisie_Estime2!$F$20,PL_Saisie_Estime2!AC$2,PL_Saisie_Estime2!AC$1,PL_Saisie_Estime2!$C93),"")</f>
        <v/>
      </c>
      <c r="AD93" s="192" t="str">
        <f ca="1">IF(Flag_Send_Data=1,_xll.DBSW(PL_Saisie_Estime2!AD93,Server&amp;Cube1,PL_Saisie_Estime2!$F$17,PL_Saisie_Estime2!$F$18,PL_Saisie_Estime2!$F$19,PL_Saisie_Estime2!$F$16,PL_Saisie_Estime2!$C$14,PL_Saisie_Estime2!$F$15,PL_Saisie_Estime2!$F$14,PL_Saisie_Estime2!$F$20,PL_Saisie_Estime2!AD$2,PL_Saisie_Estime2!AD$1,PL_Saisie_Estime2!$C93),"")</f>
        <v/>
      </c>
      <c r="AE93" s="192" t="str">
        <f ca="1">IF(Flag_Send_Data=1,_xll.DBSW(PL_Saisie_Estime2!AE93,Server&amp;Cube1,PL_Saisie_Estime2!$F$17,PL_Saisie_Estime2!$F$18,PL_Saisie_Estime2!$F$19,PL_Saisie_Estime2!$F$16,PL_Saisie_Estime2!$C$14,PL_Saisie_Estime2!$F$15,PL_Saisie_Estime2!$F$14,PL_Saisie_Estime2!$F$20,PL_Saisie_Estime2!AE$2,PL_Saisie_Estime2!AE$1,PL_Saisie_Estime2!$C93),"")</f>
        <v/>
      </c>
      <c r="AF93" s="204"/>
      <c r="AP93" s="1"/>
      <c r="AR93" s="257"/>
      <c r="AS93" s="169">
        <v>1020</v>
      </c>
      <c r="AT93" s="208" t="s">
        <v>487</v>
      </c>
    </row>
    <row r="94" spans="1:46" ht="24" thickBot="1" x14ac:dyDescent="0.35">
      <c r="A94" s="181"/>
      <c r="C94" s="158"/>
      <c r="D94" s="24"/>
      <c r="E94" s="268"/>
      <c r="F94" s="268"/>
      <c r="G94" s="268"/>
      <c r="H94" s="43"/>
      <c r="I94" s="130"/>
      <c r="J94" s="130"/>
      <c r="K94" s="130"/>
      <c r="L94" s="130"/>
      <c r="M94" s="130"/>
      <c r="N94" s="126"/>
      <c r="O94" s="204"/>
      <c r="P94" s="126"/>
      <c r="Q94" s="124"/>
      <c r="R94" s="192"/>
      <c r="S94" s="126"/>
      <c r="T94" s="200"/>
      <c r="U94" s="200"/>
      <c r="V94" s="200"/>
      <c r="W94" s="200"/>
      <c r="X94" s="200"/>
      <c r="Y94" s="200"/>
      <c r="Z94" s="192" t="str">
        <f ca="1">IF(Flag_Send_Data=1,_xll.DBSW(PL_Saisie_Estime2!Z94,Server&amp;Cube1,PL_Saisie_Estime2!$F$17,PL_Saisie_Estime2!$F$18,PL_Saisie_Estime2!$F$19,PL_Saisie_Estime2!$F$16,PL_Saisie_Estime2!$C$14,PL_Saisie_Estime2!$F$15,PL_Saisie_Estime2!$F$14,PL_Saisie_Estime2!$F$20,PL_Saisie_Estime2!Z$2,PL_Saisie_Estime2!Z$1,PL_Saisie_Estime2!$C94),"")</f>
        <v/>
      </c>
      <c r="AA94" s="192" t="str">
        <f ca="1">IF(Flag_Send_Data=1,_xll.DBSW(PL_Saisie_Estime2!AA94,Server&amp;Cube1,PL_Saisie_Estime2!$F$17,PL_Saisie_Estime2!$F$18,PL_Saisie_Estime2!$F$19,PL_Saisie_Estime2!$F$16,PL_Saisie_Estime2!$C$14,PL_Saisie_Estime2!$F$15,PL_Saisie_Estime2!$F$14,PL_Saisie_Estime2!$F$20,PL_Saisie_Estime2!AA$2,PL_Saisie_Estime2!AA$1,PL_Saisie_Estime2!$C94),"")</f>
        <v/>
      </c>
      <c r="AB94" s="192" t="str">
        <f ca="1">IF(Flag_Send_Data=1,_xll.DBSW(PL_Saisie_Estime2!AB94,Server&amp;Cube1,PL_Saisie_Estime2!$F$17,PL_Saisie_Estime2!$F$18,PL_Saisie_Estime2!$F$19,PL_Saisie_Estime2!$F$16,PL_Saisie_Estime2!$C$14,PL_Saisie_Estime2!$F$15,PL_Saisie_Estime2!$F$14,PL_Saisie_Estime2!$F$20,PL_Saisie_Estime2!AB$2,PL_Saisie_Estime2!AB$1,PL_Saisie_Estime2!$C94),"")</f>
        <v/>
      </c>
      <c r="AC94" s="192" t="str">
        <f ca="1">IF(Flag_Send_Data=1,_xll.DBSW(PL_Saisie_Estime2!AC94,Server&amp;Cube1,PL_Saisie_Estime2!$F$17,PL_Saisie_Estime2!$F$18,PL_Saisie_Estime2!$F$19,PL_Saisie_Estime2!$F$16,PL_Saisie_Estime2!$C$14,PL_Saisie_Estime2!$F$15,PL_Saisie_Estime2!$F$14,PL_Saisie_Estime2!$F$20,PL_Saisie_Estime2!AC$2,PL_Saisie_Estime2!AC$1,PL_Saisie_Estime2!$C94),"")</f>
        <v/>
      </c>
      <c r="AD94" s="192" t="str">
        <f ca="1">IF(Flag_Send_Data=1,_xll.DBSW(PL_Saisie_Estime2!AD94,Server&amp;Cube1,PL_Saisie_Estime2!$F$17,PL_Saisie_Estime2!$F$18,PL_Saisie_Estime2!$F$19,PL_Saisie_Estime2!$F$16,PL_Saisie_Estime2!$C$14,PL_Saisie_Estime2!$F$15,PL_Saisie_Estime2!$F$14,PL_Saisie_Estime2!$F$20,PL_Saisie_Estime2!AD$2,PL_Saisie_Estime2!AD$1,PL_Saisie_Estime2!$C94),"")</f>
        <v/>
      </c>
      <c r="AE94" s="192" t="str">
        <f ca="1">IF(Flag_Send_Data=1,_xll.DBSW(PL_Saisie_Estime2!AE94,Server&amp;Cube1,PL_Saisie_Estime2!$F$17,PL_Saisie_Estime2!$F$18,PL_Saisie_Estime2!$F$19,PL_Saisie_Estime2!$F$16,PL_Saisie_Estime2!$C$14,PL_Saisie_Estime2!$F$15,PL_Saisie_Estime2!$F$14,PL_Saisie_Estime2!$F$20,PL_Saisie_Estime2!AE$2,PL_Saisie_Estime2!AE$1,PL_Saisie_Estime2!$C94),"")</f>
        <v/>
      </c>
      <c r="AF94" s="204"/>
      <c r="AP94" s="1"/>
      <c r="AR94" s="256"/>
      <c r="AS94" s="170">
        <v>1030</v>
      </c>
      <c r="AT94" s="209" t="s">
        <v>487</v>
      </c>
    </row>
    <row r="95" spans="1:46" ht="23.25" x14ac:dyDescent="0.3">
      <c r="A95" s="181"/>
      <c r="C95" s="158"/>
      <c r="D95" s="24"/>
      <c r="E95" s="268"/>
      <c r="F95" s="268"/>
      <c r="G95" s="268"/>
      <c r="H95" s="43"/>
      <c r="I95" s="130"/>
      <c r="J95" s="130"/>
      <c r="K95" s="130"/>
      <c r="L95" s="130"/>
      <c r="M95" s="130"/>
      <c r="N95" s="126"/>
      <c r="O95" s="204"/>
      <c r="P95" s="126"/>
      <c r="Q95" s="124"/>
      <c r="R95" s="192"/>
      <c r="S95" s="126"/>
      <c r="T95" s="200"/>
      <c r="U95" s="200"/>
      <c r="V95" s="200"/>
      <c r="W95" s="200"/>
      <c r="X95" s="200"/>
      <c r="Y95" s="200"/>
      <c r="Z95" s="192" t="str">
        <f ca="1">IF(Flag_Send_Data=1,_xll.DBSW(PL_Saisie_Estime2!Z95,Server&amp;Cube1,PL_Saisie_Estime2!$F$17,PL_Saisie_Estime2!$F$18,PL_Saisie_Estime2!$F$19,PL_Saisie_Estime2!$F$16,PL_Saisie_Estime2!$C$14,PL_Saisie_Estime2!$F$15,PL_Saisie_Estime2!$F$14,PL_Saisie_Estime2!$F$20,PL_Saisie_Estime2!Z$2,PL_Saisie_Estime2!Z$1,PL_Saisie_Estime2!$C95),"")</f>
        <v/>
      </c>
      <c r="AA95" s="192" t="str">
        <f ca="1">IF(Flag_Send_Data=1,_xll.DBSW(PL_Saisie_Estime2!AA95,Server&amp;Cube1,PL_Saisie_Estime2!$F$17,PL_Saisie_Estime2!$F$18,PL_Saisie_Estime2!$F$19,PL_Saisie_Estime2!$F$16,PL_Saisie_Estime2!$C$14,PL_Saisie_Estime2!$F$15,PL_Saisie_Estime2!$F$14,PL_Saisie_Estime2!$F$20,PL_Saisie_Estime2!AA$2,PL_Saisie_Estime2!AA$1,PL_Saisie_Estime2!$C95),"")</f>
        <v/>
      </c>
      <c r="AB95" s="192" t="str">
        <f ca="1">IF(Flag_Send_Data=1,_xll.DBSW(PL_Saisie_Estime2!AB95,Server&amp;Cube1,PL_Saisie_Estime2!$F$17,PL_Saisie_Estime2!$F$18,PL_Saisie_Estime2!$F$19,PL_Saisie_Estime2!$F$16,PL_Saisie_Estime2!$C$14,PL_Saisie_Estime2!$F$15,PL_Saisie_Estime2!$F$14,PL_Saisie_Estime2!$F$20,PL_Saisie_Estime2!AB$2,PL_Saisie_Estime2!AB$1,PL_Saisie_Estime2!$C95),"")</f>
        <v/>
      </c>
      <c r="AC95" s="192" t="str">
        <f ca="1">IF(Flag_Send_Data=1,_xll.DBSW(PL_Saisie_Estime2!AC95,Server&amp;Cube1,PL_Saisie_Estime2!$F$17,PL_Saisie_Estime2!$F$18,PL_Saisie_Estime2!$F$19,PL_Saisie_Estime2!$F$16,PL_Saisie_Estime2!$C$14,PL_Saisie_Estime2!$F$15,PL_Saisie_Estime2!$F$14,PL_Saisie_Estime2!$F$20,PL_Saisie_Estime2!AC$2,PL_Saisie_Estime2!AC$1,PL_Saisie_Estime2!$C95),"")</f>
        <v/>
      </c>
      <c r="AD95" s="192" t="str">
        <f ca="1">IF(Flag_Send_Data=1,_xll.DBSW(PL_Saisie_Estime2!AD95,Server&amp;Cube1,PL_Saisie_Estime2!$F$17,PL_Saisie_Estime2!$F$18,PL_Saisie_Estime2!$F$19,PL_Saisie_Estime2!$F$16,PL_Saisie_Estime2!$C$14,PL_Saisie_Estime2!$F$15,PL_Saisie_Estime2!$F$14,PL_Saisie_Estime2!$F$20,PL_Saisie_Estime2!AD$2,PL_Saisie_Estime2!AD$1,PL_Saisie_Estime2!$C95),"")</f>
        <v/>
      </c>
      <c r="AE95" s="192" t="str">
        <f ca="1">IF(Flag_Send_Data=1,_xll.DBSW(PL_Saisie_Estime2!AE95,Server&amp;Cube1,PL_Saisie_Estime2!$F$17,PL_Saisie_Estime2!$F$18,PL_Saisie_Estime2!$F$19,PL_Saisie_Estime2!$F$16,PL_Saisie_Estime2!$C$14,PL_Saisie_Estime2!$F$15,PL_Saisie_Estime2!$F$14,PL_Saisie_Estime2!$F$20,PL_Saisie_Estime2!AE$2,PL_Saisie_Estime2!AE$1,PL_Saisie_Estime2!$C95),"")</f>
        <v/>
      </c>
      <c r="AF95" s="204"/>
      <c r="AP95" s="1"/>
      <c r="AR95" s="255" t="s">
        <v>484</v>
      </c>
      <c r="AS95" s="168">
        <v>400</v>
      </c>
      <c r="AT95" s="207" t="s">
        <v>484</v>
      </c>
    </row>
    <row r="96" spans="1:46" ht="23.25" x14ac:dyDescent="0.3">
      <c r="A96" s="181"/>
      <c r="C96" s="158"/>
      <c r="D96" s="24"/>
      <c r="E96" s="268"/>
      <c r="F96" s="268"/>
      <c r="G96" s="268"/>
      <c r="H96" s="43"/>
      <c r="I96" s="130"/>
      <c r="J96" s="130"/>
      <c r="K96" s="130"/>
      <c r="L96" s="130"/>
      <c r="M96" s="130"/>
      <c r="N96" s="126"/>
      <c r="O96" s="204"/>
      <c r="P96" s="126"/>
      <c r="Q96" s="124"/>
      <c r="R96" s="192"/>
      <c r="S96" s="126"/>
      <c r="T96" s="200"/>
      <c r="U96" s="200"/>
      <c r="V96" s="200"/>
      <c r="W96" s="200"/>
      <c r="X96" s="200"/>
      <c r="Y96" s="200"/>
      <c r="Z96" s="192" t="str">
        <f ca="1">IF(Flag_Send_Data=1,_xll.DBSW(PL_Saisie_Estime2!Z96,Server&amp;Cube1,PL_Saisie_Estime2!$F$17,PL_Saisie_Estime2!$F$18,PL_Saisie_Estime2!$F$19,PL_Saisie_Estime2!$F$16,PL_Saisie_Estime2!$C$14,PL_Saisie_Estime2!$F$15,PL_Saisie_Estime2!$F$14,PL_Saisie_Estime2!$F$20,PL_Saisie_Estime2!Z$2,PL_Saisie_Estime2!Z$1,PL_Saisie_Estime2!$C96),"")</f>
        <v/>
      </c>
      <c r="AA96" s="192" t="str">
        <f ca="1">IF(Flag_Send_Data=1,_xll.DBSW(PL_Saisie_Estime2!AA96,Server&amp;Cube1,PL_Saisie_Estime2!$F$17,PL_Saisie_Estime2!$F$18,PL_Saisie_Estime2!$F$19,PL_Saisie_Estime2!$F$16,PL_Saisie_Estime2!$C$14,PL_Saisie_Estime2!$F$15,PL_Saisie_Estime2!$F$14,PL_Saisie_Estime2!$F$20,PL_Saisie_Estime2!AA$2,PL_Saisie_Estime2!AA$1,PL_Saisie_Estime2!$C96),"")</f>
        <v/>
      </c>
      <c r="AB96" s="192" t="str">
        <f ca="1">IF(Flag_Send_Data=1,_xll.DBSW(PL_Saisie_Estime2!AB96,Server&amp;Cube1,PL_Saisie_Estime2!$F$17,PL_Saisie_Estime2!$F$18,PL_Saisie_Estime2!$F$19,PL_Saisie_Estime2!$F$16,PL_Saisie_Estime2!$C$14,PL_Saisie_Estime2!$F$15,PL_Saisie_Estime2!$F$14,PL_Saisie_Estime2!$F$20,PL_Saisie_Estime2!AB$2,PL_Saisie_Estime2!AB$1,PL_Saisie_Estime2!$C96),"")</f>
        <v/>
      </c>
      <c r="AC96" s="192" t="str">
        <f ca="1">IF(Flag_Send_Data=1,_xll.DBSW(PL_Saisie_Estime2!AC96,Server&amp;Cube1,PL_Saisie_Estime2!$F$17,PL_Saisie_Estime2!$F$18,PL_Saisie_Estime2!$F$19,PL_Saisie_Estime2!$F$16,PL_Saisie_Estime2!$C$14,PL_Saisie_Estime2!$F$15,PL_Saisie_Estime2!$F$14,PL_Saisie_Estime2!$F$20,PL_Saisie_Estime2!AC$2,PL_Saisie_Estime2!AC$1,PL_Saisie_Estime2!$C96),"")</f>
        <v/>
      </c>
      <c r="AD96" s="192" t="str">
        <f ca="1">IF(Flag_Send_Data=1,_xll.DBSW(PL_Saisie_Estime2!AD96,Server&amp;Cube1,PL_Saisie_Estime2!$F$17,PL_Saisie_Estime2!$F$18,PL_Saisie_Estime2!$F$19,PL_Saisie_Estime2!$F$16,PL_Saisie_Estime2!$C$14,PL_Saisie_Estime2!$F$15,PL_Saisie_Estime2!$F$14,PL_Saisie_Estime2!$F$20,PL_Saisie_Estime2!AD$2,PL_Saisie_Estime2!AD$1,PL_Saisie_Estime2!$C96),"")</f>
        <v/>
      </c>
      <c r="AE96" s="192" t="str">
        <f ca="1">IF(Flag_Send_Data=1,_xll.DBSW(PL_Saisie_Estime2!AE96,Server&amp;Cube1,PL_Saisie_Estime2!$F$17,PL_Saisie_Estime2!$F$18,PL_Saisie_Estime2!$F$19,PL_Saisie_Estime2!$F$16,PL_Saisie_Estime2!$C$14,PL_Saisie_Estime2!$F$15,PL_Saisie_Estime2!$F$14,PL_Saisie_Estime2!$F$20,PL_Saisie_Estime2!AE$2,PL_Saisie_Estime2!AE$1,PL_Saisie_Estime2!$C96),"")</f>
        <v/>
      </c>
      <c r="AF96" s="204"/>
      <c r="AP96" s="1"/>
      <c r="AR96" s="257"/>
      <c r="AS96" s="169">
        <v>500</v>
      </c>
      <c r="AT96" s="208" t="s">
        <v>484</v>
      </c>
    </row>
    <row r="97" spans="1:53" ht="23.25" x14ac:dyDescent="0.3">
      <c r="A97" s="181"/>
      <c r="C97" s="158"/>
      <c r="D97" s="24"/>
      <c r="E97" s="268"/>
      <c r="F97" s="268"/>
      <c r="G97" s="268"/>
      <c r="H97" s="43"/>
      <c r="I97" s="130"/>
      <c r="J97" s="130"/>
      <c r="K97" s="130"/>
      <c r="L97" s="130"/>
      <c r="M97" s="130"/>
      <c r="N97" s="126"/>
      <c r="O97" s="204"/>
      <c r="P97" s="126"/>
      <c r="Q97" s="124"/>
      <c r="R97" s="192"/>
      <c r="S97" s="126"/>
      <c r="T97" s="200"/>
      <c r="U97" s="200"/>
      <c r="V97" s="200"/>
      <c r="W97" s="200"/>
      <c r="X97" s="200"/>
      <c r="Y97" s="200"/>
      <c r="Z97" s="192" t="str">
        <f ca="1">IF(Flag_Send_Data=1,_xll.DBSW(PL_Saisie_Estime2!Z97,Server&amp;Cube1,PL_Saisie_Estime2!$F$17,PL_Saisie_Estime2!$F$18,PL_Saisie_Estime2!$F$19,PL_Saisie_Estime2!$F$16,PL_Saisie_Estime2!$C$14,PL_Saisie_Estime2!$F$15,PL_Saisie_Estime2!$F$14,PL_Saisie_Estime2!$F$20,PL_Saisie_Estime2!Z$2,PL_Saisie_Estime2!Z$1,PL_Saisie_Estime2!$C97),"")</f>
        <v/>
      </c>
      <c r="AA97" s="192" t="str">
        <f ca="1">IF(Flag_Send_Data=1,_xll.DBSW(PL_Saisie_Estime2!AA97,Server&amp;Cube1,PL_Saisie_Estime2!$F$17,PL_Saisie_Estime2!$F$18,PL_Saisie_Estime2!$F$19,PL_Saisie_Estime2!$F$16,PL_Saisie_Estime2!$C$14,PL_Saisie_Estime2!$F$15,PL_Saisie_Estime2!$F$14,PL_Saisie_Estime2!$F$20,PL_Saisie_Estime2!AA$2,PL_Saisie_Estime2!AA$1,PL_Saisie_Estime2!$C97),"")</f>
        <v/>
      </c>
      <c r="AB97" s="192" t="str">
        <f ca="1">IF(Flag_Send_Data=1,_xll.DBSW(PL_Saisie_Estime2!AB97,Server&amp;Cube1,PL_Saisie_Estime2!$F$17,PL_Saisie_Estime2!$F$18,PL_Saisie_Estime2!$F$19,PL_Saisie_Estime2!$F$16,PL_Saisie_Estime2!$C$14,PL_Saisie_Estime2!$F$15,PL_Saisie_Estime2!$F$14,PL_Saisie_Estime2!$F$20,PL_Saisie_Estime2!AB$2,PL_Saisie_Estime2!AB$1,PL_Saisie_Estime2!$C97),"")</f>
        <v/>
      </c>
      <c r="AC97" s="192" t="str">
        <f ca="1">IF(Flag_Send_Data=1,_xll.DBSW(PL_Saisie_Estime2!AC97,Server&amp;Cube1,PL_Saisie_Estime2!$F$17,PL_Saisie_Estime2!$F$18,PL_Saisie_Estime2!$F$19,PL_Saisie_Estime2!$F$16,PL_Saisie_Estime2!$C$14,PL_Saisie_Estime2!$F$15,PL_Saisie_Estime2!$F$14,PL_Saisie_Estime2!$F$20,PL_Saisie_Estime2!AC$2,PL_Saisie_Estime2!AC$1,PL_Saisie_Estime2!$C97),"")</f>
        <v/>
      </c>
      <c r="AD97" s="192" t="str">
        <f ca="1">IF(Flag_Send_Data=1,_xll.DBSW(PL_Saisie_Estime2!AD97,Server&amp;Cube1,PL_Saisie_Estime2!$F$17,PL_Saisie_Estime2!$F$18,PL_Saisie_Estime2!$F$19,PL_Saisie_Estime2!$F$16,PL_Saisie_Estime2!$C$14,PL_Saisie_Estime2!$F$15,PL_Saisie_Estime2!$F$14,PL_Saisie_Estime2!$F$20,PL_Saisie_Estime2!AD$2,PL_Saisie_Estime2!AD$1,PL_Saisie_Estime2!$C97),"")</f>
        <v/>
      </c>
      <c r="AE97" s="192" t="str">
        <f ca="1">IF(Flag_Send_Data=1,_xll.DBSW(PL_Saisie_Estime2!AE97,Server&amp;Cube1,PL_Saisie_Estime2!$F$17,PL_Saisie_Estime2!$F$18,PL_Saisie_Estime2!$F$19,PL_Saisie_Estime2!$F$16,PL_Saisie_Estime2!$C$14,PL_Saisie_Estime2!$F$15,PL_Saisie_Estime2!$F$14,PL_Saisie_Estime2!$F$20,PL_Saisie_Estime2!AE$2,PL_Saisie_Estime2!AE$1,PL_Saisie_Estime2!$C97),"")</f>
        <v/>
      </c>
      <c r="AF97" s="204"/>
      <c r="AP97" s="1"/>
      <c r="AR97" s="257"/>
      <c r="AS97" s="169">
        <v>800</v>
      </c>
      <c r="AT97" s="208" t="s">
        <v>484</v>
      </c>
    </row>
    <row r="98" spans="1:53" ht="24" thickBot="1" x14ac:dyDescent="0.35">
      <c r="A98" s="181"/>
      <c r="C98" s="158"/>
      <c r="D98" s="24"/>
      <c r="E98" s="268"/>
      <c r="F98" s="268"/>
      <c r="G98" s="268"/>
      <c r="H98" s="43"/>
      <c r="I98" s="130"/>
      <c r="J98" s="130"/>
      <c r="K98" s="130"/>
      <c r="L98" s="130"/>
      <c r="M98" s="130"/>
      <c r="N98" s="126"/>
      <c r="O98" s="204"/>
      <c r="P98" s="126"/>
      <c r="Q98" s="124"/>
      <c r="R98" s="192"/>
      <c r="S98" s="126"/>
      <c r="T98" s="200"/>
      <c r="U98" s="200"/>
      <c r="V98" s="200"/>
      <c r="W98" s="200"/>
      <c r="X98" s="200"/>
      <c r="Y98" s="200"/>
      <c r="Z98" s="192" t="str">
        <f ca="1">IF(Flag_Send_Data=1,_xll.DBSW(PL_Saisie_Estime2!Z98,Server&amp;Cube1,PL_Saisie_Estime2!$F$17,PL_Saisie_Estime2!$F$18,PL_Saisie_Estime2!$F$19,PL_Saisie_Estime2!$F$16,PL_Saisie_Estime2!$C$14,PL_Saisie_Estime2!$F$15,PL_Saisie_Estime2!$F$14,PL_Saisie_Estime2!$F$20,PL_Saisie_Estime2!Z$2,PL_Saisie_Estime2!Z$1,PL_Saisie_Estime2!$C98),"")</f>
        <v/>
      </c>
      <c r="AA98" s="192" t="str">
        <f ca="1">IF(Flag_Send_Data=1,_xll.DBSW(PL_Saisie_Estime2!AA98,Server&amp;Cube1,PL_Saisie_Estime2!$F$17,PL_Saisie_Estime2!$F$18,PL_Saisie_Estime2!$F$19,PL_Saisie_Estime2!$F$16,PL_Saisie_Estime2!$C$14,PL_Saisie_Estime2!$F$15,PL_Saisie_Estime2!$F$14,PL_Saisie_Estime2!$F$20,PL_Saisie_Estime2!AA$2,PL_Saisie_Estime2!AA$1,PL_Saisie_Estime2!$C98),"")</f>
        <v/>
      </c>
      <c r="AB98" s="192" t="str">
        <f ca="1">IF(Flag_Send_Data=1,_xll.DBSW(PL_Saisie_Estime2!AB98,Server&amp;Cube1,PL_Saisie_Estime2!$F$17,PL_Saisie_Estime2!$F$18,PL_Saisie_Estime2!$F$19,PL_Saisie_Estime2!$F$16,PL_Saisie_Estime2!$C$14,PL_Saisie_Estime2!$F$15,PL_Saisie_Estime2!$F$14,PL_Saisie_Estime2!$F$20,PL_Saisie_Estime2!AB$2,PL_Saisie_Estime2!AB$1,PL_Saisie_Estime2!$C98),"")</f>
        <v/>
      </c>
      <c r="AC98" s="192" t="str">
        <f ca="1">IF(Flag_Send_Data=1,_xll.DBSW(PL_Saisie_Estime2!AC98,Server&amp;Cube1,PL_Saisie_Estime2!$F$17,PL_Saisie_Estime2!$F$18,PL_Saisie_Estime2!$F$19,PL_Saisie_Estime2!$F$16,PL_Saisie_Estime2!$C$14,PL_Saisie_Estime2!$F$15,PL_Saisie_Estime2!$F$14,PL_Saisie_Estime2!$F$20,PL_Saisie_Estime2!AC$2,PL_Saisie_Estime2!AC$1,PL_Saisie_Estime2!$C98),"")</f>
        <v/>
      </c>
      <c r="AD98" s="192" t="str">
        <f ca="1">IF(Flag_Send_Data=1,_xll.DBSW(PL_Saisie_Estime2!AD98,Server&amp;Cube1,PL_Saisie_Estime2!$F$17,PL_Saisie_Estime2!$F$18,PL_Saisie_Estime2!$F$19,PL_Saisie_Estime2!$F$16,PL_Saisie_Estime2!$C$14,PL_Saisie_Estime2!$F$15,PL_Saisie_Estime2!$F$14,PL_Saisie_Estime2!$F$20,PL_Saisie_Estime2!AD$2,PL_Saisie_Estime2!AD$1,PL_Saisie_Estime2!$C98),"")</f>
        <v/>
      </c>
      <c r="AE98" s="192" t="str">
        <f ca="1">IF(Flag_Send_Data=1,_xll.DBSW(PL_Saisie_Estime2!AE98,Server&amp;Cube1,PL_Saisie_Estime2!$F$17,PL_Saisie_Estime2!$F$18,PL_Saisie_Estime2!$F$19,PL_Saisie_Estime2!$F$16,PL_Saisie_Estime2!$C$14,PL_Saisie_Estime2!$F$15,PL_Saisie_Estime2!$F$14,PL_Saisie_Estime2!$F$20,PL_Saisie_Estime2!AE$2,PL_Saisie_Estime2!AE$1,PL_Saisie_Estime2!$C98),"")</f>
        <v/>
      </c>
      <c r="AF98" s="204"/>
      <c r="AP98" s="1"/>
      <c r="AR98" s="256"/>
      <c r="AS98" s="170">
        <v>700</v>
      </c>
      <c r="AT98" s="209" t="s">
        <v>484</v>
      </c>
    </row>
    <row r="99" spans="1:53" ht="23.25" x14ac:dyDescent="0.3">
      <c r="A99" s="181"/>
      <c r="C99" s="158"/>
      <c r="D99" s="24"/>
      <c r="E99" s="268"/>
      <c r="F99" s="268"/>
      <c r="G99" s="268"/>
      <c r="H99" s="43"/>
      <c r="I99" s="130"/>
      <c r="J99" s="130"/>
      <c r="K99" s="130"/>
      <c r="L99" s="130"/>
      <c r="M99" s="130"/>
      <c r="N99" s="126"/>
      <c r="O99" s="204"/>
      <c r="P99" s="126"/>
      <c r="Q99" s="124"/>
      <c r="R99" s="192"/>
      <c r="S99" s="126"/>
      <c r="T99" s="200"/>
      <c r="U99" s="200"/>
      <c r="V99" s="200"/>
      <c r="W99" s="200"/>
      <c r="X99" s="200"/>
      <c r="Y99" s="200"/>
      <c r="Z99" s="192" t="str">
        <f ca="1">IF(Flag_Send_Data=1,_xll.DBSW(PL_Saisie_Estime2!Z99,Server&amp;Cube1,PL_Saisie_Estime2!$F$17,PL_Saisie_Estime2!$F$18,PL_Saisie_Estime2!$F$19,PL_Saisie_Estime2!$F$16,PL_Saisie_Estime2!$C$14,PL_Saisie_Estime2!$F$15,PL_Saisie_Estime2!$F$14,PL_Saisie_Estime2!$F$20,PL_Saisie_Estime2!Z$2,PL_Saisie_Estime2!Z$1,PL_Saisie_Estime2!$C99),"")</f>
        <v/>
      </c>
      <c r="AA99" s="192" t="str">
        <f ca="1">IF(Flag_Send_Data=1,_xll.DBSW(PL_Saisie_Estime2!AA99,Server&amp;Cube1,PL_Saisie_Estime2!$F$17,PL_Saisie_Estime2!$F$18,PL_Saisie_Estime2!$F$19,PL_Saisie_Estime2!$F$16,PL_Saisie_Estime2!$C$14,PL_Saisie_Estime2!$F$15,PL_Saisie_Estime2!$F$14,PL_Saisie_Estime2!$F$20,PL_Saisie_Estime2!AA$2,PL_Saisie_Estime2!AA$1,PL_Saisie_Estime2!$C99),"")</f>
        <v/>
      </c>
      <c r="AB99" s="192" t="str">
        <f ca="1">IF(Flag_Send_Data=1,_xll.DBSW(PL_Saisie_Estime2!AB99,Server&amp;Cube1,PL_Saisie_Estime2!$F$17,PL_Saisie_Estime2!$F$18,PL_Saisie_Estime2!$F$19,PL_Saisie_Estime2!$F$16,PL_Saisie_Estime2!$C$14,PL_Saisie_Estime2!$F$15,PL_Saisie_Estime2!$F$14,PL_Saisie_Estime2!$F$20,PL_Saisie_Estime2!AB$2,PL_Saisie_Estime2!AB$1,PL_Saisie_Estime2!$C99),"")</f>
        <v/>
      </c>
      <c r="AC99" s="192" t="str">
        <f ca="1">IF(Flag_Send_Data=1,_xll.DBSW(PL_Saisie_Estime2!AC99,Server&amp;Cube1,PL_Saisie_Estime2!$F$17,PL_Saisie_Estime2!$F$18,PL_Saisie_Estime2!$F$19,PL_Saisie_Estime2!$F$16,PL_Saisie_Estime2!$C$14,PL_Saisie_Estime2!$F$15,PL_Saisie_Estime2!$F$14,PL_Saisie_Estime2!$F$20,PL_Saisie_Estime2!AC$2,PL_Saisie_Estime2!AC$1,PL_Saisie_Estime2!$C99),"")</f>
        <v/>
      </c>
      <c r="AD99" s="192" t="str">
        <f ca="1">IF(Flag_Send_Data=1,_xll.DBSW(PL_Saisie_Estime2!AD99,Server&amp;Cube1,PL_Saisie_Estime2!$F$17,PL_Saisie_Estime2!$F$18,PL_Saisie_Estime2!$F$19,PL_Saisie_Estime2!$F$16,PL_Saisie_Estime2!$C$14,PL_Saisie_Estime2!$F$15,PL_Saisie_Estime2!$F$14,PL_Saisie_Estime2!$F$20,PL_Saisie_Estime2!AD$2,PL_Saisie_Estime2!AD$1,PL_Saisie_Estime2!$C99),"")</f>
        <v/>
      </c>
      <c r="AE99" s="192" t="str">
        <f ca="1">IF(Flag_Send_Data=1,_xll.DBSW(PL_Saisie_Estime2!AE99,Server&amp;Cube1,PL_Saisie_Estime2!$F$17,PL_Saisie_Estime2!$F$18,PL_Saisie_Estime2!$F$19,PL_Saisie_Estime2!$F$16,PL_Saisie_Estime2!$C$14,PL_Saisie_Estime2!$F$15,PL_Saisie_Estime2!$F$14,PL_Saisie_Estime2!$F$20,PL_Saisie_Estime2!AE$2,PL_Saisie_Estime2!AE$1,PL_Saisie_Estime2!$C99),"")</f>
        <v/>
      </c>
      <c r="AF99" s="204"/>
      <c r="AP99" s="1"/>
    </row>
    <row r="100" spans="1:53" ht="23.25" x14ac:dyDescent="0.3">
      <c r="A100" s="181"/>
      <c r="C100" s="158"/>
      <c r="D100" s="24"/>
      <c r="E100" s="268"/>
      <c r="F100" s="268"/>
      <c r="G100" s="268"/>
      <c r="H100" s="43"/>
      <c r="I100" s="130"/>
      <c r="J100" s="130"/>
      <c r="K100" s="130"/>
      <c r="L100" s="130"/>
      <c r="M100" s="130"/>
      <c r="N100" s="126"/>
      <c r="O100" s="204"/>
      <c r="P100" s="126"/>
      <c r="Q100" s="124"/>
      <c r="R100" s="192"/>
      <c r="S100" s="126"/>
      <c r="T100" s="200"/>
      <c r="U100" s="200"/>
      <c r="V100" s="200"/>
      <c r="W100" s="200"/>
      <c r="X100" s="200"/>
      <c r="Y100" s="200"/>
      <c r="Z100" s="192" t="str">
        <f ca="1">IF(Flag_Send_Data=1,_xll.DBSW(PL_Saisie_Estime2!Z100,Server&amp;Cube1,PL_Saisie_Estime2!$F$17,PL_Saisie_Estime2!$F$18,PL_Saisie_Estime2!$F$19,PL_Saisie_Estime2!$F$16,PL_Saisie_Estime2!$C$14,PL_Saisie_Estime2!$F$15,PL_Saisie_Estime2!$F$14,PL_Saisie_Estime2!$F$20,PL_Saisie_Estime2!Z$2,PL_Saisie_Estime2!Z$1,PL_Saisie_Estime2!$C100),"")</f>
        <v/>
      </c>
      <c r="AA100" s="192" t="str">
        <f ca="1">IF(Flag_Send_Data=1,_xll.DBSW(PL_Saisie_Estime2!AA100,Server&amp;Cube1,PL_Saisie_Estime2!$F$17,PL_Saisie_Estime2!$F$18,PL_Saisie_Estime2!$F$19,PL_Saisie_Estime2!$F$16,PL_Saisie_Estime2!$C$14,PL_Saisie_Estime2!$F$15,PL_Saisie_Estime2!$F$14,PL_Saisie_Estime2!$F$20,PL_Saisie_Estime2!AA$2,PL_Saisie_Estime2!AA$1,PL_Saisie_Estime2!$C100),"")</f>
        <v/>
      </c>
      <c r="AB100" s="192" t="str">
        <f ca="1">IF(Flag_Send_Data=1,_xll.DBSW(PL_Saisie_Estime2!AB100,Server&amp;Cube1,PL_Saisie_Estime2!$F$17,PL_Saisie_Estime2!$F$18,PL_Saisie_Estime2!$F$19,PL_Saisie_Estime2!$F$16,PL_Saisie_Estime2!$C$14,PL_Saisie_Estime2!$F$15,PL_Saisie_Estime2!$F$14,PL_Saisie_Estime2!$F$20,PL_Saisie_Estime2!AB$2,PL_Saisie_Estime2!AB$1,PL_Saisie_Estime2!$C100),"")</f>
        <v/>
      </c>
      <c r="AC100" s="192" t="str">
        <f ca="1">IF(Flag_Send_Data=1,_xll.DBSW(PL_Saisie_Estime2!AC100,Server&amp;Cube1,PL_Saisie_Estime2!$F$17,PL_Saisie_Estime2!$F$18,PL_Saisie_Estime2!$F$19,PL_Saisie_Estime2!$F$16,PL_Saisie_Estime2!$C$14,PL_Saisie_Estime2!$F$15,PL_Saisie_Estime2!$F$14,PL_Saisie_Estime2!$F$20,PL_Saisie_Estime2!AC$2,PL_Saisie_Estime2!AC$1,PL_Saisie_Estime2!$C100),"")</f>
        <v/>
      </c>
      <c r="AD100" s="192" t="str">
        <f ca="1">IF(Flag_Send_Data=1,_xll.DBSW(PL_Saisie_Estime2!AD100,Server&amp;Cube1,PL_Saisie_Estime2!$F$17,PL_Saisie_Estime2!$F$18,PL_Saisie_Estime2!$F$19,PL_Saisie_Estime2!$F$16,PL_Saisie_Estime2!$C$14,PL_Saisie_Estime2!$F$15,PL_Saisie_Estime2!$F$14,PL_Saisie_Estime2!$F$20,PL_Saisie_Estime2!AD$2,PL_Saisie_Estime2!AD$1,PL_Saisie_Estime2!$C100),"")</f>
        <v/>
      </c>
      <c r="AE100" s="192" t="str">
        <f ca="1">IF(Flag_Send_Data=1,_xll.DBSW(PL_Saisie_Estime2!AE100,Server&amp;Cube1,PL_Saisie_Estime2!$F$17,PL_Saisie_Estime2!$F$18,PL_Saisie_Estime2!$F$19,PL_Saisie_Estime2!$F$16,PL_Saisie_Estime2!$C$14,PL_Saisie_Estime2!$F$15,PL_Saisie_Estime2!$F$14,PL_Saisie_Estime2!$F$20,PL_Saisie_Estime2!AE$2,PL_Saisie_Estime2!AE$1,PL_Saisie_Estime2!$C100),"")</f>
        <v/>
      </c>
      <c r="AF100" s="204"/>
      <c r="AP100" s="1"/>
    </row>
    <row r="101" spans="1:53" ht="23.25" x14ac:dyDescent="0.3">
      <c r="A101" s="181"/>
      <c r="C101" s="158"/>
      <c r="D101" s="24"/>
      <c r="E101" s="268"/>
      <c r="F101" s="268"/>
      <c r="G101" s="268"/>
      <c r="H101" s="43"/>
      <c r="I101" s="130"/>
      <c r="J101" s="130"/>
      <c r="K101" s="130"/>
      <c r="L101" s="130"/>
      <c r="M101" s="130"/>
      <c r="N101" s="126"/>
      <c r="O101" s="204"/>
      <c r="P101" s="126"/>
      <c r="Q101" s="124"/>
      <c r="R101" s="192"/>
      <c r="S101" s="126"/>
      <c r="T101" s="200"/>
      <c r="U101" s="200"/>
      <c r="V101" s="200"/>
      <c r="W101" s="200"/>
      <c r="X101" s="200"/>
      <c r="Y101" s="200"/>
      <c r="Z101" s="192" t="str">
        <f ca="1">IF(Flag_Send_Data=1,_xll.DBSW(PL_Saisie_Estime2!Z101,Server&amp;Cube1,PL_Saisie_Estime2!$F$17,PL_Saisie_Estime2!$F$18,PL_Saisie_Estime2!$F$19,PL_Saisie_Estime2!$F$16,PL_Saisie_Estime2!$C$14,PL_Saisie_Estime2!$F$15,PL_Saisie_Estime2!$F$14,PL_Saisie_Estime2!$F$20,PL_Saisie_Estime2!Z$2,PL_Saisie_Estime2!Z$1,PL_Saisie_Estime2!$C101),"")</f>
        <v/>
      </c>
      <c r="AA101" s="192" t="str">
        <f ca="1">IF(Flag_Send_Data=1,_xll.DBSW(PL_Saisie_Estime2!AA101,Server&amp;Cube1,PL_Saisie_Estime2!$F$17,PL_Saisie_Estime2!$F$18,PL_Saisie_Estime2!$F$19,PL_Saisie_Estime2!$F$16,PL_Saisie_Estime2!$C$14,PL_Saisie_Estime2!$F$15,PL_Saisie_Estime2!$F$14,PL_Saisie_Estime2!$F$20,PL_Saisie_Estime2!AA$2,PL_Saisie_Estime2!AA$1,PL_Saisie_Estime2!$C101),"")</f>
        <v/>
      </c>
      <c r="AB101" s="192" t="str">
        <f ca="1">IF(Flag_Send_Data=1,_xll.DBSW(PL_Saisie_Estime2!AB101,Server&amp;Cube1,PL_Saisie_Estime2!$F$17,PL_Saisie_Estime2!$F$18,PL_Saisie_Estime2!$F$19,PL_Saisie_Estime2!$F$16,PL_Saisie_Estime2!$C$14,PL_Saisie_Estime2!$F$15,PL_Saisie_Estime2!$F$14,PL_Saisie_Estime2!$F$20,PL_Saisie_Estime2!AB$2,PL_Saisie_Estime2!AB$1,PL_Saisie_Estime2!$C101),"")</f>
        <v/>
      </c>
      <c r="AC101" s="192" t="str">
        <f ca="1">IF(Flag_Send_Data=1,_xll.DBSW(PL_Saisie_Estime2!AC101,Server&amp;Cube1,PL_Saisie_Estime2!$F$17,PL_Saisie_Estime2!$F$18,PL_Saisie_Estime2!$F$19,PL_Saisie_Estime2!$F$16,PL_Saisie_Estime2!$C$14,PL_Saisie_Estime2!$F$15,PL_Saisie_Estime2!$F$14,PL_Saisie_Estime2!$F$20,PL_Saisie_Estime2!AC$2,PL_Saisie_Estime2!AC$1,PL_Saisie_Estime2!$C101),"")</f>
        <v/>
      </c>
      <c r="AD101" s="192" t="str">
        <f ca="1">IF(Flag_Send_Data=1,_xll.DBSW(PL_Saisie_Estime2!AD101,Server&amp;Cube1,PL_Saisie_Estime2!$F$17,PL_Saisie_Estime2!$F$18,PL_Saisie_Estime2!$F$19,PL_Saisie_Estime2!$F$16,PL_Saisie_Estime2!$C$14,PL_Saisie_Estime2!$F$15,PL_Saisie_Estime2!$F$14,PL_Saisie_Estime2!$F$20,PL_Saisie_Estime2!AD$2,PL_Saisie_Estime2!AD$1,PL_Saisie_Estime2!$C101),"")</f>
        <v/>
      </c>
      <c r="AE101" s="192" t="str">
        <f ca="1">IF(Flag_Send_Data=1,_xll.DBSW(PL_Saisie_Estime2!AE101,Server&amp;Cube1,PL_Saisie_Estime2!$F$17,PL_Saisie_Estime2!$F$18,PL_Saisie_Estime2!$F$19,PL_Saisie_Estime2!$F$16,PL_Saisie_Estime2!$C$14,PL_Saisie_Estime2!$F$15,PL_Saisie_Estime2!$F$14,PL_Saisie_Estime2!$F$20,PL_Saisie_Estime2!AE$2,PL_Saisie_Estime2!AE$1,PL_Saisie_Estime2!$C101),"")</f>
        <v/>
      </c>
      <c r="AF101" s="204"/>
      <c r="AP101" s="1"/>
    </row>
    <row r="102" spans="1:53" ht="23.25" x14ac:dyDescent="0.3">
      <c r="A102" s="181"/>
      <c r="C102" s="158"/>
      <c r="D102" s="24"/>
      <c r="E102" s="268"/>
      <c r="F102" s="268"/>
      <c r="G102" s="268"/>
      <c r="H102" s="43"/>
      <c r="I102" s="130"/>
      <c r="J102" s="130"/>
      <c r="K102" s="130"/>
      <c r="L102" s="130"/>
      <c r="M102" s="130"/>
      <c r="N102" s="126"/>
      <c r="O102" s="204"/>
      <c r="P102" s="126"/>
      <c r="Q102" s="124"/>
      <c r="R102" s="192"/>
      <c r="S102" s="126"/>
      <c r="T102" s="200"/>
      <c r="U102" s="200"/>
      <c r="V102" s="200"/>
      <c r="W102" s="200"/>
      <c r="X102" s="200"/>
      <c r="Y102" s="200"/>
      <c r="Z102" s="192" t="str">
        <f ca="1">IF(Flag_Send_Data=1,_xll.DBSW(PL_Saisie_Estime2!Z102,Server&amp;Cube1,PL_Saisie_Estime2!$F$17,PL_Saisie_Estime2!$F$18,PL_Saisie_Estime2!$F$19,PL_Saisie_Estime2!$F$16,PL_Saisie_Estime2!$C$14,PL_Saisie_Estime2!$F$15,PL_Saisie_Estime2!$F$14,PL_Saisie_Estime2!$F$20,PL_Saisie_Estime2!Z$2,PL_Saisie_Estime2!Z$1,PL_Saisie_Estime2!$C102),"")</f>
        <v/>
      </c>
      <c r="AA102" s="192" t="str">
        <f ca="1">IF(Flag_Send_Data=1,_xll.DBSW(PL_Saisie_Estime2!AA102,Server&amp;Cube1,PL_Saisie_Estime2!$F$17,PL_Saisie_Estime2!$F$18,PL_Saisie_Estime2!$F$19,PL_Saisie_Estime2!$F$16,PL_Saisie_Estime2!$C$14,PL_Saisie_Estime2!$F$15,PL_Saisie_Estime2!$F$14,PL_Saisie_Estime2!$F$20,PL_Saisie_Estime2!AA$2,PL_Saisie_Estime2!AA$1,PL_Saisie_Estime2!$C102),"")</f>
        <v/>
      </c>
      <c r="AB102" s="192" t="str">
        <f ca="1">IF(Flag_Send_Data=1,_xll.DBSW(PL_Saisie_Estime2!AB102,Server&amp;Cube1,PL_Saisie_Estime2!$F$17,PL_Saisie_Estime2!$F$18,PL_Saisie_Estime2!$F$19,PL_Saisie_Estime2!$F$16,PL_Saisie_Estime2!$C$14,PL_Saisie_Estime2!$F$15,PL_Saisie_Estime2!$F$14,PL_Saisie_Estime2!$F$20,PL_Saisie_Estime2!AB$2,PL_Saisie_Estime2!AB$1,PL_Saisie_Estime2!$C102),"")</f>
        <v/>
      </c>
      <c r="AC102" s="192" t="str">
        <f ca="1">IF(Flag_Send_Data=1,_xll.DBSW(PL_Saisie_Estime2!AC102,Server&amp;Cube1,PL_Saisie_Estime2!$F$17,PL_Saisie_Estime2!$F$18,PL_Saisie_Estime2!$F$19,PL_Saisie_Estime2!$F$16,PL_Saisie_Estime2!$C$14,PL_Saisie_Estime2!$F$15,PL_Saisie_Estime2!$F$14,PL_Saisie_Estime2!$F$20,PL_Saisie_Estime2!AC$2,PL_Saisie_Estime2!AC$1,PL_Saisie_Estime2!$C102),"")</f>
        <v/>
      </c>
      <c r="AD102" s="192" t="str">
        <f ca="1">IF(Flag_Send_Data=1,_xll.DBSW(PL_Saisie_Estime2!AD102,Server&amp;Cube1,PL_Saisie_Estime2!$F$17,PL_Saisie_Estime2!$F$18,PL_Saisie_Estime2!$F$19,PL_Saisie_Estime2!$F$16,PL_Saisie_Estime2!$C$14,PL_Saisie_Estime2!$F$15,PL_Saisie_Estime2!$F$14,PL_Saisie_Estime2!$F$20,PL_Saisie_Estime2!AD$2,PL_Saisie_Estime2!AD$1,PL_Saisie_Estime2!$C102),"")</f>
        <v/>
      </c>
      <c r="AE102" s="192" t="str">
        <f ca="1">IF(Flag_Send_Data=1,_xll.DBSW(PL_Saisie_Estime2!AE102,Server&amp;Cube1,PL_Saisie_Estime2!$F$17,PL_Saisie_Estime2!$F$18,PL_Saisie_Estime2!$F$19,PL_Saisie_Estime2!$F$16,PL_Saisie_Estime2!$C$14,PL_Saisie_Estime2!$F$15,PL_Saisie_Estime2!$F$14,PL_Saisie_Estime2!$F$20,PL_Saisie_Estime2!AE$2,PL_Saisie_Estime2!AE$1,PL_Saisie_Estime2!$C102),"")</f>
        <v/>
      </c>
      <c r="AF102" s="204"/>
      <c r="AP102" s="1"/>
    </row>
    <row r="103" spans="1:53" ht="23.25" x14ac:dyDescent="0.3">
      <c r="A103" s="181"/>
      <c r="C103" s="158"/>
      <c r="D103" s="24"/>
      <c r="E103" s="268"/>
      <c r="F103" s="268"/>
      <c r="G103" s="268"/>
      <c r="H103" s="43"/>
      <c r="I103" s="130"/>
      <c r="J103" s="130"/>
      <c r="K103" s="130"/>
      <c r="L103" s="130"/>
      <c r="M103" s="130"/>
      <c r="N103" s="126"/>
      <c r="O103" s="204"/>
      <c r="P103" s="126"/>
      <c r="Q103" s="124"/>
      <c r="R103" s="192"/>
      <c r="S103" s="126"/>
      <c r="T103" s="200"/>
      <c r="U103" s="200"/>
      <c r="V103" s="200"/>
      <c r="W103" s="200"/>
      <c r="X103" s="200"/>
      <c r="Y103" s="200"/>
      <c r="Z103" s="192" t="str">
        <f ca="1">IF(Flag_Send_Data=1,_xll.DBSW(PL_Saisie_Estime2!Z103,Server&amp;Cube1,PL_Saisie_Estime2!$F$17,PL_Saisie_Estime2!$F$18,PL_Saisie_Estime2!$F$19,PL_Saisie_Estime2!$F$16,PL_Saisie_Estime2!$C$14,PL_Saisie_Estime2!$F$15,PL_Saisie_Estime2!$F$14,PL_Saisie_Estime2!$F$20,PL_Saisie_Estime2!Z$2,PL_Saisie_Estime2!Z$1,PL_Saisie_Estime2!$C103),"")</f>
        <v/>
      </c>
      <c r="AA103" s="192" t="str">
        <f ca="1">IF(Flag_Send_Data=1,_xll.DBSW(PL_Saisie_Estime2!AA103,Server&amp;Cube1,PL_Saisie_Estime2!$F$17,PL_Saisie_Estime2!$F$18,PL_Saisie_Estime2!$F$19,PL_Saisie_Estime2!$F$16,PL_Saisie_Estime2!$C$14,PL_Saisie_Estime2!$F$15,PL_Saisie_Estime2!$F$14,PL_Saisie_Estime2!$F$20,PL_Saisie_Estime2!AA$2,PL_Saisie_Estime2!AA$1,PL_Saisie_Estime2!$C103),"")</f>
        <v/>
      </c>
      <c r="AB103" s="192" t="str">
        <f ca="1">IF(Flag_Send_Data=1,_xll.DBSW(PL_Saisie_Estime2!AB103,Server&amp;Cube1,PL_Saisie_Estime2!$F$17,PL_Saisie_Estime2!$F$18,PL_Saisie_Estime2!$F$19,PL_Saisie_Estime2!$F$16,PL_Saisie_Estime2!$C$14,PL_Saisie_Estime2!$F$15,PL_Saisie_Estime2!$F$14,PL_Saisie_Estime2!$F$20,PL_Saisie_Estime2!AB$2,PL_Saisie_Estime2!AB$1,PL_Saisie_Estime2!$C103),"")</f>
        <v/>
      </c>
      <c r="AC103" s="192" t="str">
        <f ca="1">IF(Flag_Send_Data=1,_xll.DBSW(PL_Saisie_Estime2!AC103,Server&amp;Cube1,PL_Saisie_Estime2!$F$17,PL_Saisie_Estime2!$F$18,PL_Saisie_Estime2!$F$19,PL_Saisie_Estime2!$F$16,PL_Saisie_Estime2!$C$14,PL_Saisie_Estime2!$F$15,PL_Saisie_Estime2!$F$14,PL_Saisie_Estime2!$F$20,PL_Saisie_Estime2!AC$2,PL_Saisie_Estime2!AC$1,PL_Saisie_Estime2!$C103),"")</f>
        <v/>
      </c>
      <c r="AD103" s="192" t="str">
        <f ca="1">IF(Flag_Send_Data=1,_xll.DBSW(PL_Saisie_Estime2!AD103,Server&amp;Cube1,PL_Saisie_Estime2!$F$17,PL_Saisie_Estime2!$F$18,PL_Saisie_Estime2!$F$19,PL_Saisie_Estime2!$F$16,PL_Saisie_Estime2!$C$14,PL_Saisie_Estime2!$F$15,PL_Saisie_Estime2!$F$14,PL_Saisie_Estime2!$F$20,PL_Saisie_Estime2!AD$2,PL_Saisie_Estime2!AD$1,PL_Saisie_Estime2!$C103),"")</f>
        <v/>
      </c>
      <c r="AE103" s="192" t="str">
        <f ca="1">IF(Flag_Send_Data=1,_xll.DBSW(PL_Saisie_Estime2!AE103,Server&amp;Cube1,PL_Saisie_Estime2!$F$17,PL_Saisie_Estime2!$F$18,PL_Saisie_Estime2!$F$19,PL_Saisie_Estime2!$F$16,PL_Saisie_Estime2!$C$14,PL_Saisie_Estime2!$F$15,PL_Saisie_Estime2!$F$14,PL_Saisie_Estime2!$F$20,PL_Saisie_Estime2!AE$2,PL_Saisie_Estime2!AE$1,PL_Saisie_Estime2!$C103),"")</f>
        <v/>
      </c>
      <c r="AF103" s="204"/>
      <c r="AP103" s="1"/>
    </row>
    <row r="104" spans="1:53" ht="23.25" x14ac:dyDescent="0.3">
      <c r="A104" s="181"/>
      <c r="C104" s="158"/>
      <c r="D104" s="24"/>
      <c r="E104" s="268"/>
      <c r="F104" s="268"/>
      <c r="G104" s="268"/>
      <c r="H104" s="43"/>
      <c r="I104" s="130"/>
      <c r="J104" s="130"/>
      <c r="K104" s="130"/>
      <c r="L104" s="130"/>
      <c r="M104" s="130"/>
      <c r="N104" s="126"/>
      <c r="O104" s="204"/>
      <c r="P104" s="126"/>
      <c r="Q104" s="124"/>
      <c r="R104" s="192"/>
      <c r="S104" s="126"/>
      <c r="T104" s="200"/>
      <c r="U104" s="200"/>
      <c r="V104" s="200"/>
      <c r="W104" s="200"/>
      <c r="X104" s="200"/>
      <c r="Y104" s="200"/>
      <c r="Z104" s="192" t="str">
        <f ca="1">IF(Flag_Send_Data=1,_xll.DBSW(PL_Saisie_Estime2!Z104,Server&amp;Cube1,PL_Saisie_Estime2!$F$17,PL_Saisie_Estime2!$F$18,PL_Saisie_Estime2!$F$19,PL_Saisie_Estime2!$F$16,PL_Saisie_Estime2!$C$14,PL_Saisie_Estime2!$F$15,PL_Saisie_Estime2!$F$14,PL_Saisie_Estime2!$F$20,PL_Saisie_Estime2!Z$2,PL_Saisie_Estime2!Z$1,PL_Saisie_Estime2!$C104),"")</f>
        <v/>
      </c>
      <c r="AA104" s="192" t="str">
        <f ca="1">IF(Flag_Send_Data=1,_xll.DBSW(PL_Saisie_Estime2!AA104,Server&amp;Cube1,PL_Saisie_Estime2!$F$17,PL_Saisie_Estime2!$F$18,PL_Saisie_Estime2!$F$19,PL_Saisie_Estime2!$F$16,PL_Saisie_Estime2!$C$14,PL_Saisie_Estime2!$F$15,PL_Saisie_Estime2!$F$14,PL_Saisie_Estime2!$F$20,PL_Saisie_Estime2!AA$2,PL_Saisie_Estime2!AA$1,PL_Saisie_Estime2!$C104),"")</f>
        <v/>
      </c>
      <c r="AB104" s="192" t="str">
        <f ca="1">IF(Flag_Send_Data=1,_xll.DBSW(PL_Saisie_Estime2!AB104,Server&amp;Cube1,PL_Saisie_Estime2!$F$17,PL_Saisie_Estime2!$F$18,PL_Saisie_Estime2!$F$19,PL_Saisie_Estime2!$F$16,PL_Saisie_Estime2!$C$14,PL_Saisie_Estime2!$F$15,PL_Saisie_Estime2!$F$14,PL_Saisie_Estime2!$F$20,PL_Saisie_Estime2!AB$2,PL_Saisie_Estime2!AB$1,PL_Saisie_Estime2!$C104),"")</f>
        <v/>
      </c>
      <c r="AC104" s="192" t="str">
        <f ca="1">IF(Flag_Send_Data=1,_xll.DBSW(PL_Saisie_Estime2!AC104,Server&amp;Cube1,PL_Saisie_Estime2!$F$17,PL_Saisie_Estime2!$F$18,PL_Saisie_Estime2!$F$19,PL_Saisie_Estime2!$F$16,PL_Saisie_Estime2!$C$14,PL_Saisie_Estime2!$F$15,PL_Saisie_Estime2!$F$14,PL_Saisie_Estime2!$F$20,PL_Saisie_Estime2!AC$2,PL_Saisie_Estime2!AC$1,PL_Saisie_Estime2!$C104),"")</f>
        <v/>
      </c>
      <c r="AD104" s="192" t="str">
        <f ca="1">IF(Flag_Send_Data=1,_xll.DBSW(PL_Saisie_Estime2!AD104,Server&amp;Cube1,PL_Saisie_Estime2!$F$17,PL_Saisie_Estime2!$F$18,PL_Saisie_Estime2!$F$19,PL_Saisie_Estime2!$F$16,PL_Saisie_Estime2!$C$14,PL_Saisie_Estime2!$F$15,PL_Saisie_Estime2!$F$14,PL_Saisie_Estime2!$F$20,PL_Saisie_Estime2!AD$2,PL_Saisie_Estime2!AD$1,PL_Saisie_Estime2!$C104),"")</f>
        <v/>
      </c>
      <c r="AE104" s="192" t="str">
        <f ca="1">IF(Flag_Send_Data=1,_xll.DBSW(PL_Saisie_Estime2!AE104,Server&amp;Cube1,PL_Saisie_Estime2!$F$17,PL_Saisie_Estime2!$F$18,PL_Saisie_Estime2!$F$19,PL_Saisie_Estime2!$F$16,PL_Saisie_Estime2!$C$14,PL_Saisie_Estime2!$F$15,PL_Saisie_Estime2!$F$14,PL_Saisie_Estime2!$F$20,PL_Saisie_Estime2!AE$2,PL_Saisie_Estime2!AE$1,PL_Saisie_Estime2!$C104),"")</f>
        <v/>
      </c>
      <c r="AF104" s="204"/>
      <c r="AP104" s="1"/>
    </row>
    <row r="105" spans="1:53" s="9" customFormat="1" ht="24.95" customHeight="1" collapsed="1" x14ac:dyDescent="0.35">
      <c r="A105" s="181"/>
      <c r="B105" s="163"/>
      <c r="C105" s="116"/>
      <c r="E105" s="269"/>
      <c r="F105" s="269"/>
      <c r="G105" s="269"/>
      <c r="H105" s="40"/>
      <c r="I105" s="159"/>
      <c r="J105" s="159"/>
      <c r="K105" s="159"/>
      <c r="L105" s="159"/>
      <c r="M105" s="159"/>
      <c r="N105" s="125"/>
      <c r="O105" s="161"/>
      <c r="P105" s="125"/>
      <c r="Q105" s="124"/>
      <c r="R105" s="161"/>
      <c r="S105" s="125"/>
      <c r="T105" s="202"/>
      <c r="U105" s="202"/>
      <c r="V105" s="202"/>
      <c r="W105" s="202"/>
      <c r="X105" s="161"/>
      <c r="Y105" s="161"/>
      <c r="Z105" s="161"/>
      <c r="AA105" s="161"/>
      <c r="AB105" s="161"/>
      <c r="AC105" s="161"/>
      <c r="AD105" s="161"/>
      <c r="AE105" s="161"/>
      <c r="AF105" s="161"/>
      <c r="AG105" s="53"/>
      <c r="AH105" s="53"/>
      <c r="AI105" s="53"/>
      <c r="AJ105" s="53"/>
      <c r="AK105" s="53"/>
      <c r="AL105" s="53"/>
      <c r="AM105" s="53"/>
      <c r="AN105" s="53"/>
      <c r="AO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</row>
    <row r="106" spans="1:53" s="9" customFormat="1" ht="24.75" customHeight="1" x14ac:dyDescent="0.35">
      <c r="A106" s="181"/>
      <c r="B106" s="163"/>
      <c r="C106" s="117"/>
      <c r="E106" s="270"/>
      <c r="F106" s="270"/>
      <c r="G106" s="270"/>
      <c r="H106" s="40"/>
      <c r="I106" s="130"/>
      <c r="J106" s="130"/>
      <c r="K106" s="130"/>
      <c r="L106" s="130"/>
      <c r="M106" s="130"/>
      <c r="N106" s="125"/>
      <c r="O106" s="125"/>
      <c r="P106" s="125"/>
      <c r="Q106" s="124"/>
      <c r="R106" s="125"/>
      <c r="S106" s="125"/>
      <c r="T106" s="201"/>
      <c r="U106" s="201"/>
      <c r="V106" s="201"/>
      <c r="W106" s="201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53"/>
      <c r="AH106" s="53"/>
      <c r="AI106" s="53"/>
      <c r="AJ106" s="53"/>
      <c r="AK106" s="53"/>
      <c r="AL106" s="53"/>
      <c r="AM106" s="53"/>
      <c r="AN106" s="53"/>
      <c r="AO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</row>
    <row r="107" spans="1:53" s="9" customFormat="1" ht="24.75" customHeight="1" x14ac:dyDescent="0.35">
      <c r="A107" s="181"/>
      <c r="B107" s="163"/>
      <c r="C107" s="158"/>
      <c r="E107" s="268"/>
      <c r="F107" s="268"/>
      <c r="G107" s="268"/>
      <c r="H107" s="40"/>
      <c r="I107" s="130"/>
      <c r="J107" s="130"/>
      <c r="K107" s="130"/>
      <c r="L107" s="130"/>
      <c r="M107" s="130"/>
      <c r="N107" s="126"/>
      <c r="O107" s="204"/>
      <c r="P107" s="126"/>
      <c r="Q107" s="124"/>
      <c r="R107" s="192"/>
      <c r="S107" s="126"/>
      <c r="T107" s="200"/>
      <c r="U107" s="200"/>
      <c r="V107" s="200"/>
      <c r="W107" s="200"/>
      <c r="X107" s="200"/>
      <c r="Y107" s="200"/>
      <c r="Z107" s="192" t="str">
        <f ca="1">IF(Flag_Send_Data=1,_xll.DBSW(PL_Saisie_Estime2!Z107,Server&amp;Cube1,PL_Saisie_Estime2!$F$17,PL_Saisie_Estime2!$F$18,PL_Saisie_Estime2!$F$19,PL_Saisie_Estime2!$F$16,PL_Saisie_Estime2!$C$14,PL_Saisie_Estime2!$F$15,PL_Saisie_Estime2!$F$14,PL_Saisie_Estime2!$F$20,PL_Saisie_Estime2!Z$2,PL_Saisie_Estime2!Z$1,PL_Saisie_Estime2!$C107),"")</f>
        <v/>
      </c>
      <c r="AA107" s="192" t="str">
        <f ca="1">IF(Flag_Send_Data=1,_xll.DBSW(PL_Saisie_Estime2!AA107,Server&amp;Cube1,PL_Saisie_Estime2!$F$17,PL_Saisie_Estime2!$F$18,PL_Saisie_Estime2!$F$19,PL_Saisie_Estime2!$F$16,PL_Saisie_Estime2!$C$14,PL_Saisie_Estime2!$F$15,PL_Saisie_Estime2!$F$14,PL_Saisie_Estime2!$F$20,PL_Saisie_Estime2!AA$2,PL_Saisie_Estime2!AA$1,PL_Saisie_Estime2!$C107),"")</f>
        <v/>
      </c>
      <c r="AB107" s="192" t="str">
        <f ca="1">IF(Flag_Send_Data=1,_xll.DBSW(PL_Saisie_Estime2!AB107,Server&amp;Cube1,PL_Saisie_Estime2!$F$17,PL_Saisie_Estime2!$F$18,PL_Saisie_Estime2!$F$19,PL_Saisie_Estime2!$F$16,PL_Saisie_Estime2!$C$14,PL_Saisie_Estime2!$F$15,PL_Saisie_Estime2!$F$14,PL_Saisie_Estime2!$F$20,PL_Saisie_Estime2!AB$2,PL_Saisie_Estime2!AB$1,PL_Saisie_Estime2!$C107),"")</f>
        <v/>
      </c>
      <c r="AC107" s="192" t="str">
        <f ca="1">IF(Flag_Send_Data=1,_xll.DBSW(PL_Saisie_Estime2!AC107,Server&amp;Cube1,PL_Saisie_Estime2!$F$17,PL_Saisie_Estime2!$F$18,PL_Saisie_Estime2!$F$19,PL_Saisie_Estime2!$F$16,PL_Saisie_Estime2!$C$14,PL_Saisie_Estime2!$F$15,PL_Saisie_Estime2!$F$14,PL_Saisie_Estime2!$F$20,PL_Saisie_Estime2!AC$2,PL_Saisie_Estime2!AC$1,PL_Saisie_Estime2!$C107),"")</f>
        <v/>
      </c>
      <c r="AD107" s="192" t="str">
        <f ca="1">IF(Flag_Send_Data=1,_xll.DBSW(PL_Saisie_Estime2!AD107,Server&amp;Cube1,PL_Saisie_Estime2!$F$17,PL_Saisie_Estime2!$F$18,PL_Saisie_Estime2!$F$19,PL_Saisie_Estime2!$F$16,PL_Saisie_Estime2!$C$14,PL_Saisie_Estime2!$F$15,PL_Saisie_Estime2!$F$14,PL_Saisie_Estime2!$F$20,PL_Saisie_Estime2!AD$2,PL_Saisie_Estime2!AD$1,PL_Saisie_Estime2!$C107),"")</f>
        <v/>
      </c>
      <c r="AE107" s="192" t="str">
        <f ca="1">IF(Flag_Send_Data=1,_xll.DBSW(PL_Saisie_Estime2!AE107,Server&amp;Cube1,PL_Saisie_Estime2!$F$17,PL_Saisie_Estime2!$F$18,PL_Saisie_Estime2!$F$19,PL_Saisie_Estime2!$F$16,PL_Saisie_Estime2!$C$14,PL_Saisie_Estime2!$F$15,PL_Saisie_Estime2!$F$14,PL_Saisie_Estime2!$F$20,PL_Saisie_Estime2!AE$2,PL_Saisie_Estime2!AE$1,PL_Saisie_Estime2!$C107),"")</f>
        <v/>
      </c>
      <c r="AF107" s="204"/>
      <c r="AG107" s="53"/>
      <c r="AH107" s="53"/>
      <c r="AI107" s="53"/>
      <c r="AJ107" s="53"/>
      <c r="AK107" s="53"/>
      <c r="AL107" s="53"/>
      <c r="AM107" s="53"/>
      <c r="AN107" s="53"/>
      <c r="AO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</row>
    <row r="108" spans="1:53" s="9" customFormat="1" ht="24.75" customHeight="1" x14ac:dyDescent="0.35">
      <c r="A108" s="181"/>
      <c r="B108" s="163"/>
      <c r="C108" s="158"/>
      <c r="E108" s="268"/>
      <c r="F108" s="268"/>
      <c r="G108" s="268"/>
      <c r="H108" s="40"/>
      <c r="I108" s="130"/>
      <c r="J108" s="130"/>
      <c r="K108" s="130"/>
      <c r="L108" s="130"/>
      <c r="M108" s="130"/>
      <c r="N108" s="126"/>
      <c r="O108" s="204"/>
      <c r="P108" s="126"/>
      <c r="Q108" s="124"/>
      <c r="R108" s="192"/>
      <c r="S108" s="126"/>
      <c r="T108" s="200"/>
      <c r="U108" s="200"/>
      <c r="V108" s="200"/>
      <c r="W108" s="200"/>
      <c r="X108" s="200"/>
      <c r="Y108" s="200"/>
      <c r="Z108" s="192" t="str">
        <f ca="1">IF(Flag_Send_Data=1,_xll.DBSW(PL_Saisie_Estime2!Z108,Server&amp;Cube1,PL_Saisie_Estime2!$F$17,PL_Saisie_Estime2!$F$18,PL_Saisie_Estime2!$F$19,PL_Saisie_Estime2!$F$16,PL_Saisie_Estime2!$C$14,PL_Saisie_Estime2!$F$15,PL_Saisie_Estime2!$F$14,PL_Saisie_Estime2!$F$20,PL_Saisie_Estime2!Z$2,PL_Saisie_Estime2!Z$1,PL_Saisie_Estime2!$C108),"")</f>
        <v/>
      </c>
      <c r="AA108" s="192" t="str">
        <f ca="1">IF(Flag_Send_Data=1,_xll.DBSW(PL_Saisie_Estime2!AA108,Server&amp;Cube1,PL_Saisie_Estime2!$F$17,PL_Saisie_Estime2!$F$18,PL_Saisie_Estime2!$F$19,PL_Saisie_Estime2!$F$16,PL_Saisie_Estime2!$C$14,PL_Saisie_Estime2!$F$15,PL_Saisie_Estime2!$F$14,PL_Saisie_Estime2!$F$20,PL_Saisie_Estime2!AA$2,PL_Saisie_Estime2!AA$1,PL_Saisie_Estime2!$C108),"")</f>
        <v/>
      </c>
      <c r="AB108" s="192" t="str">
        <f ca="1">IF(Flag_Send_Data=1,_xll.DBSW(PL_Saisie_Estime2!AB108,Server&amp;Cube1,PL_Saisie_Estime2!$F$17,PL_Saisie_Estime2!$F$18,PL_Saisie_Estime2!$F$19,PL_Saisie_Estime2!$F$16,PL_Saisie_Estime2!$C$14,PL_Saisie_Estime2!$F$15,PL_Saisie_Estime2!$F$14,PL_Saisie_Estime2!$F$20,PL_Saisie_Estime2!AB$2,PL_Saisie_Estime2!AB$1,PL_Saisie_Estime2!$C108),"")</f>
        <v/>
      </c>
      <c r="AC108" s="192" t="str">
        <f ca="1">IF(Flag_Send_Data=1,_xll.DBSW(PL_Saisie_Estime2!AC108,Server&amp;Cube1,PL_Saisie_Estime2!$F$17,PL_Saisie_Estime2!$F$18,PL_Saisie_Estime2!$F$19,PL_Saisie_Estime2!$F$16,PL_Saisie_Estime2!$C$14,PL_Saisie_Estime2!$F$15,PL_Saisie_Estime2!$F$14,PL_Saisie_Estime2!$F$20,PL_Saisie_Estime2!AC$2,PL_Saisie_Estime2!AC$1,PL_Saisie_Estime2!$C108),"")</f>
        <v/>
      </c>
      <c r="AD108" s="192" t="str">
        <f ca="1">IF(Flag_Send_Data=1,_xll.DBSW(PL_Saisie_Estime2!AD108,Server&amp;Cube1,PL_Saisie_Estime2!$F$17,PL_Saisie_Estime2!$F$18,PL_Saisie_Estime2!$F$19,PL_Saisie_Estime2!$F$16,PL_Saisie_Estime2!$C$14,PL_Saisie_Estime2!$F$15,PL_Saisie_Estime2!$F$14,PL_Saisie_Estime2!$F$20,PL_Saisie_Estime2!AD$2,PL_Saisie_Estime2!AD$1,PL_Saisie_Estime2!$C108),"")</f>
        <v/>
      </c>
      <c r="AE108" s="192" t="str">
        <f ca="1">IF(Flag_Send_Data=1,_xll.DBSW(PL_Saisie_Estime2!AE108,Server&amp;Cube1,PL_Saisie_Estime2!$F$17,PL_Saisie_Estime2!$F$18,PL_Saisie_Estime2!$F$19,PL_Saisie_Estime2!$F$16,PL_Saisie_Estime2!$C$14,PL_Saisie_Estime2!$F$15,PL_Saisie_Estime2!$F$14,PL_Saisie_Estime2!$F$20,PL_Saisie_Estime2!AE$2,PL_Saisie_Estime2!AE$1,PL_Saisie_Estime2!$C108),"")</f>
        <v/>
      </c>
      <c r="AF108" s="204"/>
      <c r="AG108" s="53"/>
      <c r="AH108" s="53"/>
      <c r="AI108" s="53"/>
      <c r="AJ108" s="53"/>
      <c r="AK108" s="53"/>
      <c r="AL108" s="53"/>
      <c r="AM108" s="53"/>
      <c r="AN108" s="53"/>
      <c r="AO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</row>
    <row r="109" spans="1:53" s="9" customFormat="1" ht="24.75" customHeight="1" x14ac:dyDescent="0.35">
      <c r="A109" s="181"/>
      <c r="B109" s="163"/>
      <c r="C109" s="158"/>
      <c r="E109" s="268"/>
      <c r="F109" s="268"/>
      <c r="G109" s="268"/>
      <c r="H109" s="40"/>
      <c r="I109" s="130"/>
      <c r="J109" s="130"/>
      <c r="K109" s="130"/>
      <c r="L109" s="130"/>
      <c r="M109" s="130"/>
      <c r="N109" s="126"/>
      <c r="O109" s="204"/>
      <c r="P109" s="126"/>
      <c r="Q109" s="124"/>
      <c r="R109" s="192"/>
      <c r="S109" s="126"/>
      <c r="T109" s="200"/>
      <c r="U109" s="200"/>
      <c r="V109" s="200"/>
      <c r="W109" s="200"/>
      <c r="X109" s="200"/>
      <c r="Y109" s="200"/>
      <c r="Z109" s="192" t="str">
        <f ca="1">IF(Flag_Send_Data=1,_xll.DBSW(PL_Saisie_Estime2!Z109,Server&amp;Cube1,PL_Saisie_Estime2!$F$17,PL_Saisie_Estime2!$F$18,PL_Saisie_Estime2!$F$19,PL_Saisie_Estime2!$F$16,PL_Saisie_Estime2!$C$14,PL_Saisie_Estime2!$F$15,PL_Saisie_Estime2!$F$14,PL_Saisie_Estime2!$F$20,PL_Saisie_Estime2!Z$2,PL_Saisie_Estime2!Z$1,PL_Saisie_Estime2!$C109),"")</f>
        <v/>
      </c>
      <c r="AA109" s="192" t="str">
        <f ca="1">IF(Flag_Send_Data=1,_xll.DBSW(PL_Saisie_Estime2!AA109,Server&amp;Cube1,PL_Saisie_Estime2!$F$17,PL_Saisie_Estime2!$F$18,PL_Saisie_Estime2!$F$19,PL_Saisie_Estime2!$F$16,PL_Saisie_Estime2!$C$14,PL_Saisie_Estime2!$F$15,PL_Saisie_Estime2!$F$14,PL_Saisie_Estime2!$F$20,PL_Saisie_Estime2!AA$2,PL_Saisie_Estime2!AA$1,PL_Saisie_Estime2!$C109),"")</f>
        <v/>
      </c>
      <c r="AB109" s="192" t="str">
        <f ca="1">IF(Flag_Send_Data=1,_xll.DBSW(PL_Saisie_Estime2!AB109,Server&amp;Cube1,PL_Saisie_Estime2!$F$17,PL_Saisie_Estime2!$F$18,PL_Saisie_Estime2!$F$19,PL_Saisie_Estime2!$F$16,PL_Saisie_Estime2!$C$14,PL_Saisie_Estime2!$F$15,PL_Saisie_Estime2!$F$14,PL_Saisie_Estime2!$F$20,PL_Saisie_Estime2!AB$2,PL_Saisie_Estime2!AB$1,PL_Saisie_Estime2!$C109),"")</f>
        <v/>
      </c>
      <c r="AC109" s="192" t="str">
        <f ca="1">IF(Flag_Send_Data=1,_xll.DBSW(PL_Saisie_Estime2!AC109,Server&amp;Cube1,PL_Saisie_Estime2!$F$17,PL_Saisie_Estime2!$F$18,PL_Saisie_Estime2!$F$19,PL_Saisie_Estime2!$F$16,PL_Saisie_Estime2!$C$14,PL_Saisie_Estime2!$F$15,PL_Saisie_Estime2!$F$14,PL_Saisie_Estime2!$F$20,PL_Saisie_Estime2!AC$2,PL_Saisie_Estime2!AC$1,PL_Saisie_Estime2!$C109),"")</f>
        <v/>
      </c>
      <c r="AD109" s="192" t="str">
        <f ca="1">IF(Flag_Send_Data=1,_xll.DBSW(PL_Saisie_Estime2!AD109,Server&amp;Cube1,PL_Saisie_Estime2!$F$17,PL_Saisie_Estime2!$F$18,PL_Saisie_Estime2!$F$19,PL_Saisie_Estime2!$F$16,PL_Saisie_Estime2!$C$14,PL_Saisie_Estime2!$F$15,PL_Saisie_Estime2!$F$14,PL_Saisie_Estime2!$F$20,PL_Saisie_Estime2!AD$2,PL_Saisie_Estime2!AD$1,PL_Saisie_Estime2!$C109),"")</f>
        <v/>
      </c>
      <c r="AE109" s="192" t="str">
        <f ca="1">IF(Flag_Send_Data=1,_xll.DBSW(PL_Saisie_Estime2!AE109,Server&amp;Cube1,PL_Saisie_Estime2!$F$17,PL_Saisie_Estime2!$F$18,PL_Saisie_Estime2!$F$19,PL_Saisie_Estime2!$F$16,PL_Saisie_Estime2!$C$14,PL_Saisie_Estime2!$F$15,PL_Saisie_Estime2!$F$14,PL_Saisie_Estime2!$F$20,PL_Saisie_Estime2!AE$2,PL_Saisie_Estime2!AE$1,PL_Saisie_Estime2!$C109),"")</f>
        <v/>
      </c>
      <c r="AF109" s="204"/>
      <c r="AG109" s="53"/>
      <c r="AH109" s="53"/>
      <c r="AI109" s="53"/>
      <c r="AJ109" s="53"/>
      <c r="AK109" s="53"/>
      <c r="AL109" s="53"/>
      <c r="AM109" s="53"/>
      <c r="AN109" s="53"/>
      <c r="AO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</row>
    <row r="110" spans="1:53" s="9" customFormat="1" ht="24.75" customHeight="1" x14ac:dyDescent="0.35">
      <c r="A110" s="181"/>
      <c r="B110" s="163"/>
      <c r="C110" s="158"/>
      <c r="E110" s="268"/>
      <c r="F110" s="268"/>
      <c r="G110" s="268"/>
      <c r="H110" s="40"/>
      <c r="I110" s="130"/>
      <c r="J110" s="130"/>
      <c r="K110" s="130"/>
      <c r="L110" s="130"/>
      <c r="M110" s="130"/>
      <c r="N110" s="126"/>
      <c r="O110" s="204"/>
      <c r="P110" s="126"/>
      <c r="Q110" s="124"/>
      <c r="R110" s="192"/>
      <c r="S110" s="126"/>
      <c r="T110" s="200"/>
      <c r="U110" s="200"/>
      <c r="V110" s="200"/>
      <c r="W110" s="200"/>
      <c r="X110" s="200"/>
      <c r="Y110" s="200"/>
      <c r="Z110" s="192" t="str">
        <f ca="1">IF(Flag_Send_Data=1,_xll.DBSW(PL_Saisie_Estime2!Z110,Server&amp;Cube1,PL_Saisie_Estime2!$F$17,PL_Saisie_Estime2!$F$18,PL_Saisie_Estime2!$F$19,PL_Saisie_Estime2!$F$16,PL_Saisie_Estime2!$C$14,PL_Saisie_Estime2!$F$15,PL_Saisie_Estime2!$F$14,PL_Saisie_Estime2!$F$20,PL_Saisie_Estime2!Z$2,PL_Saisie_Estime2!Z$1,PL_Saisie_Estime2!$C110),"")</f>
        <v/>
      </c>
      <c r="AA110" s="192" t="str">
        <f ca="1">IF(Flag_Send_Data=1,_xll.DBSW(PL_Saisie_Estime2!AA110,Server&amp;Cube1,PL_Saisie_Estime2!$F$17,PL_Saisie_Estime2!$F$18,PL_Saisie_Estime2!$F$19,PL_Saisie_Estime2!$F$16,PL_Saisie_Estime2!$C$14,PL_Saisie_Estime2!$F$15,PL_Saisie_Estime2!$F$14,PL_Saisie_Estime2!$F$20,PL_Saisie_Estime2!AA$2,PL_Saisie_Estime2!AA$1,PL_Saisie_Estime2!$C110),"")</f>
        <v/>
      </c>
      <c r="AB110" s="192" t="str">
        <f ca="1">IF(Flag_Send_Data=1,_xll.DBSW(PL_Saisie_Estime2!AB110,Server&amp;Cube1,PL_Saisie_Estime2!$F$17,PL_Saisie_Estime2!$F$18,PL_Saisie_Estime2!$F$19,PL_Saisie_Estime2!$F$16,PL_Saisie_Estime2!$C$14,PL_Saisie_Estime2!$F$15,PL_Saisie_Estime2!$F$14,PL_Saisie_Estime2!$F$20,PL_Saisie_Estime2!AB$2,PL_Saisie_Estime2!AB$1,PL_Saisie_Estime2!$C110),"")</f>
        <v/>
      </c>
      <c r="AC110" s="192" t="str">
        <f ca="1">IF(Flag_Send_Data=1,_xll.DBSW(PL_Saisie_Estime2!AC110,Server&amp;Cube1,PL_Saisie_Estime2!$F$17,PL_Saisie_Estime2!$F$18,PL_Saisie_Estime2!$F$19,PL_Saisie_Estime2!$F$16,PL_Saisie_Estime2!$C$14,PL_Saisie_Estime2!$F$15,PL_Saisie_Estime2!$F$14,PL_Saisie_Estime2!$F$20,PL_Saisie_Estime2!AC$2,PL_Saisie_Estime2!AC$1,PL_Saisie_Estime2!$C110),"")</f>
        <v/>
      </c>
      <c r="AD110" s="192" t="str">
        <f ca="1">IF(Flag_Send_Data=1,_xll.DBSW(PL_Saisie_Estime2!AD110,Server&amp;Cube1,PL_Saisie_Estime2!$F$17,PL_Saisie_Estime2!$F$18,PL_Saisie_Estime2!$F$19,PL_Saisie_Estime2!$F$16,PL_Saisie_Estime2!$C$14,PL_Saisie_Estime2!$F$15,PL_Saisie_Estime2!$F$14,PL_Saisie_Estime2!$F$20,PL_Saisie_Estime2!AD$2,PL_Saisie_Estime2!AD$1,PL_Saisie_Estime2!$C110),"")</f>
        <v/>
      </c>
      <c r="AE110" s="192" t="str">
        <f ca="1">IF(Flag_Send_Data=1,_xll.DBSW(PL_Saisie_Estime2!AE110,Server&amp;Cube1,PL_Saisie_Estime2!$F$17,PL_Saisie_Estime2!$F$18,PL_Saisie_Estime2!$F$19,PL_Saisie_Estime2!$F$16,PL_Saisie_Estime2!$C$14,PL_Saisie_Estime2!$F$15,PL_Saisie_Estime2!$F$14,PL_Saisie_Estime2!$F$20,PL_Saisie_Estime2!AE$2,PL_Saisie_Estime2!AE$1,PL_Saisie_Estime2!$C110),"")</f>
        <v/>
      </c>
      <c r="AF110" s="204"/>
      <c r="AG110" s="53"/>
      <c r="AH110" s="53"/>
      <c r="AI110" s="53"/>
      <c r="AJ110" s="53"/>
      <c r="AK110" s="53"/>
      <c r="AL110" s="53"/>
      <c r="AM110" s="53"/>
      <c r="AN110" s="53"/>
      <c r="AO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</row>
    <row r="111" spans="1:53" s="9" customFormat="1" ht="24.75" customHeight="1" x14ac:dyDescent="0.35">
      <c r="A111" s="181"/>
      <c r="B111" s="163"/>
      <c r="C111" s="158"/>
      <c r="E111" s="268"/>
      <c r="F111" s="268"/>
      <c r="G111" s="268"/>
      <c r="H111" s="40"/>
      <c r="I111" s="130"/>
      <c r="J111" s="130"/>
      <c r="K111" s="130"/>
      <c r="L111" s="130"/>
      <c r="M111" s="130"/>
      <c r="N111" s="126"/>
      <c r="O111" s="204"/>
      <c r="P111" s="126"/>
      <c r="Q111" s="124"/>
      <c r="R111" s="192"/>
      <c r="S111" s="126"/>
      <c r="T111" s="200"/>
      <c r="U111" s="200"/>
      <c r="V111" s="200"/>
      <c r="W111" s="200"/>
      <c r="X111" s="200"/>
      <c r="Y111" s="200"/>
      <c r="Z111" s="192" t="str">
        <f ca="1">IF(Flag_Send_Data=1,_xll.DBSW(PL_Saisie_Estime2!Z111,Server&amp;Cube1,PL_Saisie_Estime2!$F$17,PL_Saisie_Estime2!$F$18,PL_Saisie_Estime2!$F$19,PL_Saisie_Estime2!$F$16,PL_Saisie_Estime2!$C$14,PL_Saisie_Estime2!$F$15,PL_Saisie_Estime2!$F$14,PL_Saisie_Estime2!$F$20,PL_Saisie_Estime2!Z$2,PL_Saisie_Estime2!Z$1,PL_Saisie_Estime2!$C111),"")</f>
        <v/>
      </c>
      <c r="AA111" s="192" t="str">
        <f ca="1">IF(Flag_Send_Data=1,_xll.DBSW(PL_Saisie_Estime2!AA111,Server&amp;Cube1,PL_Saisie_Estime2!$F$17,PL_Saisie_Estime2!$F$18,PL_Saisie_Estime2!$F$19,PL_Saisie_Estime2!$F$16,PL_Saisie_Estime2!$C$14,PL_Saisie_Estime2!$F$15,PL_Saisie_Estime2!$F$14,PL_Saisie_Estime2!$F$20,PL_Saisie_Estime2!AA$2,PL_Saisie_Estime2!AA$1,PL_Saisie_Estime2!$C111),"")</f>
        <v/>
      </c>
      <c r="AB111" s="192" t="str">
        <f ca="1">IF(Flag_Send_Data=1,_xll.DBSW(PL_Saisie_Estime2!AB111,Server&amp;Cube1,PL_Saisie_Estime2!$F$17,PL_Saisie_Estime2!$F$18,PL_Saisie_Estime2!$F$19,PL_Saisie_Estime2!$F$16,PL_Saisie_Estime2!$C$14,PL_Saisie_Estime2!$F$15,PL_Saisie_Estime2!$F$14,PL_Saisie_Estime2!$F$20,PL_Saisie_Estime2!AB$2,PL_Saisie_Estime2!AB$1,PL_Saisie_Estime2!$C111),"")</f>
        <v/>
      </c>
      <c r="AC111" s="192" t="str">
        <f ca="1">IF(Flag_Send_Data=1,_xll.DBSW(PL_Saisie_Estime2!AC111,Server&amp;Cube1,PL_Saisie_Estime2!$F$17,PL_Saisie_Estime2!$F$18,PL_Saisie_Estime2!$F$19,PL_Saisie_Estime2!$F$16,PL_Saisie_Estime2!$C$14,PL_Saisie_Estime2!$F$15,PL_Saisie_Estime2!$F$14,PL_Saisie_Estime2!$F$20,PL_Saisie_Estime2!AC$2,PL_Saisie_Estime2!AC$1,PL_Saisie_Estime2!$C111),"")</f>
        <v/>
      </c>
      <c r="AD111" s="192" t="str">
        <f ca="1">IF(Flag_Send_Data=1,_xll.DBSW(PL_Saisie_Estime2!AD111,Server&amp;Cube1,PL_Saisie_Estime2!$F$17,PL_Saisie_Estime2!$F$18,PL_Saisie_Estime2!$F$19,PL_Saisie_Estime2!$F$16,PL_Saisie_Estime2!$C$14,PL_Saisie_Estime2!$F$15,PL_Saisie_Estime2!$F$14,PL_Saisie_Estime2!$F$20,PL_Saisie_Estime2!AD$2,PL_Saisie_Estime2!AD$1,PL_Saisie_Estime2!$C111),"")</f>
        <v/>
      </c>
      <c r="AE111" s="192" t="str">
        <f ca="1">IF(Flag_Send_Data=1,_xll.DBSW(PL_Saisie_Estime2!AE111,Server&amp;Cube1,PL_Saisie_Estime2!$F$17,PL_Saisie_Estime2!$F$18,PL_Saisie_Estime2!$F$19,PL_Saisie_Estime2!$F$16,PL_Saisie_Estime2!$C$14,PL_Saisie_Estime2!$F$15,PL_Saisie_Estime2!$F$14,PL_Saisie_Estime2!$F$20,PL_Saisie_Estime2!AE$2,PL_Saisie_Estime2!AE$1,PL_Saisie_Estime2!$C111),"")</f>
        <v/>
      </c>
      <c r="AF111" s="204"/>
      <c r="AG111" s="53"/>
      <c r="AH111" s="53"/>
      <c r="AI111" s="53"/>
      <c r="AJ111" s="53"/>
      <c r="AK111" s="53"/>
      <c r="AL111" s="53"/>
      <c r="AM111" s="53"/>
      <c r="AN111" s="53"/>
      <c r="AO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</row>
    <row r="112" spans="1:53" s="9" customFormat="1" ht="24.75" customHeight="1" x14ac:dyDescent="0.35">
      <c r="A112" s="181"/>
      <c r="B112" s="163"/>
      <c r="C112" s="158"/>
      <c r="E112" s="268"/>
      <c r="F112" s="268"/>
      <c r="G112" s="268"/>
      <c r="H112" s="40"/>
      <c r="I112" s="130"/>
      <c r="J112" s="130"/>
      <c r="K112" s="130"/>
      <c r="L112" s="130"/>
      <c r="M112" s="130"/>
      <c r="N112" s="126"/>
      <c r="O112" s="204"/>
      <c r="P112" s="126"/>
      <c r="Q112" s="124"/>
      <c r="R112" s="192"/>
      <c r="S112" s="126"/>
      <c r="T112" s="200"/>
      <c r="U112" s="200"/>
      <c r="V112" s="200"/>
      <c r="W112" s="200"/>
      <c r="X112" s="200"/>
      <c r="Y112" s="200"/>
      <c r="Z112" s="192" t="str">
        <f ca="1">IF(Flag_Send_Data=1,_xll.DBSW(PL_Saisie_Estime2!Z112,Server&amp;Cube1,PL_Saisie_Estime2!$F$17,PL_Saisie_Estime2!$F$18,PL_Saisie_Estime2!$F$19,PL_Saisie_Estime2!$F$16,PL_Saisie_Estime2!$C$14,PL_Saisie_Estime2!$F$15,PL_Saisie_Estime2!$F$14,PL_Saisie_Estime2!$F$20,PL_Saisie_Estime2!Z$2,PL_Saisie_Estime2!Z$1,PL_Saisie_Estime2!$C112),"")</f>
        <v/>
      </c>
      <c r="AA112" s="192" t="str">
        <f ca="1">IF(Flag_Send_Data=1,_xll.DBSW(PL_Saisie_Estime2!AA112,Server&amp;Cube1,PL_Saisie_Estime2!$F$17,PL_Saisie_Estime2!$F$18,PL_Saisie_Estime2!$F$19,PL_Saisie_Estime2!$F$16,PL_Saisie_Estime2!$C$14,PL_Saisie_Estime2!$F$15,PL_Saisie_Estime2!$F$14,PL_Saisie_Estime2!$F$20,PL_Saisie_Estime2!AA$2,PL_Saisie_Estime2!AA$1,PL_Saisie_Estime2!$C112),"")</f>
        <v/>
      </c>
      <c r="AB112" s="192" t="str">
        <f ca="1">IF(Flag_Send_Data=1,_xll.DBSW(PL_Saisie_Estime2!AB112,Server&amp;Cube1,PL_Saisie_Estime2!$F$17,PL_Saisie_Estime2!$F$18,PL_Saisie_Estime2!$F$19,PL_Saisie_Estime2!$F$16,PL_Saisie_Estime2!$C$14,PL_Saisie_Estime2!$F$15,PL_Saisie_Estime2!$F$14,PL_Saisie_Estime2!$F$20,PL_Saisie_Estime2!AB$2,PL_Saisie_Estime2!AB$1,PL_Saisie_Estime2!$C112),"")</f>
        <v/>
      </c>
      <c r="AC112" s="192" t="str">
        <f ca="1">IF(Flag_Send_Data=1,_xll.DBSW(PL_Saisie_Estime2!AC112,Server&amp;Cube1,PL_Saisie_Estime2!$F$17,PL_Saisie_Estime2!$F$18,PL_Saisie_Estime2!$F$19,PL_Saisie_Estime2!$F$16,PL_Saisie_Estime2!$C$14,PL_Saisie_Estime2!$F$15,PL_Saisie_Estime2!$F$14,PL_Saisie_Estime2!$F$20,PL_Saisie_Estime2!AC$2,PL_Saisie_Estime2!AC$1,PL_Saisie_Estime2!$C112),"")</f>
        <v/>
      </c>
      <c r="AD112" s="192" t="str">
        <f ca="1">IF(Flag_Send_Data=1,_xll.DBSW(PL_Saisie_Estime2!AD112,Server&amp;Cube1,PL_Saisie_Estime2!$F$17,PL_Saisie_Estime2!$F$18,PL_Saisie_Estime2!$F$19,PL_Saisie_Estime2!$F$16,PL_Saisie_Estime2!$C$14,PL_Saisie_Estime2!$F$15,PL_Saisie_Estime2!$F$14,PL_Saisie_Estime2!$F$20,PL_Saisie_Estime2!AD$2,PL_Saisie_Estime2!AD$1,PL_Saisie_Estime2!$C112),"")</f>
        <v/>
      </c>
      <c r="AE112" s="192" t="str">
        <f ca="1">IF(Flag_Send_Data=1,_xll.DBSW(PL_Saisie_Estime2!AE112,Server&amp;Cube1,PL_Saisie_Estime2!$F$17,PL_Saisie_Estime2!$F$18,PL_Saisie_Estime2!$F$19,PL_Saisie_Estime2!$F$16,PL_Saisie_Estime2!$C$14,PL_Saisie_Estime2!$F$15,PL_Saisie_Estime2!$F$14,PL_Saisie_Estime2!$F$20,PL_Saisie_Estime2!AE$2,PL_Saisie_Estime2!AE$1,PL_Saisie_Estime2!$C112),"")</f>
        <v/>
      </c>
      <c r="AF112" s="204"/>
      <c r="AG112" s="53"/>
      <c r="AH112" s="53"/>
      <c r="AI112" s="53"/>
      <c r="AJ112" s="53"/>
      <c r="AK112" s="53"/>
      <c r="AL112" s="53"/>
      <c r="AM112" s="53"/>
      <c r="AN112" s="53"/>
      <c r="AO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</row>
    <row r="113" spans="1:53" s="9" customFormat="1" ht="24.75" customHeight="1" x14ac:dyDescent="0.35">
      <c r="A113" s="181"/>
      <c r="B113" s="163"/>
      <c r="C113" s="158"/>
      <c r="E113" s="268"/>
      <c r="F113" s="268"/>
      <c r="G113" s="268"/>
      <c r="H113" s="40"/>
      <c r="I113" s="130"/>
      <c r="J113" s="130"/>
      <c r="K113" s="130"/>
      <c r="L113" s="130"/>
      <c r="M113" s="130"/>
      <c r="N113" s="126"/>
      <c r="O113" s="204"/>
      <c r="P113" s="126"/>
      <c r="Q113" s="124"/>
      <c r="R113" s="192"/>
      <c r="S113" s="126"/>
      <c r="T113" s="200"/>
      <c r="U113" s="200"/>
      <c r="V113" s="200"/>
      <c r="W113" s="200"/>
      <c r="X113" s="200"/>
      <c r="Y113" s="200"/>
      <c r="Z113" s="192" t="str">
        <f ca="1">IF(Flag_Send_Data=1,_xll.DBSW(PL_Saisie_Estime2!Z113,Server&amp;Cube1,PL_Saisie_Estime2!$F$17,PL_Saisie_Estime2!$F$18,PL_Saisie_Estime2!$F$19,PL_Saisie_Estime2!$F$16,PL_Saisie_Estime2!$C$14,PL_Saisie_Estime2!$F$15,PL_Saisie_Estime2!$F$14,PL_Saisie_Estime2!$F$20,PL_Saisie_Estime2!Z$2,PL_Saisie_Estime2!Z$1,PL_Saisie_Estime2!$C113),"")</f>
        <v/>
      </c>
      <c r="AA113" s="192" t="str">
        <f ca="1">IF(Flag_Send_Data=1,_xll.DBSW(PL_Saisie_Estime2!AA113,Server&amp;Cube1,PL_Saisie_Estime2!$F$17,PL_Saisie_Estime2!$F$18,PL_Saisie_Estime2!$F$19,PL_Saisie_Estime2!$F$16,PL_Saisie_Estime2!$C$14,PL_Saisie_Estime2!$F$15,PL_Saisie_Estime2!$F$14,PL_Saisie_Estime2!$F$20,PL_Saisie_Estime2!AA$2,PL_Saisie_Estime2!AA$1,PL_Saisie_Estime2!$C113),"")</f>
        <v/>
      </c>
      <c r="AB113" s="192" t="str">
        <f ca="1">IF(Flag_Send_Data=1,_xll.DBSW(PL_Saisie_Estime2!AB113,Server&amp;Cube1,PL_Saisie_Estime2!$F$17,PL_Saisie_Estime2!$F$18,PL_Saisie_Estime2!$F$19,PL_Saisie_Estime2!$F$16,PL_Saisie_Estime2!$C$14,PL_Saisie_Estime2!$F$15,PL_Saisie_Estime2!$F$14,PL_Saisie_Estime2!$F$20,PL_Saisie_Estime2!AB$2,PL_Saisie_Estime2!AB$1,PL_Saisie_Estime2!$C113),"")</f>
        <v/>
      </c>
      <c r="AC113" s="192" t="str">
        <f ca="1">IF(Flag_Send_Data=1,_xll.DBSW(PL_Saisie_Estime2!AC113,Server&amp;Cube1,PL_Saisie_Estime2!$F$17,PL_Saisie_Estime2!$F$18,PL_Saisie_Estime2!$F$19,PL_Saisie_Estime2!$F$16,PL_Saisie_Estime2!$C$14,PL_Saisie_Estime2!$F$15,PL_Saisie_Estime2!$F$14,PL_Saisie_Estime2!$F$20,PL_Saisie_Estime2!AC$2,PL_Saisie_Estime2!AC$1,PL_Saisie_Estime2!$C113),"")</f>
        <v/>
      </c>
      <c r="AD113" s="192" t="str">
        <f ca="1">IF(Flag_Send_Data=1,_xll.DBSW(PL_Saisie_Estime2!AD113,Server&amp;Cube1,PL_Saisie_Estime2!$F$17,PL_Saisie_Estime2!$F$18,PL_Saisie_Estime2!$F$19,PL_Saisie_Estime2!$F$16,PL_Saisie_Estime2!$C$14,PL_Saisie_Estime2!$F$15,PL_Saisie_Estime2!$F$14,PL_Saisie_Estime2!$F$20,PL_Saisie_Estime2!AD$2,PL_Saisie_Estime2!AD$1,PL_Saisie_Estime2!$C113),"")</f>
        <v/>
      </c>
      <c r="AE113" s="192" t="str">
        <f ca="1">IF(Flag_Send_Data=1,_xll.DBSW(PL_Saisie_Estime2!AE113,Server&amp;Cube1,PL_Saisie_Estime2!$F$17,PL_Saisie_Estime2!$F$18,PL_Saisie_Estime2!$F$19,PL_Saisie_Estime2!$F$16,PL_Saisie_Estime2!$C$14,PL_Saisie_Estime2!$F$15,PL_Saisie_Estime2!$F$14,PL_Saisie_Estime2!$F$20,PL_Saisie_Estime2!AE$2,PL_Saisie_Estime2!AE$1,PL_Saisie_Estime2!$C113),"")</f>
        <v/>
      </c>
      <c r="AF113" s="204"/>
      <c r="AG113" s="53"/>
      <c r="AH113" s="53"/>
      <c r="AI113" s="53"/>
      <c r="AJ113" s="53"/>
      <c r="AK113" s="53"/>
      <c r="AL113" s="53"/>
      <c r="AM113" s="53"/>
      <c r="AN113" s="53"/>
      <c r="AO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1:53" s="9" customFormat="1" ht="24.75" customHeight="1" x14ac:dyDescent="0.35">
      <c r="A114" s="181"/>
      <c r="B114" s="163"/>
      <c r="C114" s="158"/>
      <c r="E114" s="268"/>
      <c r="F114" s="268"/>
      <c r="G114" s="268"/>
      <c r="H114" s="40"/>
      <c r="I114" s="130"/>
      <c r="J114" s="130"/>
      <c r="K114" s="130"/>
      <c r="L114" s="130"/>
      <c r="M114" s="130"/>
      <c r="N114" s="126"/>
      <c r="O114" s="204"/>
      <c r="P114" s="126"/>
      <c r="Q114" s="124"/>
      <c r="R114" s="192"/>
      <c r="S114" s="126"/>
      <c r="T114" s="200"/>
      <c r="U114" s="200"/>
      <c r="V114" s="200"/>
      <c r="W114" s="200"/>
      <c r="X114" s="200"/>
      <c r="Y114" s="200"/>
      <c r="Z114" s="192" t="str">
        <f ca="1">IF(Flag_Send_Data=1,_xll.DBSW(PL_Saisie_Estime2!Z114,Server&amp;Cube1,PL_Saisie_Estime2!$F$17,PL_Saisie_Estime2!$F$18,PL_Saisie_Estime2!$F$19,PL_Saisie_Estime2!$F$16,PL_Saisie_Estime2!$C$14,PL_Saisie_Estime2!$F$15,PL_Saisie_Estime2!$F$14,PL_Saisie_Estime2!$F$20,PL_Saisie_Estime2!Z$2,PL_Saisie_Estime2!Z$1,PL_Saisie_Estime2!$C114),"")</f>
        <v/>
      </c>
      <c r="AA114" s="192" t="str">
        <f ca="1">IF(Flag_Send_Data=1,_xll.DBSW(PL_Saisie_Estime2!AA114,Server&amp;Cube1,PL_Saisie_Estime2!$F$17,PL_Saisie_Estime2!$F$18,PL_Saisie_Estime2!$F$19,PL_Saisie_Estime2!$F$16,PL_Saisie_Estime2!$C$14,PL_Saisie_Estime2!$F$15,PL_Saisie_Estime2!$F$14,PL_Saisie_Estime2!$F$20,PL_Saisie_Estime2!AA$2,PL_Saisie_Estime2!AA$1,PL_Saisie_Estime2!$C114),"")</f>
        <v/>
      </c>
      <c r="AB114" s="192" t="str">
        <f ca="1">IF(Flag_Send_Data=1,_xll.DBSW(PL_Saisie_Estime2!AB114,Server&amp;Cube1,PL_Saisie_Estime2!$F$17,PL_Saisie_Estime2!$F$18,PL_Saisie_Estime2!$F$19,PL_Saisie_Estime2!$F$16,PL_Saisie_Estime2!$C$14,PL_Saisie_Estime2!$F$15,PL_Saisie_Estime2!$F$14,PL_Saisie_Estime2!$F$20,PL_Saisie_Estime2!AB$2,PL_Saisie_Estime2!AB$1,PL_Saisie_Estime2!$C114),"")</f>
        <v/>
      </c>
      <c r="AC114" s="192" t="str">
        <f ca="1">IF(Flag_Send_Data=1,_xll.DBSW(PL_Saisie_Estime2!AC114,Server&amp;Cube1,PL_Saisie_Estime2!$F$17,PL_Saisie_Estime2!$F$18,PL_Saisie_Estime2!$F$19,PL_Saisie_Estime2!$F$16,PL_Saisie_Estime2!$C$14,PL_Saisie_Estime2!$F$15,PL_Saisie_Estime2!$F$14,PL_Saisie_Estime2!$F$20,PL_Saisie_Estime2!AC$2,PL_Saisie_Estime2!AC$1,PL_Saisie_Estime2!$C114),"")</f>
        <v/>
      </c>
      <c r="AD114" s="192" t="str">
        <f ca="1">IF(Flag_Send_Data=1,_xll.DBSW(PL_Saisie_Estime2!AD114,Server&amp;Cube1,PL_Saisie_Estime2!$F$17,PL_Saisie_Estime2!$F$18,PL_Saisie_Estime2!$F$19,PL_Saisie_Estime2!$F$16,PL_Saisie_Estime2!$C$14,PL_Saisie_Estime2!$F$15,PL_Saisie_Estime2!$F$14,PL_Saisie_Estime2!$F$20,PL_Saisie_Estime2!AD$2,PL_Saisie_Estime2!AD$1,PL_Saisie_Estime2!$C114),"")</f>
        <v/>
      </c>
      <c r="AE114" s="192" t="str">
        <f ca="1">IF(Flag_Send_Data=1,_xll.DBSW(PL_Saisie_Estime2!AE114,Server&amp;Cube1,PL_Saisie_Estime2!$F$17,PL_Saisie_Estime2!$F$18,PL_Saisie_Estime2!$F$19,PL_Saisie_Estime2!$F$16,PL_Saisie_Estime2!$C$14,PL_Saisie_Estime2!$F$15,PL_Saisie_Estime2!$F$14,PL_Saisie_Estime2!$F$20,PL_Saisie_Estime2!AE$2,PL_Saisie_Estime2!AE$1,PL_Saisie_Estime2!$C114),"")</f>
        <v/>
      </c>
      <c r="AF114" s="204"/>
      <c r="AG114" s="53"/>
      <c r="AH114" s="53"/>
      <c r="AI114" s="53"/>
      <c r="AJ114" s="53"/>
      <c r="AK114" s="53"/>
      <c r="AL114" s="53"/>
      <c r="AM114" s="53"/>
      <c r="AN114" s="53"/>
      <c r="AO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1:53" s="9" customFormat="1" ht="24.75" customHeight="1" x14ac:dyDescent="0.35">
      <c r="A115" s="181"/>
      <c r="B115" s="163"/>
      <c r="C115" s="158"/>
      <c r="E115" s="268"/>
      <c r="F115" s="268"/>
      <c r="G115" s="268"/>
      <c r="H115" s="40"/>
      <c r="I115" s="130"/>
      <c r="J115" s="130"/>
      <c r="K115" s="130"/>
      <c r="L115" s="130"/>
      <c r="M115" s="130"/>
      <c r="N115" s="126"/>
      <c r="O115" s="204"/>
      <c r="P115" s="126"/>
      <c r="Q115" s="124"/>
      <c r="R115" s="192"/>
      <c r="S115" s="126"/>
      <c r="T115" s="200"/>
      <c r="U115" s="200"/>
      <c r="V115" s="200"/>
      <c r="W115" s="200"/>
      <c r="X115" s="200"/>
      <c r="Y115" s="200"/>
      <c r="Z115" s="192" t="str">
        <f ca="1">IF(Flag_Send_Data=1,_xll.DBSW(PL_Saisie_Estime2!Z115,Server&amp;Cube1,PL_Saisie_Estime2!$F$17,PL_Saisie_Estime2!$F$18,PL_Saisie_Estime2!$F$19,PL_Saisie_Estime2!$F$16,PL_Saisie_Estime2!$C$14,PL_Saisie_Estime2!$F$15,PL_Saisie_Estime2!$F$14,PL_Saisie_Estime2!$F$20,PL_Saisie_Estime2!Z$2,PL_Saisie_Estime2!Z$1,PL_Saisie_Estime2!$C115),"")</f>
        <v/>
      </c>
      <c r="AA115" s="192" t="str">
        <f ca="1">IF(Flag_Send_Data=1,_xll.DBSW(PL_Saisie_Estime2!AA115,Server&amp;Cube1,PL_Saisie_Estime2!$F$17,PL_Saisie_Estime2!$F$18,PL_Saisie_Estime2!$F$19,PL_Saisie_Estime2!$F$16,PL_Saisie_Estime2!$C$14,PL_Saisie_Estime2!$F$15,PL_Saisie_Estime2!$F$14,PL_Saisie_Estime2!$F$20,PL_Saisie_Estime2!AA$2,PL_Saisie_Estime2!AA$1,PL_Saisie_Estime2!$C115),"")</f>
        <v/>
      </c>
      <c r="AB115" s="192" t="str">
        <f ca="1">IF(Flag_Send_Data=1,_xll.DBSW(PL_Saisie_Estime2!AB115,Server&amp;Cube1,PL_Saisie_Estime2!$F$17,PL_Saisie_Estime2!$F$18,PL_Saisie_Estime2!$F$19,PL_Saisie_Estime2!$F$16,PL_Saisie_Estime2!$C$14,PL_Saisie_Estime2!$F$15,PL_Saisie_Estime2!$F$14,PL_Saisie_Estime2!$F$20,PL_Saisie_Estime2!AB$2,PL_Saisie_Estime2!AB$1,PL_Saisie_Estime2!$C115),"")</f>
        <v/>
      </c>
      <c r="AC115" s="192" t="str">
        <f ca="1">IF(Flag_Send_Data=1,_xll.DBSW(PL_Saisie_Estime2!AC115,Server&amp;Cube1,PL_Saisie_Estime2!$F$17,PL_Saisie_Estime2!$F$18,PL_Saisie_Estime2!$F$19,PL_Saisie_Estime2!$F$16,PL_Saisie_Estime2!$C$14,PL_Saisie_Estime2!$F$15,PL_Saisie_Estime2!$F$14,PL_Saisie_Estime2!$F$20,PL_Saisie_Estime2!AC$2,PL_Saisie_Estime2!AC$1,PL_Saisie_Estime2!$C115),"")</f>
        <v/>
      </c>
      <c r="AD115" s="192" t="str">
        <f ca="1">IF(Flag_Send_Data=1,_xll.DBSW(PL_Saisie_Estime2!AD115,Server&amp;Cube1,PL_Saisie_Estime2!$F$17,PL_Saisie_Estime2!$F$18,PL_Saisie_Estime2!$F$19,PL_Saisie_Estime2!$F$16,PL_Saisie_Estime2!$C$14,PL_Saisie_Estime2!$F$15,PL_Saisie_Estime2!$F$14,PL_Saisie_Estime2!$F$20,PL_Saisie_Estime2!AD$2,PL_Saisie_Estime2!AD$1,PL_Saisie_Estime2!$C115),"")</f>
        <v/>
      </c>
      <c r="AE115" s="192" t="str">
        <f ca="1">IF(Flag_Send_Data=1,_xll.DBSW(PL_Saisie_Estime2!AE115,Server&amp;Cube1,PL_Saisie_Estime2!$F$17,PL_Saisie_Estime2!$F$18,PL_Saisie_Estime2!$F$19,PL_Saisie_Estime2!$F$16,PL_Saisie_Estime2!$C$14,PL_Saisie_Estime2!$F$15,PL_Saisie_Estime2!$F$14,PL_Saisie_Estime2!$F$20,PL_Saisie_Estime2!AE$2,PL_Saisie_Estime2!AE$1,PL_Saisie_Estime2!$C115),"")</f>
        <v/>
      </c>
      <c r="AF115" s="204"/>
      <c r="AG115" s="53"/>
      <c r="AH115" s="53"/>
      <c r="AI115" s="53"/>
      <c r="AJ115" s="53"/>
      <c r="AK115" s="53"/>
      <c r="AL115" s="53"/>
      <c r="AM115" s="53"/>
      <c r="AN115" s="53"/>
      <c r="AO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1:53" s="9" customFormat="1" ht="24.75" customHeight="1" x14ac:dyDescent="0.35">
      <c r="A116" s="181"/>
      <c r="B116" s="163"/>
      <c r="C116" s="158"/>
      <c r="E116" s="268"/>
      <c r="F116" s="268"/>
      <c r="G116" s="268"/>
      <c r="H116" s="40"/>
      <c r="I116" s="130"/>
      <c r="J116" s="130"/>
      <c r="K116" s="130"/>
      <c r="L116" s="130"/>
      <c r="M116" s="130"/>
      <c r="N116" s="126"/>
      <c r="O116" s="204"/>
      <c r="P116" s="126"/>
      <c r="Q116" s="124"/>
      <c r="R116" s="192"/>
      <c r="S116" s="126"/>
      <c r="T116" s="200"/>
      <c r="U116" s="200"/>
      <c r="V116" s="200"/>
      <c r="W116" s="200"/>
      <c r="X116" s="200"/>
      <c r="Y116" s="200"/>
      <c r="Z116" s="192" t="str">
        <f ca="1">IF(Flag_Send_Data=1,_xll.DBSW(PL_Saisie_Estime2!Z116,Server&amp;Cube1,PL_Saisie_Estime2!$F$17,PL_Saisie_Estime2!$F$18,PL_Saisie_Estime2!$F$19,PL_Saisie_Estime2!$F$16,PL_Saisie_Estime2!$C$14,PL_Saisie_Estime2!$F$15,PL_Saisie_Estime2!$F$14,PL_Saisie_Estime2!$F$20,PL_Saisie_Estime2!Z$2,PL_Saisie_Estime2!Z$1,PL_Saisie_Estime2!$C116),"")</f>
        <v/>
      </c>
      <c r="AA116" s="192" t="str">
        <f ca="1">IF(Flag_Send_Data=1,_xll.DBSW(PL_Saisie_Estime2!AA116,Server&amp;Cube1,PL_Saisie_Estime2!$F$17,PL_Saisie_Estime2!$F$18,PL_Saisie_Estime2!$F$19,PL_Saisie_Estime2!$F$16,PL_Saisie_Estime2!$C$14,PL_Saisie_Estime2!$F$15,PL_Saisie_Estime2!$F$14,PL_Saisie_Estime2!$F$20,PL_Saisie_Estime2!AA$2,PL_Saisie_Estime2!AA$1,PL_Saisie_Estime2!$C116),"")</f>
        <v/>
      </c>
      <c r="AB116" s="192" t="str">
        <f ca="1">IF(Flag_Send_Data=1,_xll.DBSW(PL_Saisie_Estime2!AB116,Server&amp;Cube1,PL_Saisie_Estime2!$F$17,PL_Saisie_Estime2!$F$18,PL_Saisie_Estime2!$F$19,PL_Saisie_Estime2!$F$16,PL_Saisie_Estime2!$C$14,PL_Saisie_Estime2!$F$15,PL_Saisie_Estime2!$F$14,PL_Saisie_Estime2!$F$20,PL_Saisie_Estime2!AB$2,PL_Saisie_Estime2!AB$1,PL_Saisie_Estime2!$C116),"")</f>
        <v/>
      </c>
      <c r="AC116" s="192" t="str">
        <f ca="1">IF(Flag_Send_Data=1,_xll.DBSW(PL_Saisie_Estime2!AC116,Server&amp;Cube1,PL_Saisie_Estime2!$F$17,PL_Saisie_Estime2!$F$18,PL_Saisie_Estime2!$F$19,PL_Saisie_Estime2!$F$16,PL_Saisie_Estime2!$C$14,PL_Saisie_Estime2!$F$15,PL_Saisie_Estime2!$F$14,PL_Saisie_Estime2!$F$20,PL_Saisie_Estime2!AC$2,PL_Saisie_Estime2!AC$1,PL_Saisie_Estime2!$C116),"")</f>
        <v/>
      </c>
      <c r="AD116" s="192" t="str">
        <f ca="1">IF(Flag_Send_Data=1,_xll.DBSW(PL_Saisie_Estime2!AD116,Server&amp;Cube1,PL_Saisie_Estime2!$F$17,PL_Saisie_Estime2!$F$18,PL_Saisie_Estime2!$F$19,PL_Saisie_Estime2!$F$16,PL_Saisie_Estime2!$C$14,PL_Saisie_Estime2!$F$15,PL_Saisie_Estime2!$F$14,PL_Saisie_Estime2!$F$20,PL_Saisie_Estime2!AD$2,PL_Saisie_Estime2!AD$1,PL_Saisie_Estime2!$C116),"")</f>
        <v/>
      </c>
      <c r="AE116" s="192" t="str">
        <f ca="1">IF(Flag_Send_Data=1,_xll.DBSW(PL_Saisie_Estime2!AE116,Server&amp;Cube1,PL_Saisie_Estime2!$F$17,PL_Saisie_Estime2!$F$18,PL_Saisie_Estime2!$F$19,PL_Saisie_Estime2!$F$16,PL_Saisie_Estime2!$C$14,PL_Saisie_Estime2!$F$15,PL_Saisie_Estime2!$F$14,PL_Saisie_Estime2!$F$20,PL_Saisie_Estime2!AE$2,PL_Saisie_Estime2!AE$1,PL_Saisie_Estime2!$C116),"")</f>
        <v/>
      </c>
      <c r="AF116" s="204"/>
      <c r="AG116" s="53"/>
      <c r="AH116" s="53"/>
      <c r="AI116" s="53"/>
      <c r="AJ116" s="53"/>
      <c r="AK116" s="53"/>
      <c r="AL116" s="53"/>
      <c r="AM116" s="53"/>
      <c r="AN116" s="53"/>
      <c r="AO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1:53" s="9" customFormat="1" ht="24.75" customHeight="1" x14ac:dyDescent="0.35">
      <c r="A117" s="181"/>
      <c r="B117" s="163"/>
      <c r="C117" s="158"/>
      <c r="E117" s="268"/>
      <c r="F117" s="268"/>
      <c r="G117" s="268"/>
      <c r="H117" s="40"/>
      <c r="I117" s="130"/>
      <c r="J117" s="130"/>
      <c r="K117" s="130"/>
      <c r="L117" s="130"/>
      <c r="M117" s="130"/>
      <c r="N117" s="126"/>
      <c r="O117" s="204"/>
      <c r="P117" s="126"/>
      <c r="Q117" s="124"/>
      <c r="R117" s="192"/>
      <c r="S117" s="126"/>
      <c r="T117" s="200"/>
      <c r="U117" s="200"/>
      <c r="V117" s="200"/>
      <c r="W117" s="200"/>
      <c r="X117" s="200"/>
      <c r="Y117" s="200"/>
      <c r="Z117" s="192" t="str">
        <f ca="1">IF(Flag_Send_Data=1,_xll.DBSW(PL_Saisie_Estime2!Z117,Server&amp;Cube1,PL_Saisie_Estime2!$F$17,PL_Saisie_Estime2!$F$18,PL_Saisie_Estime2!$F$19,PL_Saisie_Estime2!$F$16,PL_Saisie_Estime2!$C$14,PL_Saisie_Estime2!$F$15,PL_Saisie_Estime2!$F$14,PL_Saisie_Estime2!$F$20,PL_Saisie_Estime2!Z$2,PL_Saisie_Estime2!Z$1,PL_Saisie_Estime2!$C117),"")</f>
        <v/>
      </c>
      <c r="AA117" s="192" t="str">
        <f ca="1">IF(Flag_Send_Data=1,_xll.DBSW(PL_Saisie_Estime2!AA117,Server&amp;Cube1,PL_Saisie_Estime2!$F$17,PL_Saisie_Estime2!$F$18,PL_Saisie_Estime2!$F$19,PL_Saisie_Estime2!$F$16,PL_Saisie_Estime2!$C$14,PL_Saisie_Estime2!$F$15,PL_Saisie_Estime2!$F$14,PL_Saisie_Estime2!$F$20,PL_Saisie_Estime2!AA$2,PL_Saisie_Estime2!AA$1,PL_Saisie_Estime2!$C117),"")</f>
        <v/>
      </c>
      <c r="AB117" s="192" t="str">
        <f ca="1">IF(Flag_Send_Data=1,_xll.DBSW(PL_Saisie_Estime2!AB117,Server&amp;Cube1,PL_Saisie_Estime2!$F$17,PL_Saisie_Estime2!$F$18,PL_Saisie_Estime2!$F$19,PL_Saisie_Estime2!$F$16,PL_Saisie_Estime2!$C$14,PL_Saisie_Estime2!$F$15,PL_Saisie_Estime2!$F$14,PL_Saisie_Estime2!$F$20,PL_Saisie_Estime2!AB$2,PL_Saisie_Estime2!AB$1,PL_Saisie_Estime2!$C117),"")</f>
        <v/>
      </c>
      <c r="AC117" s="192" t="str">
        <f ca="1">IF(Flag_Send_Data=1,_xll.DBSW(PL_Saisie_Estime2!AC117,Server&amp;Cube1,PL_Saisie_Estime2!$F$17,PL_Saisie_Estime2!$F$18,PL_Saisie_Estime2!$F$19,PL_Saisie_Estime2!$F$16,PL_Saisie_Estime2!$C$14,PL_Saisie_Estime2!$F$15,PL_Saisie_Estime2!$F$14,PL_Saisie_Estime2!$F$20,PL_Saisie_Estime2!AC$2,PL_Saisie_Estime2!AC$1,PL_Saisie_Estime2!$C117),"")</f>
        <v/>
      </c>
      <c r="AD117" s="192" t="str">
        <f ca="1">IF(Flag_Send_Data=1,_xll.DBSW(PL_Saisie_Estime2!AD117,Server&amp;Cube1,PL_Saisie_Estime2!$F$17,PL_Saisie_Estime2!$F$18,PL_Saisie_Estime2!$F$19,PL_Saisie_Estime2!$F$16,PL_Saisie_Estime2!$C$14,PL_Saisie_Estime2!$F$15,PL_Saisie_Estime2!$F$14,PL_Saisie_Estime2!$F$20,PL_Saisie_Estime2!AD$2,PL_Saisie_Estime2!AD$1,PL_Saisie_Estime2!$C117),"")</f>
        <v/>
      </c>
      <c r="AE117" s="192" t="str">
        <f ca="1">IF(Flag_Send_Data=1,_xll.DBSW(PL_Saisie_Estime2!AE117,Server&amp;Cube1,PL_Saisie_Estime2!$F$17,PL_Saisie_Estime2!$F$18,PL_Saisie_Estime2!$F$19,PL_Saisie_Estime2!$F$16,PL_Saisie_Estime2!$C$14,PL_Saisie_Estime2!$F$15,PL_Saisie_Estime2!$F$14,PL_Saisie_Estime2!$F$20,PL_Saisie_Estime2!AE$2,PL_Saisie_Estime2!AE$1,PL_Saisie_Estime2!$C117),"")</f>
        <v/>
      </c>
      <c r="AF117" s="204"/>
      <c r="AG117" s="53"/>
      <c r="AH117" s="53"/>
      <c r="AI117" s="53"/>
      <c r="AJ117" s="53"/>
      <c r="AK117" s="53"/>
      <c r="AL117" s="53"/>
      <c r="AM117" s="53"/>
      <c r="AN117" s="53"/>
      <c r="AO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1:53" s="9" customFormat="1" ht="24.75" customHeight="1" x14ac:dyDescent="0.35">
      <c r="A118" s="181"/>
      <c r="B118" s="163"/>
      <c r="C118" s="158"/>
      <c r="E118" s="268"/>
      <c r="F118" s="268"/>
      <c r="G118" s="268"/>
      <c r="H118" s="40"/>
      <c r="I118" s="130"/>
      <c r="J118" s="130"/>
      <c r="K118" s="130"/>
      <c r="L118" s="130"/>
      <c r="M118" s="130"/>
      <c r="N118" s="126"/>
      <c r="O118" s="204"/>
      <c r="P118" s="126"/>
      <c r="Q118" s="124"/>
      <c r="R118" s="192"/>
      <c r="S118" s="126"/>
      <c r="T118" s="200"/>
      <c r="U118" s="200"/>
      <c r="V118" s="200"/>
      <c r="W118" s="200"/>
      <c r="X118" s="200"/>
      <c r="Y118" s="200"/>
      <c r="Z118" s="192" t="str">
        <f ca="1">IF(Flag_Send_Data=1,_xll.DBSW(PL_Saisie_Estime2!Z118,Server&amp;Cube1,PL_Saisie_Estime2!$F$17,PL_Saisie_Estime2!$F$18,PL_Saisie_Estime2!$F$19,PL_Saisie_Estime2!$F$16,PL_Saisie_Estime2!$C$14,PL_Saisie_Estime2!$F$15,PL_Saisie_Estime2!$F$14,PL_Saisie_Estime2!$F$20,PL_Saisie_Estime2!Z$2,PL_Saisie_Estime2!Z$1,PL_Saisie_Estime2!$C118),"")</f>
        <v/>
      </c>
      <c r="AA118" s="192" t="str">
        <f ca="1">IF(Flag_Send_Data=1,_xll.DBSW(PL_Saisie_Estime2!AA118,Server&amp;Cube1,PL_Saisie_Estime2!$F$17,PL_Saisie_Estime2!$F$18,PL_Saisie_Estime2!$F$19,PL_Saisie_Estime2!$F$16,PL_Saisie_Estime2!$C$14,PL_Saisie_Estime2!$F$15,PL_Saisie_Estime2!$F$14,PL_Saisie_Estime2!$F$20,PL_Saisie_Estime2!AA$2,PL_Saisie_Estime2!AA$1,PL_Saisie_Estime2!$C118),"")</f>
        <v/>
      </c>
      <c r="AB118" s="192" t="str">
        <f ca="1">IF(Flag_Send_Data=1,_xll.DBSW(PL_Saisie_Estime2!AB118,Server&amp;Cube1,PL_Saisie_Estime2!$F$17,PL_Saisie_Estime2!$F$18,PL_Saisie_Estime2!$F$19,PL_Saisie_Estime2!$F$16,PL_Saisie_Estime2!$C$14,PL_Saisie_Estime2!$F$15,PL_Saisie_Estime2!$F$14,PL_Saisie_Estime2!$F$20,PL_Saisie_Estime2!AB$2,PL_Saisie_Estime2!AB$1,PL_Saisie_Estime2!$C118),"")</f>
        <v/>
      </c>
      <c r="AC118" s="192" t="str">
        <f ca="1">IF(Flag_Send_Data=1,_xll.DBSW(PL_Saisie_Estime2!AC118,Server&amp;Cube1,PL_Saisie_Estime2!$F$17,PL_Saisie_Estime2!$F$18,PL_Saisie_Estime2!$F$19,PL_Saisie_Estime2!$F$16,PL_Saisie_Estime2!$C$14,PL_Saisie_Estime2!$F$15,PL_Saisie_Estime2!$F$14,PL_Saisie_Estime2!$F$20,PL_Saisie_Estime2!AC$2,PL_Saisie_Estime2!AC$1,PL_Saisie_Estime2!$C118),"")</f>
        <v/>
      </c>
      <c r="AD118" s="192" t="str">
        <f ca="1">IF(Flag_Send_Data=1,_xll.DBSW(PL_Saisie_Estime2!AD118,Server&amp;Cube1,PL_Saisie_Estime2!$F$17,PL_Saisie_Estime2!$F$18,PL_Saisie_Estime2!$F$19,PL_Saisie_Estime2!$F$16,PL_Saisie_Estime2!$C$14,PL_Saisie_Estime2!$F$15,PL_Saisie_Estime2!$F$14,PL_Saisie_Estime2!$F$20,PL_Saisie_Estime2!AD$2,PL_Saisie_Estime2!AD$1,PL_Saisie_Estime2!$C118),"")</f>
        <v/>
      </c>
      <c r="AE118" s="192" t="str">
        <f ca="1">IF(Flag_Send_Data=1,_xll.DBSW(PL_Saisie_Estime2!AE118,Server&amp;Cube1,PL_Saisie_Estime2!$F$17,PL_Saisie_Estime2!$F$18,PL_Saisie_Estime2!$F$19,PL_Saisie_Estime2!$F$16,PL_Saisie_Estime2!$C$14,PL_Saisie_Estime2!$F$15,PL_Saisie_Estime2!$F$14,PL_Saisie_Estime2!$F$20,PL_Saisie_Estime2!AE$2,PL_Saisie_Estime2!AE$1,PL_Saisie_Estime2!$C118),"")</f>
        <v/>
      </c>
      <c r="AF118" s="204"/>
      <c r="AG118" s="53"/>
      <c r="AH118" s="53"/>
      <c r="AI118" s="53"/>
      <c r="AJ118" s="53"/>
      <c r="AK118" s="53"/>
      <c r="AL118" s="53"/>
      <c r="AM118" s="53"/>
      <c r="AN118" s="53"/>
      <c r="AO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1:53" s="9" customFormat="1" ht="24.75" customHeight="1" x14ac:dyDescent="0.35">
      <c r="A119" s="181"/>
      <c r="B119" s="163"/>
      <c r="C119" s="158"/>
      <c r="E119" s="268"/>
      <c r="F119" s="268"/>
      <c r="G119" s="268"/>
      <c r="H119" s="40"/>
      <c r="I119" s="130"/>
      <c r="J119" s="130"/>
      <c r="K119" s="130"/>
      <c r="L119" s="130"/>
      <c r="M119" s="130"/>
      <c r="N119" s="126"/>
      <c r="O119" s="204"/>
      <c r="P119" s="126"/>
      <c r="Q119" s="124"/>
      <c r="R119" s="192"/>
      <c r="S119" s="126"/>
      <c r="T119" s="200"/>
      <c r="U119" s="200"/>
      <c r="V119" s="200"/>
      <c r="W119" s="200"/>
      <c r="X119" s="200"/>
      <c r="Y119" s="200"/>
      <c r="Z119" s="192" t="str">
        <f ca="1">IF(Flag_Send_Data=1,_xll.DBSW(PL_Saisie_Estime2!Z119,Server&amp;Cube1,PL_Saisie_Estime2!$F$17,PL_Saisie_Estime2!$F$18,PL_Saisie_Estime2!$F$19,PL_Saisie_Estime2!$F$16,PL_Saisie_Estime2!$C$14,PL_Saisie_Estime2!$F$15,PL_Saisie_Estime2!$F$14,PL_Saisie_Estime2!$F$20,PL_Saisie_Estime2!Z$2,PL_Saisie_Estime2!Z$1,PL_Saisie_Estime2!$C119),"")</f>
        <v/>
      </c>
      <c r="AA119" s="192" t="str">
        <f ca="1">IF(Flag_Send_Data=1,_xll.DBSW(PL_Saisie_Estime2!AA119,Server&amp;Cube1,PL_Saisie_Estime2!$F$17,PL_Saisie_Estime2!$F$18,PL_Saisie_Estime2!$F$19,PL_Saisie_Estime2!$F$16,PL_Saisie_Estime2!$C$14,PL_Saisie_Estime2!$F$15,PL_Saisie_Estime2!$F$14,PL_Saisie_Estime2!$F$20,PL_Saisie_Estime2!AA$2,PL_Saisie_Estime2!AA$1,PL_Saisie_Estime2!$C119),"")</f>
        <v/>
      </c>
      <c r="AB119" s="192" t="str">
        <f ca="1">IF(Flag_Send_Data=1,_xll.DBSW(PL_Saisie_Estime2!AB119,Server&amp;Cube1,PL_Saisie_Estime2!$F$17,PL_Saisie_Estime2!$F$18,PL_Saisie_Estime2!$F$19,PL_Saisie_Estime2!$F$16,PL_Saisie_Estime2!$C$14,PL_Saisie_Estime2!$F$15,PL_Saisie_Estime2!$F$14,PL_Saisie_Estime2!$F$20,PL_Saisie_Estime2!AB$2,PL_Saisie_Estime2!AB$1,PL_Saisie_Estime2!$C119),"")</f>
        <v/>
      </c>
      <c r="AC119" s="192" t="str">
        <f ca="1">IF(Flag_Send_Data=1,_xll.DBSW(PL_Saisie_Estime2!AC119,Server&amp;Cube1,PL_Saisie_Estime2!$F$17,PL_Saisie_Estime2!$F$18,PL_Saisie_Estime2!$F$19,PL_Saisie_Estime2!$F$16,PL_Saisie_Estime2!$C$14,PL_Saisie_Estime2!$F$15,PL_Saisie_Estime2!$F$14,PL_Saisie_Estime2!$F$20,PL_Saisie_Estime2!AC$2,PL_Saisie_Estime2!AC$1,PL_Saisie_Estime2!$C119),"")</f>
        <v/>
      </c>
      <c r="AD119" s="192" t="str">
        <f ca="1">IF(Flag_Send_Data=1,_xll.DBSW(PL_Saisie_Estime2!AD119,Server&amp;Cube1,PL_Saisie_Estime2!$F$17,PL_Saisie_Estime2!$F$18,PL_Saisie_Estime2!$F$19,PL_Saisie_Estime2!$F$16,PL_Saisie_Estime2!$C$14,PL_Saisie_Estime2!$F$15,PL_Saisie_Estime2!$F$14,PL_Saisie_Estime2!$F$20,PL_Saisie_Estime2!AD$2,PL_Saisie_Estime2!AD$1,PL_Saisie_Estime2!$C119),"")</f>
        <v/>
      </c>
      <c r="AE119" s="192" t="str">
        <f ca="1">IF(Flag_Send_Data=1,_xll.DBSW(PL_Saisie_Estime2!AE119,Server&amp;Cube1,PL_Saisie_Estime2!$F$17,PL_Saisie_Estime2!$F$18,PL_Saisie_Estime2!$F$19,PL_Saisie_Estime2!$F$16,PL_Saisie_Estime2!$C$14,PL_Saisie_Estime2!$F$15,PL_Saisie_Estime2!$F$14,PL_Saisie_Estime2!$F$20,PL_Saisie_Estime2!AE$2,PL_Saisie_Estime2!AE$1,PL_Saisie_Estime2!$C119),"")</f>
        <v/>
      </c>
      <c r="AF119" s="204"/>
      <c r="AG119" s="53"/>
      <c r="AH119" s="53"/>
      <c r="AI119" s="53"/>
      <c r="AJ119" s="53"/>
      <c r="AK119" s="53"/>
      <c r="AL119" s="53"/>
      <c r="AM119" s="53"/>
      <c r="AN119" s="53"/>
      <c r="AO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1:53" s="9" customFormat="1" ht="24.95" customHeight="1" collapsed="1" x14ac:dyDescent="0.35">
      <c r="A120" s="181"/>
      <c r="B120" s="163"/>
      <c r="C120" s="117"/>
      <c r="E120" s="270"/>
      <c r="F120" s="270"/>
      <c r="G120" s="270"/>
      <c r="H120" s="40"/>
      <c r="I120" s="130"/>
      <c r="J120" s="130"/>
      <c r="K120" s="130"/>
      <c r="L120" s="130"/>
      <c r="M120" s="130"/>
      <c r="N120" s="125"/>
      <c r="O120" s="125"/>
      <c r="P120" s="125"/>
      <c r="Q120" s="124"/>
      <c r="R120" s="125"/>
      <c r="S120" s="125"/>
      <c r="T120" s="201"/>
      <c r="U120" s="201"/>
      <c r="V120" s="201"/>
      <c r="W120" s="201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53"/>
      <c r="AH120" s="53"/>
      <c r="AI120" s="53"/>
      <c r="AJ120" s="53"/>
      <c r="AK120" s="53"/>
      <c r="AL120" s="53"/>
      <c r="AM120" s="53"/>
      <c r="AN120" s="53"/>
      <c r="AO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1:53" s="9" customFormat="1" ht="24.95" customHeight="1" x14ac:dyDescent="0.35">
      <c r="A121" s="181"/>
      <c r="B121" s="163"/>
      <c r="C121" s="158"/>
      <c r="E121" s="268"/>
      <c r="F121" s="268"/>
      <c r="G121" s="268"/>
      <c r="H121" s="40"/>
      <c r="I121" s="130"/>
      <c r="J121" s="130"/>
      <c r="K121" s="130"/>
      <c r="L121" s="130"/>
      <c r="M121" s="130"/>
      <c r="N121" s="126"/>
      <c r="O121" s="204"/>
      <c r="P121" s="126"/>
      <c r="Q121" s="124"/>
      <c r="R121" s="192"/>
      <c r="S121" s="126"/>
      <c r="T121" s="200"/>
      <c r="U121" s="200"/>
      <c r="V121" s="200"/>
      <c r="W121" s="200"/>
      <c r="X121" s="200"/>
      <c r="Y121" s="200"/>
      <c r="Z121" s="192" t="str">
        <f ca="1">IF(Flag_Send_Data=1,_xll.DBSW(PL_Saisie_Estime2!Z121,Server&amp;Cube1,PL_Saisie_Estime2!$F$17,PL_Saisie_Estime2!$F$18,PL_Saisie_Estime2!$F$19,PL_Saisie_Estime2!$F$16,PL_Saisie_Estime2!$C$14,PL_Saisie_Estime2!$F$15,PL_Saisie_Estime2!$F$14,PL_Saisie_Estime2!$F$20,PL_Saisie_Estime2!Z$2,PL_Saisie_Estime2!Z$1,PL_Saisie_Estime2!$C121),"")</f>
        <v/>
      </c>
      <c r="AA121" s="192" t="str">
        <f ca="1">IF(Flag_Send_Data=1,_xll.DBSW(PL_Saisie_Estime2!AA121,Server&amp;Cube1,PL_Saisie_Estime2!$F$17,PL_Saisie_Estime2!$F$18,PL_Saisie_Estime2!$F$19,PL_Saisie_Estime2!$F$16,PL_Saisie_Estime2!$C$14,PL_Saisie_Estime2!$F$15,PL_Saisie_Estime2!$F$14,PL_Saisie_Estime2!$F$20,PL_Saisie_Estime2!AA$2,PL_Saisie_Estime2!AA$1,PL_Saisie_Estime2!$C121),"")</f>
        <v/>
      </c>
      <c r="AB121" s="192" t="str">
        <f ca="1">IF(Flag_Send_Data=1,_xll.DBSW(PL_Saisie_Estime2!AB121,Server&amp;Cube1,PL_Saisie_Estime2!$F$17,PL_Saisie_Estime2!$F$18,PL_Saisie_Estime2!$F$19,PL_Saisie_Estime2!$F$16,PL_Saisie_Estime2!$C$14,PL_Saisie_Estime2!$F$15,PL_Saisie_Estime2!$F$14,PL_Saisie_Estime2!$F$20,PL_Saisie_Estime2!AB$2,PL_Saisie_Estime2!AB$1,PL_Saisie_Estime2!$C121),"")</f>
        <v/>
      </c>
      <c r="AC121" s="192" t="str">
        <f ca="1">IF(Flag_Send_Data=1,_xll.DBSW(PL_Saisie_Estime2!AC121,Server&amp;Cube1,PL_Saisie_Estime2!$F$17,PL_Saisie_Estime2!$F$18,PL_Saisie_Estime2!$F$19,PL_Saisie_Estime2!$F$16,PL_Saisie_Estime2!$C$14,PL_Saisie_Estime2!$F$15,PL_Saisie_Estime2!$F$14,PL_Saisie_Estime2!$F$20,PL_Saisie_Estime2!AC$2,PL_Saisie_Estime2!AC$1,PL_Saisie_Estime2!$C121),"")</f>
        <v/>
      </c>
      <c r="AD121" s="192" t="str">
        <f ca="1">IF(Flag_Send_Data=1,_xll.DBSW(PL_Saisie_Estime2!AD121,Server&amp;Cube1,PL_Saisie_Estime2!$F$17,PL_Saisie_Estime2!$F$18,PL_Saisie_Estime2!$F$19,PL_Saisie_Estime2!$F$16,PL_Saisie_Estime2!$C$14,PL_Saisie_Estime2!$F$15,PL_Saisie_Estime2!$F$14,PL_Saisie_Estime2!$F$20,PL_Saisie_Estime2!AD$2,PL_Saisie_Estime2!AD$1,PL_Saisie_Estime2!$C121),"")</f>
        <v/>
      </c>
      <c r="AE121" s="192" t="str">
        <f ca="1">IF(Flag_Send_Data=1,_xll.DBSW(PL_Saisie_Estime2!AE121,Server&amp;Cube1,PL_Saisie_Estime2!$F$17,PL_Saisie_Estime2!$F$18,PL_Saisie_Estime2!$F$19,PL_Saisie_Estime2!$F$16,PL_Saisie_Estime2!$C$14,PL_Saisie_Estime2!$F$15,PL_Saisie_Estime2!$F$14,PL_Saisie_Estime2!$F$20,PL_Saisie_Estime2!AE$2,PL_Saisie_Estime2!AE$1,PL_Saisie_Estime2!$C121),"")</f>
        <v/>
      </c>
      <c r="AF121" s="204"/>
      <c r="AG121" s="53"/>
      <c r="AH121" s="53"/>
      <c r="AI121" s="53"/>
      <c r="AJ121" s="53"/>
      <c r="AK121" s="53"/>
      <c r="AL121" s="53"/>
      <c r="AM121" s="53"/>
      <c r="AN121" s="53"/>
      <c r="AO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53" s="9" customFormat="1" ht="24.95" customHeight="1" x14ac:dyDescent="0.35">
      <c r="A122" s="181"/>
      <c r="B122" s="163"/>
      <c r="C122" s="158"/>
      <c r="E122" s="268"/>
      <c r="F122" s="268"/>
      <c r="G122" s="268"/>
      <c r="H122" s="40"/>
      <c r="I122" s="130"/>
      <c r="J122" s="130"/>
      <c r="K122" s="130"/>
      <c r="L122" s="130"/>
      <c r="M122" s="130"/>
      <c r="N122" s="126"/>
      <c r="O122" s="204"/>
      <c r="P122" s="126"/>
      <c r="Q122" s="124"/>
      <c r="R122" s="192"/>
      <c r="S122" s="126"/>
      <c r="T122" s="200"/>
      <c r="U122" s="200"/>
      <c r="V122" s="200"/>
      <c r="W122" s="200"/>
      <c r="X122" s="200"/>
      <c r="Y122" s="200"/>
      <c r="Z122" s="192" t="str">
        <f ca="1">IF(Flag_Send_Data=1,_xll.DBSW(PL_Saisie_Estime2!Z122,Server&amp;Cube1,PL_Saisie_Estime2!$F$17,PL_Saisie_Estime2!$F$18,PL_Saisie_Estime2!$F$19,PL_Saisie_Estime2!$F$16,PL_Saisie_Estime2!$C$14,PL_Saisie_Estime2!$F$15,PL_Saisie_Estime2!$F$14,PL_Saisie_Estime2!$F$20,PL_Saisie_Estime2!Z$2,PL_Saisie_Estime2!Z$1,PL_Saisie_Estime2!$C122),"")</f>
        <v/>
      </c>
      <c r="AA122" s="192" t="str">
        <f ca="1">IF(Flag_Send_Data=1,_xll.DBSW(PL_Saisie_Estime2!AA122,Server&amp;Cube1,PL_Saisie_Estime2!$F$17,PL_Saisie_Estime2!$F$18,PL_Saisie_Estime2!$F$19,PL_Saisie_Estime2!$F$16,PL_Saisie_Estime2!$C$14,PL_Saisie_Estime2!$F$15,PL_Saisie_Estime2!$F$14,PL_Saisie_Estime2!$F$20,PL_Saisie_Estime2!AA$2,PL_Saisie_Estime2!AA$1,PL_Saisie_Estime2!$C122),"")</f>
        <v/>
      </c>
      <c r="AB122" s="192" t="str">
        <f ca="1">IF(Flag_Send_Data=1,_xll.DBSW(PL_Saisie_Estime2!AB122,Server&amp;Cube1,PL_Saisie_Estime2!$F$17,PL_Saisie_Estime2!$F$18,PL_Saisie_Estime2!$F$19,PL_Saisie_Estime2!$F$16,PL_Saisie_Estime2!$C$14,PL_Saisie_Estime2!$F$15,PL_Saisie_Estime2!$F$14,PL_Saisie_Estime2!$F$20,PL_Saisie_Estime2!AB$2,PL_Saisie_Estime2!AB$1,PL_Saisie_Estime2!$C122),"")</f>
        <v/>
      </c>
      <c r="AC122" s="192" t="str">
        <f ca="1">IF(Flag_Send_Data=1,_xll.DBSW(PL_Saisie_Estime2!AC122,Server&amp;Cube1,PL_Saisie_Estime2!$F$17,PL_Saisie_Estime2!$F$18,PL_Saisie_Estime2!$F$19,PL_Saisie_Estime2!$F$16,PL_Saisie_Estime2!$C$14,PL_Saisie_Estime2!$F$15,PL_Saisie_Estime2!$F$14,PL_Saisie_Estime2!$F$20,PL_Saisie_Estime2!AC$2,PL_Saisie_Estime2!AC$1,PL_Saisie_Estime2!$C122),"")</f>
        <v/>
      </c>
      <c r="AD122" s="192" t="str">
        <f ca="1">IF(Flag_Send_Data=1,_xll.DBSW(PL_Saisie_Estime2!AD122,Server&amp;Cube1,PL_Saisie_Estime2!$F$17,PL_Saisie_Estime2!$F$18,PL_Saisie_Estime2!$F$19,PL_Saisie_Estime2!$F$16,PL_Saisie_Estime2!$C$14,PL_Saisie_Estime2!$F$15,PL_Saisie_Estime2!$F$14,PL_Saisie_Estime2!$F$20,PL_Saisie_Estime2!AD$2,PL_Saisie_Estime2!AD$1,PL_Saisie_Estime2!$C122),"")</f>
        <v/>
      </c>
      <c r="AE122" s="192" t="str">
        <f ca="1">IF(Flag_Send_Data=1,_xll.DBSW(PL_Saisie_Estime2!AE122,Server&amp;Cube1,PL_Saisie_Estime2!$F$17,PL_Saisie_Estime2!$F$18,PL_Saisie_Estime2!$F$19,PL_Saisie_Estime2!$F$16,PL_Saisie_Estime2!$C$14,PL_Saisie_Estime2!$F$15,PL_Saisie_Estime2!$F$14,PL_Saisie_Estime2!$F$20,PL_Saisie_Estime2!AE$2,PL_Saisie_Estime2!AE$1,PL_Saisie_Estime2!$C122),"")</f>
        <v/>
      </c>
      <c r="AF122" s="204"/>
      <c r="AG122" s="53"/>
      <c r="AH122" s="53"/>
      <c r="AI122" s="53"/>
      <c r="AJ122" s="53"/>
      <c r="AK122" s="53"/>
      <c r="AL122" s="53"/>
      <c r="AM122" s="53"/>
      <c r="AN122" s="53"/>
      <c r="AO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53" s="9" customFormat="1" ht="24.95" customHeight="1" x14ac:dyDescent="0.35">
      <c r="A123" s="181"/>
      <c r="B123" s="163"/>
      <c r="C123" s="158"/>
      <c r="E123" s="268"/>
      <c r="F123" s="268"/>
      <c r="G123" s="268"/>
      <c r="H123" s="40"/>
      <c r="I123" s="130"/>
      <c r="J123" s="130"/>
      <c r="K123" s="130"/>
      <c r="L123" s="130"/>
      <c r="M123" s="130"/>
      <c r="N123" s="126"/>
      <c r="O123" s="204"/>
      <c r="P123" s="126"/>
      <c r="Q123" s="124"/>
      <c r="R123" s="192"/>
      <c r="S123" s="126"/>
      <c r="T123" s="200"/>
      <c r="U123" s="200"/>
      <c r="V123" s="200"/>
      <c r="W123" s="200"/>
      <c r="X123" s="200"/>
      <c r="Y123" s="200"/>
      <c r="Z123" s="192" t="str">
        <f ca="1">IF(Flag_Send_Data=1,_xll.DBSW(PL_Saisie_Estime2!Z123,Server&amp;Cube1,PL_Saisie_Estime2!$F$17,PL_Saisie_Estime2!$F$18,PL_Saisie_Estime2!$F$19,PL_Saisie_Estime2!$F$16,PL_Saisie_Estime2!$C$14,PL_Saisie_Estime2!$F$15,PL_Saisie_Estime2!$F$14,PL_Saisie_Estime2!$F$20,PL_Saisie_Estime2!Z$2,PL_Saisie_Estime2!Z$1,PL_Saisie_Estime2!$C123),"")</f>
        <v/>
      </c>
      <c r="AA123" s="192" t="str">
        <f ca="1">IF(Flag_Send_Data=1,_xll.DBSW(PL_Saisie_Estime2!AA123,Server&amp;Cube1,PL_Saisie_Estime2!$F$17,PL_Saisie_Estime2!$F$18,PL_Saisie_Estime2!$F$19,PL_Saisie_Estime2!$F$16,PL_Saisie_Estime2!$C$14,PL_Saisie_Estime2!$F$15,PL_Saisie_Estime2!$F$14,PL_Saisie_Estime2!$F$20,PL_Saisie_Estime2!AA$2,PL_Saisie_Estime2!AA$1,PL_Saisie_Estime2!$C123),"")</f>
        <v/>
      </c>
      <c r="AB123" s="192" t="str">
        <f ca="1">IF(Flag_Send_Data=1,_xll.DBSW(PL_Saisie_Estime2!AB123,Server&amp;Cube1,PL_Saisie_Estime2!$F$17,PL_Saisie_Estime2!$F$18,PL_Saisie_Estime2!$F$19,PL_Saisie_Estime2!$F$16,PL_Saisie_Estime2!$C$14,PL_Saisie_Estime2!$F$15,PL_Saisie_Estime2!$F$14,PL_Saisie_Estime2!$F$20,PL_Saisie_Estime2!AB$2,PL_Saisie_Estime2!AB$1,PL_Saisie_Estime2!$C123),"")</f>
        <v/>
      </c>
      <c r="AC123" s="192" t="str">
        <f ca="1">IF(Flag_Send_Data=1,_xll.DBSW(PL_Saisie_Estime2!AC123,Server&amp;Cube1,PL_Saisie_Estime2!$F$17,PL_Saisie_Estime2!$F$18,PL_Saisie_Estime2!$F$19,PL_Saisie_Estime2!$F$16,PL_Saisie_Estime2!$C$14,PL_Saisie_Estime2!$F$15,PL_Saisie_Estime2!$F$14,PL_Saisie_Estime2!$F$20,PL_Saisie_Estime2!AC$2,PL_Saisie_Estime2!AC$1,PL_Saisie_Estime2!$C123),"")</f>
        <v/>
      </c>
      <c r="AD123" s="192" t="str">
        <f ca="1">IF(Flag_Send_Data=1,_xll.DBSW(PL_Saisie_Estime2!AD123,Server&amp;Cube1,PL_Saisie_Estime2!$F$17,PL_Saisie_Estime2!$F$18,PL_Saisie_Estime2!$F$19,PL_Saisie_Estime2!$F$16,PL_Saisie_Estime2!$C$14,PL_Saisie_Estime2!$F$15,PL_Saisie_Estime2!$F$14,PL_Saisie_Estime2!$F$20,PL_Saisie_Estime2!AD$2,PL_Saisie_Estime2!AD$1,PL_Saisie_Estime2!$C123),"")</f>
        <v/>
      </c>
      <c r="AE123" s="192" t="str">
        <f ca="1">IF(Flag_Send_Data=1,_xll.DBSW(PL_Saisie_Estime2!AE123,Server&amp;Cube1,PL_Saisie_Estime2!$F$17,PL_Saisie_Estime2!$F$18,PL_Saisie_Estime2!$F$19,PL_Saisie_Estime2!$F$16,PL_Saisie_Estime2!$C$14,PL_Saisie_Estime2!$F$15,PL_Saisie_Estime2!$F$14,PL_Saisie_Estime2!$F$20,PL_Saisie_Estime2!AE$2,PL_Saisie_Estime2!AE$1,PL_Saisie_Estime2!$C123),"")</f>
        <v/>
      </c>
      <c r="AF123" s="204"/>
      <c r="AG123" s="53"/>
      <c r="AH123" s="53"/>
      <c r="AI123" s="53"/>
      <c r="AJ123" s="53"/>
      <c r="AK123" s="53"/>
      <c r="AL123" s="53"/>
      <c r="AM123" s="53"/>
      <c r="AN123" s="53"/>
      <c r="AO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1:53" s="9" customFormat="1" ht="24.95" customHeight="1" x14ac:dyDescent="0.35">
      <c r="A124" s="181"/>
      <c r="B124" s="163"/>
      <c r="C124" s="158"/>
      <c r="E124" s="268"/>
      <c r="F124" s="268"/>
      <c r="G124" s="268"/>
      <c r="H124" s="40"/>
      <c r="I124" s="130"/>
      <c r="J124" s="130"/>
      <c r="K124" s="130"/>
      <c r="L124" s="130"/>
      <c r="M124" s="130"/>
      <c r="N124" s="126"/>
      <c r="O124" s="204"/>
      <c r="P124" s="126"/>
      <c r="Q124" s="124"/>
      <c r="R124" s="192"/>
      <c r="S124" s="126"/>
      <c r="T124" s="200"/>
      <c r="U124" s="200"/>
      <c r="V124" s="200"/>
      <c r="W124" s="200"/>
      <c r="X124" s="200"/>
      <c r="Y124" s="200"/>
      <c r="Z124" s="192" t="str">
        <f ca="1">IF(Flag_Send_Data=1,_xll.DBSW(PL_Saisie_Estime2!Z124,Server&amp;Cube1,PL_Saisie_Estime2!$F$17,PL_Saisie_Estime2!$F$18,PL_Saisie_Estime2!$F$19,PL_Saisie_Estime2!$F$16,PL_Saisie_Estime2!$C$14,PL_Saisie_Estime2!$F$15,PL_Saisie_Estime2!$F$14,PL_Saisie_Estime2!$F$20,PL_Saisie_Estime2!Z$2,PL_Saisie_Estime2!Z$1,PL_Saisie_Estime2!$C124),"")</f>
        <v/>
      </c>
      <c r="AA124" s="192" t="str">
        <f ca="1">IF(Flag_Send_Data=1,_xll.DBSW(PL_Saisie_Estime2!AA124,Server&amp;Cube1,PL_Saisie_Estime2!$F$17,PL_Saisie_Estime2!$F$18,PL_Saisie_Estime2!$F$19,PL_Saisie_Estime2!$F$16,PL_Saisie_Estime2!$C$14,PL_Saisie_Estime2!$F$15,PL_Saisie_Estime2!$F$14,PL_Saisie_Estime2!$F$20,PL_Saisie_Estime2!AA$2,PL_Saisie_Estime2!AA$1,PL_Saisie_Estime2!$C124),"")</f>
        <v/>
      </c>
      <c r="AB124" s="192" t="str">
        <f ca="1">IF(Flag_Send_Data=1,_xll.DBSW(PL_Saisie_Estime2!AB124,Server&amp;Cube1,PL_Saisie_Estime2!$F$17,PL_Saisie_Estime2!$F$18,PL_Saisie_Estime2!$F$19,PL_Saisie_Estime2!$F$16,PL_Saisie_Estime2!$C$14,PL_Saisie_Estime2!$F$15,PL_Saisie_Estime2!$F$14,PL_Saisie_Estime2!$F$20,PL_Saisie_Estime2!AB$2,PL_Saisie_Estime2!AB$1,PL_Saisie_Estime2!$C124),"")</f>
        <v/>
      </c>
      <c r="AC124" s="192" t="str">
        <f ca="1">IF(Flag_Send_Data=1,_xll.DBSW(PL_Saisie_Estime2!AC124,Server&amp;Cube1,PL_Saisie_Estime2!$F$17,PL_Saisie_Estime2!$F$18,PL_Saisie_Estime2!$F$19,PL_Saisie_Estime2!$F$16,PL_Saisie_Estime2!$C$14,PL_Saisie_Estime2!$F$15,PL_Saisie_Estime2!$F$14,PL_Saisie_Estime2!$F$20,PL_Saisie_Estime2!AC$2,PL_Saisie_Estime2!AC$1,PL_Saisie_Estime2!$C124),"")</f>
        <v/>
      </c>
      <c r="AD124" s="192" t="str">
        <f ca="1">IF(Flag_Send_Data=1,_xll.DBSW(PL_Saisie_Estime2!AD124,Server&amp;Cube1,PL_Saisie_Estime2!$F$17,PL_Saisie_Estime2!$F$18,PL_Saisie_Estime2!$F$19,PL_Saisie_Estime2!$F$16,PL_Saisie_Estime2!$C$14,PL_Saisie_Estime2!$F$15,PL_Saisie_Estime2!$F$14,PL_Saisie_Estime2!$F$20,PL_Saisie_Estime2!AD$2,PL_Saisie_Estime2!AD$1,PL_Saisie_Estime2!$C124),"")</f>
        <v/>
      </c>
      <c r="AE124" s="192" t="str">
        <f ca="1">IF(Flag_Send_Data=1,_xll.DBSW(PL_Saisie_Estime2!AE124,Server&amp;Cube1,PL_Saisie_Estime2!$F$17,PL_Saisie_Estime2!$F$18,PL_Saisie_Estime2!$F$19,PL_Saisie_Estime2!$F$16,PL_Saisie_Estime2!$C$14,PL_Saisie_Estime2!$F$15,PL_Saisie_Estime2!$F$14,PL_Saisie_Estime2!$F$20,PL_Saisie_Estime2!AE$2,PL_Saisie_Estime2!AE$1,PL_Saisie_Estime2!$C124),"")</f>
        <v/>
      </c>
      <c r="AF124" s="204"/>
      <c r="AG124" s="53"/>
      <c r="AH124" s="53"/>
      <c r="AI124" s="53"/>
      <c r="AJ124" s="53"/>
      <c r="AK124" s="53"/>
      <c r="AL124" s="53"/>
      <c r="AM124" s="53"/>
      <c r="AN124" s="53"/>
      <c r="AO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1:53" s="9" customFormat="1" ht="24.95" customHeight="1" x14ac:dyDescent="0.35">
      <c r="A125" s="181"/>
      <c r="B125" s="163"/>
      <c r="C125" s="158"/>
      <c r="E125" s="268"/>
      <c r="F125" s="268"/>
      <c r="G125" s="268"/>
      <c r="H125" s="40"/>
      <c r="I125" s="130"/>
      <c r="J125" s="130"/>
      <c r="K125" s="130"/>
      <c r="L125" s="130"/>
      <c r="M125" s="130"/>
      <c r="N125" s="126"/>
      <c r="O125" s="204"/>
      <c r="P125" s="126"/>
      <c r="Q125" s="124"/>
      <c r="R125" s="192"/>
      <c r="S125" s="126"/>
      <c r="T125" s="200"/>
      <c r="U125" s="200"/>
      <c r="V125" s="200"/>
      <c r="W125" s="200"/>
      <c r="X125" s="200"/>
      <c r="Y125" s="200"/>
      <c r="Z125" s="192" t="str">
        <f ca="1">IF(Flag_Send_Data=1,_xll.DBSW(PL_Saisie_Estime2!Z125,Server&amp;Cube1,PL_Saisie_Estime2!$F$17,PL_Saisie_Estime2!$F$18,PL_Saisie_Estime2!$F$19,PL_Saisie_Estime2!$F$16,PL_Saisie_Estime2!$C$14,PL_Saisie_Estime2!$F$15,PL_Saisie_Estime2!$F$14,PL_Saisie_Estime2!$F$20,PL_Saisie_Estime2!Z$2,PL_Saisie_Estime2!Z$1,PL_Saisie_Estime2!$C125),"")</f>
        <v/>
      </c>
      <c r="AA125" s="192" t="str">
        <f ca="1">IF(Flag_Send_Data=1,_xll.DBSW(PL_Saisie_Estime2!AA125,Server&amp;Cube1,PL_Saisie_Estime2!$F$17,PL_Saisie_Estime2!$F$18,PL_Saisie_Estime2!$F$19,PL_Saisie_Estime2!$F$16,PL_Saisie_Estime2!$C$14,PL_Saisie_Estime2!$F$15,PL_Saisie_Estime2!$F$14,PL_Saisie_Estime2!$F$20,PL_Saisie_Estime2!AA$2,PL_Saisie_Estime2!AA$1,PL_Saisie_Estime2!$C125),"")</f>
        <v/>
      </c>
      <c r="AB125" s="192" t="str">
        <f ca="1">IF(Flag_Send_Data=1,_xll.DBSW(PL_Saisie_Estime2!AB125,Server&amp;Cube1,PL_Saisie_Estime2!$F$17,PL_Saisie_Estime2!$F$18,PL_Saisie_Estime2!$F$19,PL_Saisie_Estime2!$F$16,PL_Saisie_Estime2!$C$14,PL_Saisie_Estime2!$F$15,PL_Saisie_Estime2!$F$14,PL_Saisie_Estime2!$F$20,PL_Saisie_Estime2!AB$2,PL_Saisie_Estime2!AB$1,PL_Saisie_Estime2!$C125),"")</f>
        <v/>
      </c>
      <c r="AC125" s="192" t="str">
        <f ca="1">IF(Flag_Send_Data=1,_xll.DBSW(PL_Saisie_Estime2!AC125,Server&amp;Cube1,PL_Saisie_Estime2!$F$17,PL_Saisie_Estime2!$F$18,PL_Saisie_Estime2!$F$19,PL_Saisie_Estime2!$F$16,PL_Saisie_Estime2!$C$14,PL_Saisie_Estime2!$F$15,PL_Saisie_Estime2!$F$14,PL_Saisie_Estime2!$F$20,PL_Saisie_Estime2!AC$2,PL_Saisie_Estime2!AC$1,PL_Saisie_Estime2!$C125),"")</f>
        <v/>
      </c>
      <c r="AD125" s="192" t="str">
        <f ca="1">IF(Flag_Send_Data=1,_xll.DBSW(PL_Saisie_Estime2!AD125,Server&amp;Cube1,PL_Saisie_Estime2!$F$17,PL_Saisie_Estime2!$F$18,PL_Saisie_Estime2!$F$19,PL_Saisie_Estime2!$F$16,PL_Saisie_Estime2!$C$14,PL_Saisie_Estime2!$F$15,PL_Saisie_Estime2!$F$14,PL_Saisie_Estime2!$F$20,PL_Saisie_Estime2!AD$2,PL_Saisie_Estime2!AD$1,PL_Saisie_Estime2!$C125),"")</f>
        <v/>
      </c>
      <c r="AE125" s="192" t="str">
        <f ca="1">IF(Flag_Send_Data=1,_xll.DBSW(PL_Saisie_Estime2!AE125,Server&amp;Cube1,PL_Saisie_Estime2!$F$17,PL_Saisie_Estime2!$F$18,PL_Saisie_Estime2!$F$19,PL_Saisie_Estime2!$F$16,PL_Saisie_Estime2!$C$14,PL_Saisie_Estime2!$F$15,PL_Saisie_Estime2!$F$14,PL_Saisie_Estime2!$F$20,PL_Saisie_Estime2!AE$2,PL_Saisie_Estime2!AE$1,PL_Saisie_Estime2!$C125),"")</f>
        <v/>
      </c>
      <c r="AF125" s="204"/>
      <c r="AG125" s="53"/>
      <c r="AH125" s="53"/>
      <c r="AI125" s="53"/>
      <c r="AJ125" s="53"/>
      <c r="AK125" s="53"/>
      <c r="AL125" s="53"/>
      <c r="AM125" s="53"/>
      <c r="AN125" s="53"/>
      <c r="AO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1:53" s="9" customFormat="1" ht="24.95" customHeight="1" x14ac:dyDescent="0.35">
      <c r="A126" s="181"/>
      <c r="B126" s="163"/>
      <c r="C126" s="158"/>
      <c r="E126" s="268"/>
      <c r="F126" s="268"/>
      <c r="G126" s="268"/>
      <c r="H126" s="40"/>
      <c r="I126" s="130"/>
      <c r="J126" s="130"/>
      <c r="K126" s="130"/>
      <c r="L126" s="130"/>
      <c r="M126" s="130"/>
      <c r="N126" s="126"/>
      <c r="O126" s="204"/>
      <c r="P126" s="126"/>
      <c r="Q126" s="124"/>
      <c r="R126" s="192"/>
      <c r="S126" s="126"/>
      <c r="T126" s="200"/>
      <c r="U126" s="200"/>
      <c r="V126" s="200"/>
      <c r="W126" s="200"/>
      <c r="X126" s="200"/>
      <c r="Y126" s="200"/>
      <c r="Z126" s="192" t="str">
        <f ca="1">IF(Flag_Send_Data=1,_xll.DBSW(PL_Saisie_Estime2!Z126,Server&amp;Cube1,PL_Saisie_Estime2!$F$17,PL_Saisie_Estime2!$F$18,PL_Saisie_Estime2!$F$19,PL_Saisie_Estime2!$F$16,PL_Saisie_Estime2!$C$14,PL_Saisie_Estime2!$F$15,PL_Saisie_Estime2!$F$14,PL_Saisie_Estime2!$F$20,PL_Saisie_Estime2!Z$2,PL_Saisie_Estime2!Z$1,PL_Saisie_Estime2!$C126),"")</f>
        <v/>
      </c>
      <c r="AA126" s="192" t="str">
        <f ca="1">IF(Flag_Send_Data=1,_xll.DBSW(PL_Saisie_Estime2!AA126,Server&amp;Cube1,PL_Saisie_Estime2!$F$17,PL_Saisie_Estime2!$F$18,PL_Saisie_Estime2!$F$19,PL_Saisie_Estime2!$F$16,PL_Saisie_Estime2!$C$14,PL_Saisie_Estime2!$F$15,PL_Saisie_Estime2!$F$14,PL_Saisie_Estime2!$F$20,PL_Saisie_Estime2!AA$2,PL_Saisie_Estime2!AA$1,PL_Saisie_Estime2!$C126),"")</f>
        <v/>
      </c>
      <c r="AB126" s="192" t="str">
        <f ca="1">IF(Flag_Send_Data=1,_xll.DBSW(PL_Saisie_Estime2!AB126,Server&amp;Cube1,PL_Saisie_Estime2!$F$17,PL_Saisie_Estime2!$F$18,PL_Saisie_Estime2!$F$19,PL_Saisie_Estime2!$F$16,PL_Saisie_Estime2!$C$14,PL_Saisie_Estime2!$F$15,PL_Saisie_Estime2!$F$14,PL_Saisie_Estime2!$F$20,PL_Saisie_Estime2!AB$2,PL_Saisie_Estime2!AB$1,PL_Saisie_Estime2!$C126),"")</f>
        <v/>
      </c>
      <c r="AC126" s="192" t="str">
        <f ca="1">IF(Flag_Send_Data=1,_xll.DBSW(PL_Saisie_Estime2!AC126,Server&amp;Cube1,PL_Saisie_Estime2!$F$17,PL_Saisie_Estime2!$F$18,PL_Saisie_Estime2!$F$19,PL_Saisie_Estime2!$F$16,PL_Saisie_Estime2!$C$14,PL_Saisie_Estime2!$F$15,PL_Saisie_Estime2!$F$14,PL_Saisie_Estime2!$F$20,PL_Saisie_Estime2!AC$2,PL_Saisie_Estime2!AC$1,PL_Saisie_Estime2!$C126),"")</f>
        <v/>
      </c>
      <c r="AD126" s="192" t="str">
        <f ca="1">IF(Flag_Send_Data=1,_xll.DBSW(PL_Saisie_Estime2!AD126,Server&amp;Cube1,PL_Saisie_Estime2!$F$17,PL_Saisie_Estime2!$F$18,PL_Saisie_Estime2!$F$19,PL_Saisie_Estime2!$F$16,PL_Saisie_Estime2!$C$14,PL_Saisie_Estime2!$F$15,PL_Saisie_Estime2!$F$14,PL_Saisie_Estime2!$F$20,PL_Saisie_Estime2!AD$2,PL_Saisie_Estime2!AD$1,PL_Saisie_Estime2!$C126),"")</f>
        <v/>
      </c>
      <c r="AE126" s="192" t="str">
        <f ca="1">IF(Flag_Send_Data=1,_xll.DBSW(PL_Saisie_Estime2!AE126,Server&amp;Cube1,PL_Saisie_Estime2!$F$17,PL_Saisie_Estime2!$F$18,PL_Saisie_Estime2!$F$19,PL_Saisie_Estime2!$F$16,PL_Saisie_Estime2!$C$14,PL_Saisie_Estime2!$F$15,PL_Saisie_Estime2!$F$14,PL_Saisie_Estime2!$F$20,PL_Saisie_Estime2!AE$2,PL_Saisie_Estime2!AE$1,PL_Saisie_Estime2!$C126),"")</f>
        <v/>
      </c>
      <c r="AF126" s="204"/>
      <c r="AG126" s="53"/>
      <c r="AH126" s="53"/>
      <c r="AI126" s="53"/>
      <c r="AJ126" s="53"/>
      <c r="AK126" s="53"/>
      <c r="AL126" s="53"/>
      <c r="AM126" s="53"/>
      <c r="AN126" s="53"/>
      <c r="AO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1:53" s="9" customFormat="1" ht="24.95" customHeight="1" x14ac:dyDescent="0.35">
      <c r="A127" s="181"/>
      <c r="B127" s="163"/>
      <c r="C127" s="158"/>
      <c r="E127" s="268"/>
      <c r="F127" s="268"/>
      <c r="G127" s="268"/>
      <c r="H127" s="40"/>
      <c r="I127" s="130"/>
      <c r="J127" s="130"/>
      <c r="K127" s="130"/>
      <c r="L127" s="130"/>
      <c r="M127" s="130"/>
      <c r="N127" s="126"/>
      <c r="O127" s="204"/>
      <c r="P127" s="126"/>
      <c r="Q127" s="124"/>
      <c r="R127" s="192"/>
      <c r="S127" s="126"/>
      <c r="T127" s="200"/>
      <c r="U127" s="200"/>
      <c r="V127" s="200"/>
      <c r="W127" s="200"/>
      <c r="X127" s="200"/>
      <c r="Y127" s="200"/>
      <c r="Z127" s="192" t="str">
        <f ca="1">IF(Flag_Send_Data=1,_xll.DBSW(PL_Saisie_Estime2!Z127,Server&amp;Cube1,PL_Saisie_Estime2!$F$17,PL_Saisie_Estime2!$F$18,PL_Saisie_Estime2!$F$19,PL_Saisie_Estime2!$F$16,PL_Saisie_Estime2!$C$14,PL_Saisie_Estime2!$F$15,PL_Saisie_Estime2!$F$14,PL_Saisie_Estime2!$F$20,PL_Saisie_Estime2!Z$2,PL_Saisie_Estime2!Z$1,PL_Saisie_Estime2!$C127),"")</f>
        <v/>
      </c>
      <c r="AA127" s="192" t="str">
        <f ca="1">IF(Flag_Send_Data=1,_xll.DBSW(PL_Saisie_Estime2!AA127,Server&amp;Cube1,PL_Saisie_Estime2!$F$17,PL_Saisie_Estime2!$F$18,PL_Saisie_Estime2!$F$19,PL_Saisie_Estime2!$F$16,PL_Saisie_Estime2!$C$14,PL_Saisie_Estime2!$F$15,PL_Saisie_Estime2!$F$14,PL_Saisie_Estime2!$F$20,PL_Saisie_Estime2!AA$2,PL_Saisie_Estime2!AA$1,PL_Saisie_Estime2!$C127),"")</f>
        <v/>
      </c>
      <c r="AB127" s="192" t="str">
        <f ca="1">IF(Flag_Send_Data=1,_xll.DBSW(PL_Saisie_Estime2!AB127,Server&amp;Cube1,PL_Saisie_Estime2!$F$17,PL_Saisie_Estime2!$F$18,PL_Saisie_Estime2!$F$19,PL_Saisie_Estime2!$F$16,PL_Saisie_Estime2!$C$14,PL_Saisie_Estime2!$F$15,PL_Saisie_Estime2!$F$14,PL_Saisie_Estime2!$F$20,PL_Saisie_Estime2!AB$2,PL_Saisie_Estime2!AB$1,PL_Saisie_Estime2!$C127),"")</f>
        <v/>
      </c>
      <c r="AC127" s="192" t="str">
        <f ca="1">IF(Flag_Send_Data=1,_xll.DBSW(PL_Saisie_Estime2!AC127,Server&amp;Cube1,PL_Saisie_Estime2!$F$17,PL_Saisie_Estime2!$F$18,PL_Saisie_Estime2!$F$19,PL_Saisie_Estime2!$F$16,PL_Saisie_Estime2!$C$14,PL_Saisie_Estime2!$F$15,PL_Saisie_Estime2!$F$14,PL_Saisie_Estime2!$F$20,PL_Saisie_Estime2!AC$2,PL_Saisie_Estime2!AC$1,PL_Saisie_Estime2!$C127),"")</f>
        <v/>
      </c>
      <c r="AD127" s="192" t="str">
        <f ca="1">IF(Flag_Send_Data=1,_xll.DBSW(PL_Saisie_Estime2!AD127,Server&amp;Cube1,PL_Saisie_Estime2!$F$17,PL_Saisie_Estime2!$F$18,PL_Saisie_Estime2!$F$19,PL_Saisie_Estime2!$F$16,PL_Saisie_Estime2!$C$14,PL_Saisie_Estime2!$F$15,PL_Saisie_Estime2!$F$14,PL_Saisie_Estime2!$F$20,PL_Saisie_Estime2!AD$2,PL_Saisie_Estime2!AD$1,PL_Saisie_Estime2!$C127),"")</f>
        <v/>
      </c>
      <c r="AE127" s="192" t="str">
        <f ca="1">IF(Flag_Send_Data=1,_xll.DBSW(PL_Saisie_Estime2!AE127,Server&amp;Cube1,PL_Saisie_Estime2!$F$17,PL_Saisie_Estime2!$F$18,PL_Saisie_Estime2!$F$19,PL_Saisie_Estime2!$F$16,PL_Saisie_Estime2!$C$14,PL_Saisie_Estime2!$F$15,PL_Saisie_Estime2!$F$14,PL_Saisie_Estime2!$F$20,PL_Saisie_Estime2!AE$2,PL_Saisie_Estime2!AE$1,PL_Saisie_Estime2!$C127),"")</f>
        <v/>
      </c>
      <c r="AF127" s="204"/>
      <c r="AG127" s="53"/>
      <c r="AH127" s="53"/>
      <c r="AI127" s="53"/>
      <c r="AJ127" s="53"/>
      <c r="AK127" s="53"/>
      <c r="AL127" s="53"/>
      <c r="AM127" s="53"/>
      <c r="AN127" s="53"/>
      <c r="AO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1:53" s="9" customFormat="1" ht="24.95" customHeight="1" x14ac:dyDescent="0.35">
      <c r="A128" s="181"/>
      <c r="B128" s="163"/>
      <c r="C128" s="158"/>
      <c r="E128" s="268"/>
      <c r="F128" s="268"/>
      <c r="G128" s="268"/>
      <c r="H128" s="40"/>
      <c r="I128" s="130"/>
      <c r="J128" s="130"/>
      <c r="K128" s="130"/>
      <c r="L128" s="130"/>
      <c r="M128" s="130"/>
      <c r="N128" s="126"/>
      <c r="O128" s="204"/>
      <c r="P128" s="126"/>
      <c r="Q128" s="124"/>
      <c r="R128" s="192"/>
      <c r="S128" s="126"/>
      <c r="T128" s="200"/>
      <c r="U128" s="200"/>
      <c r="V128" s="200"/>
      <c r="W128" s="200"/>
      <c r="X128" s="200"/>
      <c r="Y128" s="200"/>
      <c r="Z128" s="192" t="str">
        <f ca="1">IF(Flag_Send_Data=1,_xll.DBSW(PL_Saisie_Estime2!Z128,Server&amp;Cube1,PL_Saisie_Estime2!$F$17,PL_Saisie_Estime2!$F$18,PL_Saisie_Estime2!$F$19,PL_Saisie_Estime2!$F$16,PL_Saisie_Estime2!$C$14,PL_Saisie_Estime2!$F$15,PL_Saisie_Estime2!$F$14,PL_Saisie_Estime2!$F$20,PL_Saisie_Estime2!Z$2,PL_Saisie_Estime2!Z$1,PL_Saisie_Estime2!$C128),"")</f>
        <v/>
      </c>
      <c r="AA128" s="192" t="str">
        <f ca="1">IF(Flag_Send_Data=1,_xll.DBSW(PL_Saisie_Estime2!AA128,Server&amp;Cube1,PL_Saisie_Estime2!$F$17,PL_Saisie_Estime2!$F$18,PL_Saisie_Estime2!$F$19,PL_Saisie_Estime2!$F$16,PL_Saisie_Estime2!$C$14,PL_Saisie_Estime2!$F$15,PL_Saisie_Estime2!$F$14,PL_Saisie_Estime2!$F$20,PL_Saisie_Estime2!AA$2,PL_Saisie_Estime2!AA$1,PL_Saisie_Estime2!$C128),"")</f>
        <v/>
      </c>
      <c r="AB128" s="192" t="str">
        <f ca="1">IF(Flag_Send_Data=1,_xll.DBSW(PL_Saisie_Estime2!AB128,Server&amp;Cube1,PL_Saisie_Estime2!$F$17,PL_Saisie_Estime2!$F$18,PL_Saisie_Estime2!$F$19,PL_Saisie_Estime2!$F$16,PL_Saisie_Estime2!$C$14,PL_Saisie_Estime2!$F$15,PL_Saisie_Estime2!$F$14,PL_Saisie_Estime2!$F$20,PL_Saisie_Estime2!AB$2,PL_Saisie_Estime2!AB$1,PL_Saisie_Estime2!$C128),"")</f>
        <v/>
      </c>
      <c r="AC128" s="192" t="str">
        <f ca="1">IF(Flag_Send_Data=1,_xll.DBSW(PL_Saisie_Estime2!AC128,Server&amp;Cube1,PL_Saisie_Estime2!$F$17,PL_Saisie_Estime2!$F$18,PL_Saisie_Estime2!$F$19,PL_Saisie_Estime2!$F$16,PL_Saisie_Estime2!$C$14,PL_Saisie_Estime2!$F$15,PL_Saisie_Estime2!$F$14,PL_Saisie_Estime2!$F$20,PL_Saisie_Estime2!AC$2,PL_Saisie_Estime2!AC$1,PL_Saisie_Estime2!$C128),"")</f>
        <v/>
      </c>
      <c r="AD128" s="192" t="str">
        <f ca="1">IF(Flag_Send_Data=1,_xll.DBSW(PL_Saisie_Estime2!AD128,Server&amp;Cube1,PL_Saisie_Estime2!$F$17,PL_Saisie_Estime2!$F$18,PL_Saisie_Estime2!$F$19,PL_Saisie_Estime2!$F$16,PL_Saisie_Estime2!$C$14,PL_Saisie_Estime2!$F$15,PL_Saisie_Estime2!$F$14,PL_Saisie_Estime2!$F$20,PL_Saisie_Estime2!AD$2,PL_Saisie_Estime2!AD$1,PL_Saisie_Estime2!$C128),"")</f>
        <v/>
      </c>
      <c r="AE128" s="192" t="str">
        <f ca="1">IF(Flag_Send_Data=1,_xll.DBSW(PL_Saisie_Estime2!AE128,Server&amp;Cube1,PL_Saisie_Estime2!$F$17,PL_Saisie_Estime2!$F$18,PL_Saisie_Estime2!$F$19,PL_Saisie_Estime2!$F$16,PL_Saisie_Estime2!$C$14,PL_Saisie_Estime2!$F$15,PL_Saisie_Estime2!$F$14,PL_Saisie_Estime2!$F$20,PL_Saisie_Estime2!AE$2,PL_Saisie_Estime2!AE$1,PL_Saisie_Estime2!$C128),"")</f>
        <v/>
      </c>
      <c r="AF128" s="204"/>
      <c r="AG128" s="53"/>
      <c r="AH128" s="53"/>
      <c r="AI128" s="53"/>
      <c r="AJ128" s="53"/>
      <c r="AK128" s="53"/>
      <c r="AL128" s="53"/>
      <c r="AM128" s="53"/>
      <c r="AN128" s="53"/>
      <c r="AO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1:53" s="9" customFormat="1" ht="24.95" customHeight="1" x14ac:dyDescent="0.35">
      <c r="A129" s="181"/>
      <c r="B129" s="163"/>
      <c r="C129" s="158"/>
      <c r="E129" s="268"/>
      <c r="F129" s="268"/>
      <c r="G129" s="268"/>
      <c r="H129" s="40"/>
      <c r="I129" s="130"/>
      <c r="J129" s="130"/>
      <c r="K129" s="130"/>
      <c r="L129" s="130"/>
      <c r="M129" s="130"/>
      <c r="N129" s="126"/>
      <c r="O129" s="204"/>
      <c r="P129" s="126"/>
      <c r="Q129" s="124"/>
      <c r="R129" s="192"/>
      <c r="S129" s="126"/>
      <c r="T129" s="200"/>
      <c r="U129" s="200"/>
      <c r="V129" s="200"/>
      <c r="W129" s="200"/>
      <c r="X129" s="200"/>
      <c r="Y129" s="200"/>
      <c r="Z129" s="192" t="str">
        <f ca="1">IF(Flag_Send_Data=1,_xll.DBSW(PL_Saisie_Estime2!Z129,Server&amp;Cube1,PL_Saisie_Estime2!$F$17,PL_Saisie_Estime2!$F$18,PL_Saisie_Estime2!$F$19,PL_Saisie_Estime2!$F$16,PL_Saisie_Estime2!$C$14,PL_Saisie_Estime2!$F$15,PL_Saisie_Estime2!$F$14,PL_Saisie_Estime2!$F$20,PL_Saisie_Estime2!Z$2,PL_Saisie_Estime2!Z$1,PL_Saisie_Estime2!$C129),"")</f>
        <v/>
      </c>
      <c r="AA129" s="192" t="str">
        <f ca="1">IF(Flag_Send_Data=1,_xll.DBSW(PL_Saisie_Estime2!AA129,Server&amp;Cube1,PL_Saisie_Estime2!$F$17,PL_Saisie_Estime2!$F$18,PL_Saisie_Estime2!$F$19,PL_Saisie_Estime2!$F$16,PL_Saisie_Estime2!$C$14,PL_Saisie_Estime2!$F$15,PL_Saisie_Estime2!$F$14,PL_Saisie_Estime2!$F$20,PL_Saisie_Estime2!AA$2,PL_Saisie_Estime2!AA$1,PL_Saisie_Estime2!$C129),"")</f>
        <v/>
      </c>
      <c r="AB129" s="192" t="str">
        <f ca="1">IF(Flag_Send_Data=1,_xll.DBSW(PL_Saisie_Estime2!AB129,Server&amp;Cube1,PL_Saisie_Estime2!$F$17,PL_Saisie_Estime2!$F$18,PL_Saisie_Estime2!$F$19,PL_Saisie_Estime2!$F$16,PL_Saisie_Estime2!$C$14,PL_Saisie_Estime2!$F$15,PL_Saisie_Estime2!$F$14,PL_Saisie_Estime2!$F$20,PL_Saisie_Estime2!AB$2,PL_Saisie_Estime2!AB$1,PL_Saisie_Estime2!$C129),"")</f>
        <v/>
      </c>
      <c r="AC129" s="192" t="str">
        <f ca="1">IF(Flag_Send_Data=1,_xll.DBSW(PL_Saisie_Estime2!AC129,Server&amp;Cube1,PL_Saisie_Estime2!$F$17,PL_Saisie_Estime2!$F$18,PL_Saisie_Estime2!$F$19,PL_Saisie_Estime2!$F$16,PL_Saisie_Estime2!$C$14,PL_Saisie_Estime2!$F$15,PL_Saisie_Estime2!$F$14,PL_Saisie_Estime2!$F$20,PL_Saisie_Estime2!AC$2,PL_Saisie_Estime2!AC$1,PL_Saisie_Estime2!$C129),"")</f>
        <v/>
      </c>
      <c r="AD129" s="192" t="str">
        <f ca="1">IF(Flag_Send_Data=1,_xll.DBSW(PL_Saisie_Estime2!AD129,Server&amp;Cube1,PL_Saisie_Estime2!$F$17,PL_Saisie_Estime2!$F$18,PL_Saisie_Estime2!$F$19,PL_Saisie_Estime2!$F$16,PL_Saisie_Estime2!$C$14,PL_Saisie_Estime2!$F$15,PL_Saisie_Estime2!$F$14,PL_Saisie_Estime2!$F$20,PL_Saisie_Estime2!AD$2,PL_Saisie_Estime2!AD$1,PL_Saisie_Estime2!$C129),"")</f>
        <v/>
      </c>
      <c r="AE129" s="192" t="str">
        <f ca="1">IF(Flag_Send_Data=1,_xll.DBSW(PL_Saisie_Estime2!AE129,Server&amp;Cube1,PL_Saisie_Estime2!$F$17,PL_Saisie_Estime2!$F$18,PL_Saisie_Estime2!$F$19,PL_Saisie_Estime2!$F$16,PL_Saisie_Estime2!$C$14,PL_Saisie_Estime2!$F$15,PL_Saisie_Estime2!$F$14,PL_Saisie_Estime2!$F$20,PL_Saisie_Estime2!AE$2,PL_Saisie_Estime2!AE$1,PL_Saisie_Estime2!$C129),"")</f>
        <v/>
      </c>
      <c r="AF129" s="204"/>
      <c r="AG129" s="53"/>
      <c r="AH129" s="53"/>
      <c r="AI129" s="53"/>
      <c r="AJ129" s="53"/>
      <c r="AK129" s="53"/>
      <c r="AL129" s="53"/>
      <c r="AM129" s="53"/>
      <c r="AN129" s="53"/>
      <c r="AO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1:53" s="9" customFormat="1" ht="24.95" customHeight="1" x14ac:dyDescent="0.35">
      <c r="A130" s="181"/>
      <c r="B130" s="163"/>
      <c r="C130" s="158"/>
      <c r="E130" s="268"/>
      <c r="F130" s="268"/>
      <c r="G130" s="268"/>
      <c r="H130" s="40"/>
      <c r="I130" s="130"/>
      <c r="J130" s="130"/>
      <c r="K130" s="130"/>
      <c r="L130" s="130"/>
      <c r="M130" s="130"/>
      <c r="N130" s="126"/>
      <c r="O130" s="204"/>
      <c r="P130" s="126"/>
      <c r="Q130" s="124"/>
      <c r="R130" s="192"/>
      <c r="S130" s="126"/>
      <c r="T130" s="200"/>
      <c r="U130" s="200"/>
      <c r="V130" s="200"/>
      <c r="W130" s="200"/>
      <c r="X130" s="200"/>
      <c r="Y130" s="200"/>
      <c r="Z130" s="192" t="str">
        <f ca="1">IF(Flag_Send_Data=1,_xll.DBSW(PL_Saisie_Estime2!Z130,Server&amp;Cube1,PL_Saisie_Estime2!$F$17,PL_Saisie_Estime2!$F$18,PL_Saisie_Estime2!$F$19,PL_Saisie_Estime2!$F$16,PL_Saisie_Estime2!$C$14,PL_Saisie_Estime2!$F$15,PL_Saisie_Estime2!$F$14,PL_Saisie_Estime2!$F$20,PL_Saisie_Estime2!Z$2,PL_Saisie_Estime2!Z$1,PL_Saisie_Estime2!$C130),"")</f>
        <v/>
      </c>
      <c r="AA130" s="192" t="str">
        <f ca="1">IF(Flag_Send_Data=1,_xll.DBSW(PL_Saisie_Estime2!AA130,Server&amp;Cube1,PL_Saisie_Estime2!$F$17,PL_Saisie_Estime2!$F$18,PL_Saisie_Estime2!$F$19,PL_Saisie_Estime2!$F$16,PL_Saisie_Estime2!$C$14,PL_Saisie_Estime2!$F$15,PL_Saisie_Estime2!$F$14,PL_Saisie_Estime2!$F$20,PL_Saisie_Estime2!AA$2,PL_Saisie_Estime2!AA$1,PL_Saisie_Estime2!$C130),"")</f>
        <v/>
      </c>
      <c r="AB130" s="192" t="str">
        <f ca="1">IF(Flag_Send_Data=1,_xll.DBSW(PL_Saisie_Estime2!AB130,Server&amp;Cube1,PL_Saisie_Estime2!$F$17,PL_Saisie_Estime2!$F$18,PL_Saisie_Estime2!$F$19,PL_Saisie_Estime2!$F$16,PL_Saisie_Estime2!$C$14,PL_Saisie_Estime2!$F$15,PL_Saisie_Estime2!$F$14,PL_Saisie_Estime2!$F$20,PL_Saisie_Estime2!AB$2,PL_Saisie_Estime2!AB$1,PL_Saisie_Estime2!$C130),"")</f>
        <v/>
      </c>
      <c r="AC130" s="192" t="str">
        <f ca="1">IF(Flag_Send_Data=1,_xll.DBSW(PL_Saisie_Estime2!AC130,Server&amp;Cube1,PL_Saisie_Estime2!$F$17,PL_Saisie_Estime2!$F$18,PL_Saisie_Estime2!$F$19,PL_Saisie_Estime2!$F$16,PL_Saisie_Estime2!$C$14,PL_Saisie_Estime2!$F$15,PL_Saisie_Estime2!$F$14,PL_Saisie_Estime2!$F$20,PL_Saisie_Estime2!AC$2,PL_Saisie_Estime2!AC$1,PL_Saisie_Estime2!$C130),"")</f>
        <v/>
      </c>
      <c r="AD130" s="192" t="str">
        <f ca="1">IF(Flag_Send_Data=1,_xll.DBSW(PL_Saisie_Estime2!AD130,Server&amp;Cube1,PL_Saisie_Estime2!$F$17,PL_Saisie_Estime2!$F$18,PL_Saisie_Estime2!$F$19,PL_Saisie_Estime2!$F$16,PL_Saisie_Estime2!$C$14,PL_Saisie_Estime2!$F$15,PL_Saisie_Estime2!$F$14,PL_Saisie_Estime2!$F$20,PL_Saisie_Estime2!AD$2,PL_Saisie_Estime2!AD$1,PL_Saisie_Estime2!$C130),"")</f>
        <v/>
      </c>
      <c r="AE130" s="192" t="str">
        <f ca="1">IF(Flag_Send_Data=1,_xll.DBSW(PL_Saisie_Estime2!AE130,Server&amp;Cube1,PL_Saisie_Estime2!$F$17,PL_Saisie_Estime2!$F$18,PL_Saisie_Estime2!$F$19,PL_Saisie_Estime2!$F$16,PL_Saisie_Estime2!$C$14,PL_Saisie_Estime2!$F$15,PL_Saisie_Estime2!$F$14,PL_Saisie_Estime2!$F$20,PL_Saisie_Estime2!AE$2,PL_Saisie_Estime2!AE$1,PL_Saisie_Estime2!$C130),"")</f>
        <v/>
      </c>
      <c r="AF130" s="204"/>
      <c r="AG130" s="53"/>
      <c r="AH130" s="53"/>
      <c r="AI130" s="53"/>
      <c r="AJ130" s="53"/>
      <c r="AK130" s="53"/>
      <c r="AL130" s="53"/>
      <c r="AM130" s="53"/>
      <c r="AN130" s="53"/>
      <c r="AO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1:53" s="9" customFormat="1" ht="24.95" customHeight="1" x14ac:dyDescent="0.35">
      <c r="A131" s="181"/>
      <c r="B131" s="163"/>
      <c r="C131" s="158"/>
      <c r="E131" s="268"/>
      <c r="F131" s="268"/>
      <c r="G131" s="268"/>
      <c r="H131" s="40"/>
      <c r="I131" s="130"/>
      <c r="J131" s="130"/>
      <c r="K131" s="130"/>
      <c r="L131" s="130"/>
      <c r="M131" s="130"/>
      <c r="N131" s="126"/>
      <c r="O131" s="204"/>
      <c r="P131" s="126"/>
      <c r="Q131" s="124"/>
      <c r="R131" s="192"/>
      <c r="S131" s="126"/>
      <c r="T131" s="200"/>
      <c r="U131" s="200"/>
      <c r="V131" s="200"/>
      <c r="W131" s="200"/>
      <c r="X131" s="200"/>
      <c r="Y131" s="200"/>
      <c r="Z131" s="192" t="str">
        <f ca="1">IF(Flag_Send_Data=1,_xll.DBSW(PL_Saisie_Estime2!Z131,Server&amp;Cube1,PL_Saisie_Estime2!$F$17,PL_Saisie_Estime2!$F$18,PL_Saisie_Estime2!$F$19,PL_Saisie_Estime2!$F$16,PL_Saisie_Estime2!$C$14,PL_Saisie_Estime2!$F$15,PL_Saisie_Estime2!$F$14,PL_Saisie_Estime2!$F$20,PL_Saisie_Estime2!Z$2,PL_Saisie_Estime2!Z$1,PL_Saisie_Estime2!$C131),"")</f>
        <v/>
      </c>
      <c r="AA131" s="192" t="str">
        <f ca="1">IF(Flag_Send_Data=1,_xll.DBSW(PL_Saisie_Estime2!AA131,Server&amp;Cube1,PL_Saisie_Estime2!$F$17,PL_Saisie_Estime2!$F$18,PL_Saisie_Estime2!$F$19,PL_Saisie_Estime2!$F$16,PL_Saisie_Estime2!$C$14,PL_Saisie_Estime2!$F$15,PL_Saisie_Estime2!$F$14,PL_Saisie_Estime2!$F$20,PL_Saisie_Estime2!AA$2,PL_Saisie_Estime2!AA$1,PL_Saisie_Estime2!$C131),"")</f>
        <v/>
      </c>
      <c r="AB131" s="192" t="str">
        <f ca="1">IF(Flag_Send_Data=1,_xll.DBSW(PL_Saisie_Estime2!AB131,Server&amp;Cube1,PL_Saisie_Estime2!$F$17,PL_Saisie_Estime2!$F$18,PL_Saisie_Estime2!$F$19,PL_Saisie_Estime2!$F$16,PL_Saisie_Estime2!$C$14,PL_Saisie_Estime2!$F$15,PL_Saisie_Estime2!$F$14,PL_Saisie_Estime2!$F$20,PL_Saisie_Estime2!AB$2,PL_Saisie_Estime2!AB$1,PL_Saisie_Estime2!$C131),"")</f>
        <v/>
      </c>
      <c r="AC131" s="192" t="str">
        <f ca="1">IF(Flag_Send_Data=1,_xll.DBSW(PL_Saisie_Estime2!AC131,Server&amp;Cube1,PL_Saisie_Estime2!$F$17,PL_Saisie_Estime2!$F$18,PL_Saisie_Estime2!$F$19,PL_Saisie_Estime2!$F$16,PL_Saisie_Estime2!$C$14,PL_Saisie_Estime2!$F$15,PL_Saisie_Estime2!$F$14,PL_Saisie_Estime2!$F$20,PL_Saisie_Estime2!AC$2,PL_Saisie_Estime2!AC$1,PL_Saisie_Estime2!$C131),"")</f>
        <v/>
      </c>
      <c r="AD131" s="192" t="str">
        <f ca="1">IF(Flag_Send_Data=1,_xll.DBSW(PL_Saisie_Estime2!AD131,Server&amp;Cube1,PL_Saisie_Estime2!$F$17,PL_Saisie_Estime2!$F$18,PL_Saisie_Estime2!$F$19,PL_Saisie_Estime2!$F$16,PL_Saisie_Estime2!$C$14,PL_Saisie_Estime2!$F$15,PL_Saisie_Estime2!$F$14,PL_Saisie_Estime2!$F$20,PL_Saisie_Estime2!AD$2,PL_Saisie_Estime2!AD$1,PL_Saisie_Estime2!$C131),"")</f>
        <v/>
      </c>
      <c r="AE131" s="192" t="str">
        <f ca="1">IF(Flag_Send_Data=1,_xll.DBSW(PL_Saisie_Estime2!AE131,Server&amp;Cube1,PL_Saisie_Estime2!$F$17,PL_Saisie_Estime2!$F$18,PL_Saisie_Estime2!$F$19,PL_Saisie_Estime2!$F$16,PL_Saisie_Estime2!$C$14,PL_Saisie_Estime2!$F$15,PL_Saisie_Estime2!$F$14,PL_Saisie_Estime2!$F$20,PL_Saisie_Estime2!AE$2,PL_Saisie_Estime2!AE$1,PL_Saisie_Estime2!$C131),"")</f>
        <v/>
      </c>
      <c r="AF131" s="204"/>
      <c r="AG131" s="53"/>
      <c r="AH131" s="53"/>
      <c r="AI131" s="53"/>
      <c r="AJ131" s="53"/>
      <c r="AK131" s="53"/>
      <c r="AL131" s="53"/>
      <c r="AM131" s="53"/>
      <c r="AN131" s="53"/>
      <c r="AO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1:53" s="9" customFormat="1" ht="24.95" customHeight="1" x14ac:dyDescent="0.35">
      <c r="A132" s="181"/>
      <c r="B132" s="163"/>
      <c r="C132" s="158"/>
      <c r="E132" s="268"/>
      <c r="F132" s="268"/>
      <c r="G132" s="268"/>
      <c r="H132" s="40"/>
      <c r="I132" s="130"/>
      <c r="J132" s="130"/>
      <c r="K132" s="130"/>
      <c r="L132" s="130"/>
      <c r="M132" s="130"/>
      <c r="N132" s="126"/>
      <c r="O132" s="204"/>
      <c r="P132" s="126"/>
      <c r="Q132" s="124"/>
      <c r="R132" s="192"/>
      <c r="S132" s="126"/>
      <c r="T132" s="200"/>
      <c r="U132" s="200"/>
      <c r="V132" s="200"/>
      <c r="W132" s="200"/>
      <c r="X132" s="200"/>
      <c r="Y132" s="200"/>
      <c r="Z132" s="192" t="str">
        <f ca="1">IF(Flag_Send_Data=1,_xll.DBSW(PL_Saisie_Estime2!Z132,Server&amp;Cube1,PL_Saisie_Estime2!$F$17,PL_Saisie_Estime2!$F$18,PL_Saisie_Estime2!$F$19,PL_Saisie_Estime2!$F$16,PL_Saisie_Estime2!$C$14,PL_Saisie_Estime2!$F$15,PL_Saisie_Estime2!$F$14,PL_Saisie_Estime2!$F$20,PL_Saisie_Estime2!Z$2,PL_Saisie_Estime2!Z$1,PL_Saisie_Estime2!$C132),"")</f>
        <v/>
      </c>
      <c r="AA132" s="192" t="str">
        <f ca="1">IF(Flag_Send_Data=1,_xll.DBSW(PL_Saisie_Estime2!AA132,Server&amp;Cube1,PL_Saisie_Estime2!$F$17,PL_Saisie_Estime2!$F$18,PL_Saisie_Estime2!$F$19,PL_Saisie_Estime2!$F$16,PL_Saisie_Estime2!$C$14,PL_Saisie_Estime2!$F$15,PL_Saisie_Estime2!$F$14,PL_Saisie_Estime2!$F$20,PL_Saisie_Estime2!AA$2,PL_Saisie_Estime2!AA$1,PL_Saisie_Estime2!$C132),"")</f>
        <v/>
      </c>
      <c r="AB132" s="192" t="str">
        <f ca="1">IF(Flag_Send_Data=1,_xll.DBSW(PL_Saisie_Estime2!AB132,Server&amp;Cube1,PL_Saisie_Estime2!$F$17,PL_Saisie_Estime2!$F$18,PL_Saisie_Estime2!$F$19,PL_Saisie_Estime2!$F$16,PL_Saisie_Estime2!$C$14,PL_Saisie_Estime2!$F$15,PL_Saisie_Estime2!$F$14,PL_Saisie_Estime2!$F$20,PL_Saisie_Estime2!AB$2,PL_Saisie_Estime2!AB$1,PL_Saisie_Estime2!$C132),"")</f>
        <v/>
      </c>
      <c r="AC132" s="192" t="str">
        <f ca="1">IF(Flag_Send_Data=1,_xll.DBSW(PL_Saisie_Estime2!AC132,Server&amp;Cube1,PL_Saisie_Estime2!$F$17,PL_Saisie_Estime2!$F$18,PL_Saisie_Estime2!$F$19,PL_Saisie_Estime2!$F$16,PL_Saisie_Estime2!$C$14,PL_Saisie_Estime2!$F$15,PL_Saisie_Estime2!$F$14,PL_Saisie_Estime2!$F$20,PL_Saisie_Estime2!AC$2,PL_Saisie_Estime2!AC$1,PL_Saisie_Estime2!$C132),"")</f>
        <v/>
      </c>
      <c r="AD132" s="192" t="str">
        <f ca="1">IF(Flag_Send_Data=1,_xll.DBSW(PL_Saisie_Estime2!AD132,Server&amp;Cube1,PL_Saisie_Estime2!$F$17,PL_Saisie_Estime2!$F$18,PL_Saisie_Estime2!$F$19,PL_Saisie_Estime2!$F$16,PL_Saisie_Estime2!$C$14,PL_Saisie_Estime2!$F$15,PL_Saisie_Estime2!$F$14,PL_Saisie_Estime2!$F$20,PL_Saisie_Estime2!AD$2,PL_Saisie_Estime2!AD$1,PL_Saisie_Estime2!$C132),"")</f>
        <v/>
      </c>
      <c r="AE132" s="192" t="str">
        <f ca="1">IF(Flag_Send_Data=1,_xll.DBSW(PL_Saisie_Estime2!AE132,Server&amp;Cube1,PL_Saisie_Estime2!$F$17,PL_Saisie_Estime2!$F$18,PL_Saisie_Estime2!$F$19,PL_Saisie_Estime2!$F$16,PL_Saisie_Estime2!$C$14,PL_Saisie_Estime2!$F$15,PL_Saisie_Estime2!$F$14,PL_Saisie_Estime2!$F$20,PL_Saisie_Estime2!AE$2,PL_Saisie_Estime2!AE$1,PL_Saisie_Estime2!$C132),"")</f>
        <v/>
      </c>
      <c r="AF132" s="204"/>
      <c r="AG132" s="53"/>
      <c r="AH132" s="53"/>
      <c r="AI132" s="53"/>
      <c r="AJ132" s="53"/>
      <c r="AK132" s="53"/>
      <c r="AL132" s="53"/>
      <c r="AM132" s="53"/>
      <c r="AN132" s="53"/>
      <c r="AO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1:53" s="9" customFormat="1" ht="24.95" customHeight="1" x14ac:dyDescent="0.35">
      <c r="A133" s="181"/>
      <c r="B133" s="163"/>
      <c r="C133" s="158"/>
      <c r="E133" s="268"/>
      <c r="F133" s="268"/>
      <c r="G133" s="268"/>
      <c r="H133" s="40"/>
      <c r="I133" s="130"/>
      <c r="J133" s="130"/>
      <c r="K133" s="130"/>
      <c r="L133" s="130"/>
      <c r="M133" s="130"/>
      <c r="N133" s="126"/>
      <c r="O133" s="204"/>
      <c r="P133" s="126"/>
      <c r="Q133" s="124"/>
      <c r="R133" s="192"/>
      <c r="S133" s="126"/>
      <c r="T133" s="200"/>
      <c r="U133" s="200"/>
      <c r="V133" s="200"/>
      <c r="W133" s="200"/>
      <c r="X133" s="200"/>
      <c r="Y133" s="200"/>
      <c r="Z133" s="192" t="str">
        <f ca="1">IF(Flag_Send_Data=1,_xll.DBSW(PL_Saisie_Estime2!Z133,Server&amp;Cube1,PL_Saisie_Estime2!$F$17,PL_Saisie_Estime2!$F$18,PL_Saisie_Estime2!$F$19,PL_Saisie_Estime2!$F$16,PL_Saisie_Estime2!$C$14,PL_Saisie_Estime2!$F$15,PL_Saisie_Estime2!$F$14,PL_Saisie_Estime2!$F$20,PL_Saisie_Estime2!Z$2,PL_Saisie_Estime2!Z$1,PL_Saisie_Estime2!$C133),"")</f>
        <v/>
      </c>
      <c r="AA133" s="192" t="str">
        <f ca="1">IF(Flag_Send_Data=1,_xll.DBSW(PL_Saisie_Estime2!AA133,Server&amp;Cube1,PL_Saisie_Estime2!$F$17,PL_Saisie_Estime2!$F$18,PL_Saisie_Estime2!$F$19,PL_Saisie_Estime2!$F$16,PL_Saisie_Estime2!$C$14,PL_Saisie_Estime2!$F$15,PL_Saisie_Estime2!$F$14,PL_Saisie_Estime2!$F$20,PL_Saisie_Estime2!AA$2,PL_Saisie_Estime2!AA$1,PL_Saisie_Estime2!$C133),"")</f>
        <v/>
      </c>
      <c r="AB133" s="192" t="str">
        <f ca="1">IF(Flag_Send_Data=1,_xll.DBSW(PL_Saisie_Estime2!AB133,Server&amp;Cube1,PL_Saisie_Estime2!$F$17,PL_Saisie_Estime2!$F$18,PL_Saisie_Estime2!$F$19,PL_Saisie_Estime2!$F$16,PL_Saisie_Estime2!$C$14,PL_Saisie_Estime2!$F$15,PL_Saisie_Estime2!$F$14,PL_Saisie_Estime2!$F$20,PL_Saisie_Estime2!AB$2,PL_Saisie_Estime2!AB$1,PL_Saisie_Estime2!$C133),"")</f>
        <v/>
      </c>
      <c r="AC133" s="192" t="str">
        <f ca="1">IF(Flag_Send_Data=1,_xll.DBSW(PL_Saisie_Estime2!AC133,Server&amp;Cube1,PL_Saisie_Estime2!$F$17,PL_Saisie_Estime2!$F$18,PL_Saisie_Estime2!$F$19,PL_Saisie_Estime2!$F$16,PL_Saisie_Estime2!$C$14,PL_Saisie_Estime2!$F$15,PL_Saisie_Estime2!$F$14,PL_Saisie_Estime2!$F$20,PL_Saisie_Estime2!AC$2,PL_Saisie_Estime2!AC$1,PL_Saisie_Estime2!$C133),"")</f>
        <v/>
      </c>
      <c r="AD133" s="192" t="str">
        <f ca="1">IF(Flag_Send_Data=1,_xll.DBSW(PL_Saisie_Estime2!AD133,Server&amp;Cube1,PL_Saisie_Estime2!$F$17,PL_Saisie_Estime2!$F$18,PL_Saisie_Estime2!$F$19,PL_Saisie_Estime2!$F$16,PL_Saisie_Estime2!$C$14,PL_Saisie_Estime2!$F$15,PL_Saisie_Estime2!$F$14,PL_Saisie_Estime2!$F$20,PL_Saisie_Estime2!AD$2,PL_Saisie_Estime2!AD$1,PL_Saisie_Estime2!$C133),"")</f>
        <v/>
      </c>
      <c r="AE133" s="192" t="str">
        <f ca="1">IF(Flag_Send_Data=1,_xll.DBSW(PL_Saisie_Estime2!AE133,Server&amp;Cube1,PL_Saisie_Estime2!$F$17,PL_Saisie_Estime2!$F$18,PL_Saisie_Estime2!$F$19,PL_Saisie_Estime2!$F$16,PL_Saisie_Estime2!$C$14,PL_Saisie_Estime2!$F$15,PL_Saisie_Estime2!$F$14,PL_Saisie_Estime2!$F$20,PL_Saisie_Estime2!AE$2,PL_Saisie_Estime2!AE$1,PL_Saisie_Estime2!$C133),"")</f>
        <v/>
      </c>
      <c r="AF133" s="204"/>
      <c r="AG133" s="53"/>
      <c r="AH133" s="53"/>
      <c r="AI133" s="53"/>
      <c r="AJ133" s="53"/>
      <c r="AK133" s="53"/>
      <c r="AL133" s="53"/>
      <c r="AM133" s="53"/>
      <c r="AN133" s="53"/>
      <c r="AO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1:53" s="9" customFormat="1" ht="24.95" customHeight="1" collapsed="1" x14ac:dyDescent="0.35">
      <c r="A134" s="181"/>
      <c r="B134" s="163"/>
      <c r="C134" s="117"/>
      <c r="E134" s="270"/>
      <c r="F134" s="270"/>
      <c r="G134" s="270"/>
      <c r="H134" s="40"/>
      <c r="I134" s="130"/>
      <c r="J134" s="130"/>
      <c r="K134" s="130"/>
      <c r="L134" s="130"/>
      <c r="M134" s="130"/>
      <c r="N134" s="125"/>
      <c r="O134" s="125"/>
      <c r="P134" s="125"/>
      <c r="Q134" s="124"/>
      <c r="R134" s="125"/>
      <c r="S134" s="125"/>
      <c r="T134" s="201"/>
      <c r="U134" s="201"/>
      <c r="V134" s="201"/>
      <c r="W134" s="201"/>
      <c r="X134" s="125"/>
      <c r="Y134" s="125"/>
      <c r="Z134" s="125"/>
      <c r="AA134" s="125"/>
      <c r="AB134" s="125"/>
      <c r="AC134" s="125"/>
      <c r="AD134" s="125"/>
      <c r="AE134" s="125"/>
      <c r="AF134" s="125"/>
      <c r="AG134" s="53"/>
      <c r="AH134" s="53"/>
      <c r="AI134" s="53"/>
      <c r="AJ134" s="53"/>
      <c r="AK134" s="53"/>
      <c r="AL134" s="53"/>
      <c r="AM134" s="53"/>
      <c r="AN134" s="53"/>
      <c r="AO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1:53" s="9" customFormat="1" ht="24.95" customHeight="1" x14ac:dyDescent="0.35">
      <c r="A135" s="181"/>
      <c r="B135" s="163"/>
      <c r="C135" s="158"/>
      <c r="E135" s="268"/>
      <c r="F135" s="268"/>
      <c r="G135" s="268"/>
      <c r="H135" s="40"/>
      <c r="I135" s="130"/>
      <c r="J135" s="130"/>
      <c r="K135" s="130"/>
      <c r="L135" s="130"/>
      <c r="M135" s="130"/>
      <c r="N135" s="126"/>
      <c r="O135" s="204"/>
      <c r="P135" s="126"/>
      <c r="Q135" s="124"/>
      <c r="R135" s="192"/>
      <c r="S135" s="126"/>
      <c r="T135" s="200"/>
      <c r="U135" s="200"/>
      <c r="V135" s="200"/>
      <c r="W135" s="200"/>
      <c r="X135" s="200"/>
      <c r="Y135" s="200"/>
      <c r="Z135" s="192" t="str">
        <f ca="1">IF(Flag_Send_Data=1,_xll.DBSW(PL_Saisie_Estime2!Z135,Server&amp;Cube1,PL_Saisie_Estime2!$F$17,PL_Saisie_Estime2!$F$18,PL_Saisie_Estime2!$F$19,PL_Saisie_Estime2!$F$16,PL_Saisie_Estime2!$C$14,PL_Saisie_Estime2!$F$15,PL_Saisie_Estime2!$F$14,PL_Saisie_Estime2!$F$20,PL_Saisie_Estime2!Z$2,PL_Saisie_Estime2!Z$1,PL_Saisie_Estime2!$C135),"")</f>
        <v/>
      </c>
      <c r="AA135" s="192" t="str">
        <f ca="1">IF(Flag_Send_Data=1,_xll.DBSW(PL_Saisie_Estime2!AA135,Server&amp;Cube1,PL_Saisie_Estime2!$F$17,PL_Saisie_Estime2!$F$18,PL_Saisie_Estime2!$F$19,PL_Saisie_Estime2!$F$16,PL_Saisie_Estime2!$C$14,PL_Saisie_Estime2!$F$15,PL_Saisie_Estime2!$F$14,PL_Saisie_Estime2!$F$20,PL_Saisie_Estime2!AA$2,PL_Saisie_Estime2!AA$1,PL_Saisie_Estime2!$C135),"")</f>
        <v/>
      </c>
      <c r="AB135" s="192" t="str">
        <f ca="1">IF(Flag_Send_Data=1,_xll.DBSW(PL_Saisie_Estime2!AB135,Server&amp;Cube1,PL_Saisie_Estime2!$F$17,PL_Saisie_Estime2!$F$18,PL_Saisie_Estime2!$F$19,PL_Saisie_Estime2!$F$16,PL_Saisie_Estime2!$C$14,PL_Saisie_Estime2!$F$15,PL_Saisie_Estime2!$F$14,PL_Saisie_Estime2!$F$20,PL_Saisie_Estime2!AB$2,PL_Saisie_Estime2!AB$1,PL_Saisie_Estime2!$C135),"")</f>
        <v/>
      </c>
      <c r="AC135" s="192" t="str">
        <f ca="1">IF(Flag_Send_Data=1,_xll.DBSW(PL_Saisie_Estime2!AC135,Server&amp;Cube1,PL_Saisie_Estime2!$F$17,PL_Saisie_Estime2!$F$18,PL_Saisie_Estime2!$F$19,PL_Saisie_Estime2!$F$16,PL_Saisie_Estime2!$C$14,PL_Saisie_Estime2!$F$15,PL_Saisie_Estime2!$F$14,PL_Saisie_Estime2!$F$20,PL_Saisie_Estime2!AC$2,PL_Saisie_Estime2!AC$1,PL_Saisie_Estime2!$C135),"")</f>
        <v/>
      </c>
      <c r="AD135" s="192" t="str">
        <f ca="1">IF(Flag_Send_Data=1,_xll.DBSW(PL_Saisie_Estime2!AD135,Server&amp;Cube1,PL_Saisie_Estime2!$F$17,PL_Saisie_Estime2!$F$18,PL_Saisie_Estime2!$F$19,PL_Saisie_Estime2!$F$16,PL_Saisie_Estime2!$C$14,PL_Saisie_Estime2!$F$15,PL_Saisie_Estime2!$F$14,PL_Saisie_Estime2!$F$20,PL_Saisie_Estime2!AD$2,PL_Saisie_Estime2!AD$1,PL_Saisie_Estime2!$C135),"")</f>
        <v/>
      </c>
      <c r="AE135" s="192" t="str">
        <f ca="1">IF(Flag_Send_Data=1,_xll.DBSW(PL_Saisie_Estime2!AE135,Server&amp;Cube1,PL_Saisie_Estime2!$F$17,PL_Saisie_Estime2!$F$18,PL_Saisie_Estime2!$F$19,PL_Saisie_Estime2!$F$16,PL_Saisie_Estime2!$C$14,PL_Saisie_Estime2!$F$15,PL_Saisie_Estime2!$F$14,PL_Saisie_Estime2!$F$20,PL_Saisie_Estime2!AE$2,PL_Saisie_Estime2!AE$1,PL_Saisie_Estime2!$C135),"")</f>
        <v/>
      </c>
      <c r="AF135" s="204"/>
      <c r="AG135" s="53"/>
      <c r="AH135" s="53"/>
      <c r="AI135" s="53"/>
      <c r="AJ135" s="53"/>
      <c r="AK135" s="53"/>
      <c r="AL135" s="53"/>
      <c r="AM135" s="53"/>
      <c r="AN135" s="53"/>
      <c r="AO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1:53" s="9" customFormat="1" ht="24.95" customHeight="1" x14ac:dyDescent="0.35">
      <c r="A136" s="181"/>
      <c r="B136" s="163"/>
      <c r="C136" s="158"/>
      <c r="E136" s="268"/>
      <c r="F136" s="268"/>
      <c r="G136" s="268"/>
      <c r="H136" s="40"/>
      <c r="I136" s="130"/>
      <c r="J136" s="130"/>
      <c r="K136" s="130"/>
      <c r="L136" s="130"/>
      <c r="M136" s="130"/>
      <c r="N136" s="126"/>
      <c r="O136" s="204"/>
      <c r="P136" s="126"/>
      <c r="Q136" s="124"/>
      <c r="R136" s="192"/>
      <c r="S136" s="126"/>
      <c r="T136" s="200"/>
      <c r="U136" s="200"/>
      <c r="V136" s="200"/>
      <c r="W136" s="200"/>
      <c r="X136" s="200"/>
      <c r="Y136" s="200"/>
      <c r="Z136" s="192" t="str">
        <f ca="1">IF(Flag_Send_Data=1,_xll.DBSW(PL_Saisie_Estime2!Z136,Server&amp;Cube1,PL_Saisie_Estime2!$F$17,PL_Saisie_Estime2!$F$18,PL_Saisie_Estime2!$F$19,PL_Saisie_Estime2!$F$16,PL_Saisie_Estime2!$C$14,PL_Saisie_Estime2!$F$15,PL_Saisie_Estime2!$F$14,PL_Saisie_Estime2!$F$20,PL_Saisie_Estime2!Z$2,PL_Saisie_Estime2!Z$1,PL_Saisie_Estime2!$C136),"")</f>
        <v/>
      </c>
      <c r="AA136" s="192" t="str">
        <f ca="1">IF(Flag_Send_Data=1,_xll.DBSW(PL_Saisie_Estime2!AA136,Server&amp;Cube1,PL_Saisie_Estime2!$F$17,PL_Saisie_Estime2!$F$18,PL_Saisie_Estime2!$F$19,PL_Saisie_Estime2!$F$16,PL_Saisie_Estime2!$C$14,PL_Saisie_Estime2!$F$15,PL_Saisie_Estime2!$F$14,PL_Saisie_Estime2!$F$20,PL_Saisie_Estime2!AA$2,PL_Saisie_Estime2!AA$1,PL_Saisie_Estime2!$C136),"")</f>
        <v/>
      </c>
      <c r="AB136" s="192" t="str">
        <f ca="1">IF(Flag_Send_Data=1,_xll.DBSW(PL_Saisie_Estime2!AB136,Server&amp;Cube1,PL_Saisie_Estime2!$F$17,PL_Saisie_Estime2!$F$18,PL_Saisie_Estime2!$F$19,PL_Saisie_Estime2!$F$16,PL_Saisie_Estime2!$C$14,PL_Saisie_Estime2!$F$15,PL_Saisie_Estime2!$F$14,PL_Saisie_Estime2!$F$20,PL_Saisie_Estime2!AB$2,PL_Saisie_Estime2!AB$1,PL_Saisie_Estime2!$C136),"")</f>
        <v/>
      </c>
      <c r="AC136" s="192" t="str">
        <f ca="1">IF(Flag_Send_Data=1,_xll.DBSW(PL_Saisie_Estime2!AC136,Server&amp;Cube1,PL_Saisie_Estime2!$F$17,PL_Saisie_Estime2!$F$18,PL_Saisie_Estime2!$F$19,PL_Saisie_Estime2!$F$16,PL_Saisie_Estime2!$C$14,PL_Saisie_Estime2!$F$15,PL_Saisie_Estime2!$F$14,PL_Saisie_Estime2!$F$20,PL_Saisie_Estime2!AC$2,PL_Saisie_Estime2!AC$1,PL_Saisie_Estime2!$C136),"")</f>
        <v/>
      </c>
      <c r="AD136" s="192" t="str">
        <f ca="1">IF(Flag_Send_Data=1,_xll.DBSW(PL_Saisie_Estime2!AD136,Server&amp;Cube1,PL_Saisie_Estime2!$F$17,PL_Saisie_Estime2!$F$18,PL_Saisie_Estime2!$F$19,PL_Saisie_Estime2!$F$16,PL_Saisie_Estime2!$C$14,PL_Saisie_Estime2!$F$15,PL_Saisie_Estime2!$F$14,PL_Saisie_Estime2!$F$20,PL_Saisie_Estime2!AD$2,PL_Saisie_Estime2!AD$1,PL_Saisie_Estime2!$C136),"")</f>
        <v/>
      </c>
      <c r="AE136" s="192" t="str">
        <f ca="1">IF(Flag_Send_Data=1,_xll.DBSW(PL_Saisie_Estime2!AE136,Server&amp;Cube1,PL_Saisie_Estime2!$F$17,PL_Saisie_Estime2!$F$18,PL_Saisie_Estime2!$F$19,PL_Saisie_Estime2!$F$16,PL_Saisie_Estime2!$C$14,PL_Saisie_Estime2!$F$15,PL_Saisie_Estime2!$F$14,PL_Saisie_Estime2!$F$20,PL_Saisie_Estime2!AE$2,PL_Saisie_Estime2!AE$1,PL_Saisie_Estime2!$C136),"")</f>
        <v/>
      </c>
      <c r="AF136" s="204"/>
      <c r="AG136" s="53"/>
      <c r="AH136" s="53"/>
      <c r="AI136" s="53"/>
      <c r="AJ136" s="53"/>
      <c r="AK136" s="53"/>
      <c r="AL136" s="53"/>
      <c r="AM136" s="53"/>
      <c r="AN136" s="53"/>
      <c r="AO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1:53" s="9" customFormat="1" ht="24.95" customHeight="1" x14ac:dyDescent="0.35">
      <c r="A137" s="181"/>
      <c r="B137" s="163"/>
      <c r="C137" s="158"/>
      <c r="E137" s="268"/>
      <c r="F137" s="268"/>
      <c r="G137" s="268"/>
      <c r="H137" s="40"/>
      <c r="I137" s="130"/>
      <c r="J137" s="130"/>
      <c r="K137" s="130"/>
      <c r="L137" s="130"/>
      <c r="M137" s="130"/>
      <c r="N137" s="126"/>
      <c r="O137" s="204"/>
      <c r="P137" s="126"/>
      <c r="Q137" s="124"/>
      <c r="R137" s="192"/>
      <c r="S137" s="126"/>
      <c r="T137" s="200"/>
      <c r="U137" s="200"/>
      <c r="V137" s="200"/>
      <c r="W137" s="200"/>
      <c r="X137" s="200"/>
      <c r="Y137" s="200"/>
      <c r="Z137" s="192" t="str">
        <f ca="1">IF(Flag_Send_Data=1,_xll.DBSW(PL_Saisie_Estime2!Z137,Server&amp;Cube1,PL_Saisie_Estime2!$F$17,PL_Saisie_Estime2!$F$18,PL_Saisie_Estime2!$F$19,PL_Saisie_Estime2!$F$16,PL_Saisie_Estime2!$C$14,PL_Saisie_Estime2!$F$15,PL_Saisie_Estime2!$F$14,PL_Saisie_Estime2!$F$20,PL_Saisie_Estime2!Z$2,PL_Saisie_Estime2!Z$1,PL_Saisie_Estime2!$C137),"")</f>
        <v/>
      </c>
      <c r="AA137" s="192" t="str">
        <f ca="1">IF(Flag_Send_Data=1,_xll.DBSW(PL_Saisie_Estime2!AA137,Server&amp;Cube1,PL_Saisie_Estime2!$F$17,PL_Saisie_Estime2!$F$18,PL_Saisie_Estime2!$F$19,PL_Saisie_Estime2!$F$16,PL_Saisie_Estime2!$C$14,PL_Saisie_Estime2!$F$15,PL_Saisie_Estime2!$F$14,PL_Saisie_Estime2!$F$20,PL_Saisie_Estime2!AA$2,PL_Saisie_Estime2!AA$1,PL_Saisie_Estime2!$C137),"")</f>
        <v/>
      </c>
      <c r="AB137" s="192" t="str">
        <f ca="1">IF(Flag_Send_Data=1,_xll.DBSW(PL_Saisie_Estime2!AB137,Server&amp;Cube1,PL_Saisie_Estime2!$F$17,PL_Saisie_Estime2!$F$18,PL_Saisie_Estime2!$F$19,PL_Saisie_Estime2!$F$16,PL_Saisie_Estime2!$C$14,PL_Saisie_Estime2!$F$15,PL_Saisie_Estime2!$F$14,PL_Saisie_Estime2!$F$20,PL_Saisie_Estime2!AB$2,PL_Saisie_Estime2!AB$1,PL_Saisie_Estime2!$C137),"")</f>
        <v/>
      </c>
      <c r="AC137" s="192" t="str">
        <f ca="1">IF(Flag_Send_Data=1,_xll.DBSW(PL_Saisie_Estime2!AC137,Server&amp;Cube1,PL_Saisie_Estime2!$F$17,PL_Saisie_Estime2!$F$18,PL_Saisie_Estime2!$F$19,PL_Saisie_Estime2!$F$16,PL_Saisie_Estime2!$C$14,PL_Saisie_Estime2!$F$15,PL_Saisie_Estime2!$F$14,PL_Saisie_Estime2!$F$20,PL_Saisie_Estime2!AC$2,PL_Saisie_Estime2!AC$1,PL_Saisie_Estime2!$C137),"")</f>
        <v/>
      </c>
      <c r="AD137" s="192" t="str">
        <f ca="1">IF(Flag_Send_Data=1,_xll.DBSW(PL_Saisie_Estime2!AD137,Server&amp;Cube1,PL_Saisie_Estime2!$F$17,PL_Saisie_Estime2!$F$18,PL_Saisie_Estime2!$F$19,PL_Saisie_Estime2!$F$16,PL_Saisie_Estime2!$C$14,PL_Saisie_Estime2!$F$15,PL_Saisie_Estime2!$F$14,PL_Saisie_Estime2!$F$20,PL_Saisie_Estime2!AD$2,PL_Saisie_Estime2!AD$1,PL_Saisie_Estime2!$C137),"")</f>
        <v/>
      </c>
      <c r="AE137" s="192" t="str">
        <f ca="1">IF(Flag_Send_Data=1,_xll.DBSW(PL_Saisie_Estime2!AE137,Server&amp;Cube1,PL_Saisie_Estime2!$F$17,PL_Saisie_Estime2!$F$18,PL_Saisie_Estime2!$F$19,PL_Saisie_Estime2!$F$16,PL_Saisie_Estime2!$C$14,PL_Saisie_Estime2!$F$15,PL_Saisie_Estime2!$F$14,PL_Saisie_Estime2!$F$20,PL_Saisie_Estime2!AE$2,PL_Saisie_Estime2!AE$1,PL_Saisie_Estime2!$C137),"")</f>
        <v/>
      </c>
      <c r="AF137" s="204"/>
      <c r="AG137" s="53"/>
      <c r="AH137" s="53"/>
      <c r="AI137" s="53"/>
      <c r="AJ137" s="53"/>
      <c r="AK137" s="53"/>
      <c r="AL137" s="53"/>
      <c r="AM137" s="53"/>
      <c r="AN137" s="53"/>
      <c r="AO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1:53" s="9" customFormat="1" ht="24.95" customHeight="1" x14ac:dyDescent="0.35">
      <c r="A138" s="181"/>
      <c r="B138" s="163"/>
      <c r="C138" s="158"/>
      <c r="E138" s="268"/>
      <c r="F138" s="268"/>
      <c r="G138" s="268"/>
      <c r="H138" s="40"/>
      <c r="I138" s="130"/>
      <c r="J138" s="130"/>
      <c r="K138" s="130"/>
      <c r="L138" s="130"/>
      <c r="M138" s="130"/>
      <c r="N138" s="126"/>
      <c r="O138" s="204"/>
      <c r="P138" s="126"/>
      <c r="Q138" s="124"/>
      <c r="R138" s="192"/>
      <c r="S138" s="126"/>
      <c r="T138" s="200"/>
      <c r="U138" s="200"/>
      <c r="V138" s="200"/>
      <c r="W138" s="200"/>
      <c r="X138" s="200"/>
      <c r="Y138" s="200"/>
      <c r="Z138" s="192" t="str">
        <f ca="1">IF(Flag_Send_Data=1,_xll.DBSW(PL_Saisie_Estime2!Z138,Server&amp;Cube1,PL_Saisie_Estime2!$F$17,PL_Saisie_Estime2!$F$18,PL_Saisie_Estime2!$F$19,PL_Saisie_Estime2!$F$16,PL_Saisie_Estime2!$C$14,PL_Saisie_Estime2!$F$15,PL_Saisie_Estime2!$F$14,PL_Saisie_Estime2!$F$20,PL_Saisie_Estime2!Z$2,PL_Saisie_Estime2!Z$1,PL_Saisie_Estime2!$C138),"")</f>
        <v/>
      </c>
      <c r="AA138" s="192" t="str">
        <f ca="1">IF(Flag_Send_Data=1,_xll.DBSW(PL_Saisie_Estime2!AA138,Server&amp;Cube1,PL_Saisie_Estime2!$F$17,PL_Saisie_Estime2!$F$18,PL_Saisie_Estime2!$F$19,PL_Saisie_Estime2!$F$16,PL_Saisie_Estime2!$C$14,PL_Saisie_Estime2!$F$15,PL_Saisie_Estime2!$F$14,PL_Saisie_Estime2!$F$20,PL_Saisie_Estime2!AA$2,PL_Saisie_Estime2!AA$1,PL_Saisie_Estime2!$C138),"")</f>
        <v/>
      </c>
      <c r="AB138" s="192" t="str">
        <f ca="1">IF(Flag_Send_Data=1,_xll.DBSW(PL_Saisie_Estime2!AB138,Server&amp;Cube1,PL_Saisie_Estime2!$F$17,PL_Saisie_Estime2!$F$18,PL_Saisie_Estime2!$F$19,PL_Saisie_Estime2!$F$16,PL_Saisie_Estime2!$C$14,PL_Saisie_Estime2!$F$15,PL_Saisie_Estime2!$F$14,PL_Saisie_Estime2!$F$20,PL_Saisie_Estime2!AB$2,PL_Saisie_Estime2!AB$1,PL_Saisie_Estime2!$C138),"")</f>
        <v/>
      </c>
      <c r="AC138" s="192" t="str">
        <f ca="1">IF(Flag_Send_Data=1,_xll.DBSW(PL_Saisie_Estime2!AC138,Server&amp;Cube1,PL_Saisie_Estime2!$F$17,PL_Saisie_Estime2!$F$18,PL_Saisie_Estime2!$F$19,PL_Saisie_Estime2!$F$16,PL_Saisie_Estime2!$C$14,PL_Saisie_Estime2!$F$15,PL_Saisie_Estime2!$F$14,PL_Saisie_Estime2!$F$20,PL_Saisie_Estime2!AC$2,PL_Saisie_Estime2!AC$1,PL_Saisie_Estime2!$C138),"")</f>
        <v/>
      </c>
      <c r="AD138" s="192" t="str">
        <f ca="1">IF(Flag_Send_Data=1,_xll.DBSW(PL_Saisie_Estime2!AD138,Server&amp;Cube1,PL_Saisie_Estime2!$F$17,PL_Saisie_Estime2!$F$18,PL_Saisie_Estime2!$F$19,PL_Saisie_Estime2!$F$16,PL_Saisie_Estime2!$C$14,PL_Saisie_Estime2!$F$15,PL_Saisie_Estime2!$F$14,PL_Saisie_Estime2!$F$20,PL_Saisie_Estime2!AD$2,PL_Saisie_Estime2!AD$1,PL_Saisie_Estime2!$C138),"")</f>
        <v/>
      </c>
      <c r="AE138" s="192" t="str">
        <f ca="1">IF(Flag_Send_Data=1,_xll.DBSW(PL_Saisie_Estime2!AE138,Server&amp;Cube1,PL_Saisie_Estime2!$F$17,PL_Saisie_Estime2!$F$18,PL_Saisie_Estime2!$F$19,PL_Saisie_Estime2!$F$16,PL_Saisie_Estime2!$C$14,PL_Saisie_Estime2!$F$15,PL_Saisie_Estime2!$F$14,PL_Saisie_Estime2!$F$20,PL_Saisie_Estime2!AE$2,PL_Saisie_Estime2!AE$1,PL_Saisie_Estime2!$C138),"")</f>
        <v/>
      </c>
      <c r="AF138" s="204"/>
      <c r="AG138" s="53"/>
      <c r="AH138" s="53"/>
      <c r="AI138" s="53"/>
      <c r="AJ138" s="53"/>
      <c r="AK138" s="53"/>
      <c r="AL138" s="53"/>
      <c r="AM138" s="53"/>
      <c r="AN138" s="53"/>
      <c r="AO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1:53" s="9" customFormat="1" ht="24.95" customHeight="1" x14ac:dyDescent="0.35">
      <c r="A139" s="181"/>
      <c r="B139" s="163"/>
      <c r="C139" s="158"/>
      <c r="E139" s="268"/>
      <c r="F139" s="268"/>
      <c r="G139" s="268"/>
      <c r="H139" s="40"/>
      <c r="I139" s="130"/>
      <c r="J139" s="130"/>
      <c r="K139" s="130"/>
      <c r="L139" s="130"/>
      <c r="M139" s="130"/>
      <c r="N139" s="126"/>
      <c r="O139" s="204"/>
      <c r="P139" s="126"/>
      <c r="Q139" s="124"/>
      <c r="R139" s="192"/>
      <c r="S139" s="126"/>
      <c r="T139" s="200"/>
      <c r="U139" s="200"/>
      <c r="V139" s="200"/>
      <c r="W139" s="200"/>
      <c r="X139" s="200"/>
      <c r="Y139" s="200"/>
      <c r="Z139" s="192" t="str">
        <f ca="1">IF(Flag_Send_Data=1,_xll.DBSW(PL_Saisie_Estime2!Z139,Server&amp;Cube1,PL_Saisie_Estime2!$F$17,PL_Saisie_Estime2!$F$18,PL_Saisie_Estime2!$F$19,PL_Saisie_Estime2!$F$16,PL_Saisie_Estime2!$C$14,PL_Saisie_Estime2!$F$15,PL_Saisie_Estime2!$F$14,PL_Saisie_Estime2!$F$20,PL_Saisie_Estime2!Z$2,PL_Saisie_Estime2!Z$1,PL_Saisie_Estime2!$C139),"")</f>
        <v/>
      </c>
      <c r="AA139" s="192" t="str">
        <f ca="1">IF(Flag_Send_Data=1,_xll.DBSW(PL_Saisie_Estime2!AA139,Server&amp;Cube1,PL_Saisie_Estime2!$F$17,PL_Saisie_Estime2!$F$18,PL_Saisie_Estime2!$F$19,PL_Saisie_Estime2!$F$16,PL_Saisie_Estime2!$C$14,PL_Saisie_Estime2!$F$15,PL_Saisie_Estime2!$F$14,PL_Saisie_Estime2!$F$20,PL_Saisie_Estime2!AA$2,PL_Saisie_Estime2!AA$1,PL_Saisie_Estime2!$C139),"")</f>
        <v/>
      </c>
      <c r="AB139" s="192" t="str">
        <f ca="1">IF(Flag_Send_Data=1,_xll.DBSW(PL_Saisie_Estime2!AB139,Server&amp;Cube1,PL_Saisie_Estime2!$F$17,PL_Saisie_Estime2!$F$18,PL_Saisie_Estime2!$F$19,PL_Saisie_Estime2!$F$16,PL_Saisie_Estime2!$C$14,PL_Saisie_Estime2!$F$15,PL_Saisie_Estime2!$F$14,PL_Saisie_Estime2!$F$20,PL_Saisie_Estime2!AB$2,PL_Saisie_Estime2!AB$1,PL_Saisie_Estime2!$C139),"")</f>
        <v/>
      </c>
      <c r="AC139" s="192" t="str">
        <f ca="1">IF(Flag_Send_Data=1,_xll.DBSW(PL_Saisie_Estime2!AC139,Server&amp;Cube1,PL_Saisie_Estime2!$F$17,PL_Saisie_Estime2!$F$18,PL_Saisie_Estime2!$F$19,PL_Saisie_Estime2!$F$16,PL_Saisie_Estime2!$C$14,PL_Saisie_Estime2!$F$15,PL_Saisie_Estime2!$F$14,PL_Saisie_Estime2!$F$20,PL_Saisie_Estime2!AC$2,PL_Saisie_Estime2!AC$1,PL_Saisie_Estime2!$C139),"")</f>
        <v/>
      </c>
      <c r="AD139" s="192" t="str">
        <f ca="1">IF(Flag_Send_Data=1,_xll.DBSW(PL_Saisie_Estime2!AD139,Server&amp;Cube1,PL_Saisie_Estime2!$F$17,PL_Saisie_Estime2!$F$18,PL_Saisie_Estime2!$F$19,PL_Saisie_Estime2!$F$16,PL_Saisie_Estime2!$C$14,PL_Saisie_Estime2!$F$15,PL_Saisie_Estime2!$F$14,PL_Saisie_Estime2!$F$20,PL_Saisie_Estime2!AD$2,PL_Saisie_Estime2!AD$1,PL_Saisie_Estime2!$C139),"")</f>
        <v/>
      </c>
      <c r="AE139" s="192" t="str">
        <f ca="1">IF(Flag_Send_Data=1,_xll.DBSW(PL_Saisie_Estime2!AE139,Server&amp;Cube1,PL_Saisie_Estime2!$F$17,PL_Saisie_Estime2!$F$18,PL_Saisie_Estime2!$F$19,PL_Saisie_Estime2!$F$16,PL_Saisie_Estime2!$C$14,PL_Saisie_Estime2!$F$15,PL_Saisie_Estime2!$F$14,PL_Saisie_Estime2!$F$20,PL_Saisie_Estime2!AE$2,PL_Saisie_Estime2!AE$1,PL_Saisie_Estime2!$C139),"")</f>
        <v/>
      </c>
      <c r="AF139" s="204"/>
      <c r="AG139" s="53"/>
      <c r="AH139" s="53"/>
      <c r="AI139" s="53"/>
      <c r="AJ139" s="53"/>
      <c r="AK139" s="53"/>
      <c r="AL139" s="53"/>
      <c r="AM139" s="53"/>
      <c r="AN139" s="53"/>
      <c r="AO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1:53" s="9" customFormat="1" ht="24.95" customHeight="1" x14ac:dyDescent="0.35">
      <c r="A140" s="181"/>
      <c r="B140" s="163"/>
      <c r="C140" s="158"/>
      <c r="E140" s="268"/>
      <c r="F140" s="268"/>
      <c r="G140" s="268"/>
      <c r="H140" s="40"/>
      <c r="I140" s="130"/>
      <c r="J140" s="130"/>
      <c r="K140" s="130"/>
      <c r="L140" s="130"/>
      <c r="M140" s="130"/>
      <c r="N140" s="126"/>
      <c r="O140" s="204"/>
      <c r="P140" s="126"/>
      <c r="Q140" s="124"/>
      <c r="R140" s="192"/>
      <c r="S140" s="126"/>
      <c r="T140" s="200"/>
      <c r="U140" s="200"/>
      <c r="V140" s="200"/>
      <c r="W140" s="200"/>
      <c r="X140" s="200"/>
      <c r="Y140" s="200"/>
      <c r="Z140" s="192" t="str">
        <f ca="1">IF(Flag_Send_Data=1,_xll.DBSW(PL_Saisie_Estime2!Z140,Server&amp;Cube1,PL_Saisie_Estime2!$F$17,PL_Saisie_Estime2!$F$18,PL_Saisie_Estime2!$F$19,PL_Saisie_Estime2!$F$16,PL_Saisie_Estime2!$C$14,PL_Saisie_Estime2!$F$15,PL_Saisie_Estime2!$F$14,PL_Saisie_Estime2!$F$20,PL_Saisie_Estime2!Z$2,PL_Saisie_Estime2!Z$1,PL_Saisie_Estime2!$C140),"")</f>
        <v/>
      </c>
      <c r="AA140" s="192" t="str">
        <f ca="1">IF(Flag_Send_Data=1,_xll.DBSW(PL_Saisie_Estime2!AA140,Server&amp;Cube1,PL_Saisie_Estime2!$F$17,PL_Saisie_Estime2!$F$18,PL_Saisie_Estime2!$F$19,PL_Saisie_Estime2!$F$16,PL_Saisie_Estime2!$C$14,PL_Saisie_Estime2!$F$15,PL_Saisie_Estime2!$F$14,PL_Saisie_Estime2!$F$20,PL_Saisie_Estime2!AA$2,PL_Saisie_Estime2!AA$1,PL_Saisie_Estime2!$C140),"")</f>
        <v/>
      </c>
      <c r="AB140" s="192" t="str">
        <f ca="1">IF(Flag_Send_Data=1,_xll.DBSW(PL_Saisie_Estime2!AB140,Server&amp;Cube1,PL_Saisie_Estime2!$F$17,PL_Saisie_Estime2!$F$18,PL_Saisie_Estime2!$F$19,PL_Saisie_Estime2!$F$16,PL_Saisie_Estime2!$C$14,PL_Saisie_Estime2!$F$15,PL_Saisie_Estime2!$F$14,PL_Saisie_Estime2!$F$20,PL_Saisie_Estime2!AB$2,PL_Saisie_Estime2!AB$1,PL_Saisie_Estime2!$C140),"")</f>
        <v/>
      </c>
      <c r="AC140" s="192" t="str">
        <f ca="1">IF(Flag_Send_Data=1,_xll.DBSW(PL_Saisie_Estime2!AC140,Server&amp;Cube1,PL_Saisie_Estime2!$F$17,PL_Saisie_Estime2!$F$18,PL_Saisie_Estime2!$F$19,PL_Saisie_Estime2!$F$16,PL_Saisie_Estime2!$C$14,PL_Saisie_Estime2!$F$15,PL_Saisie_Estime2!$F$14,PL_Saisie_Estime2!$F$20,PL_Saisie_Estime2!AC$2,PL_Saisie_Estime2!AC$1,PL_Saisie_Estime2!$C140),"")</f>
        <v/>
      </c>
      <c r="AD140" s="192" t="str">
        <f ca="1">IF(Flag_Send_Data=1,_xll.DBSW(PL_Saisie_Estime2!AD140,Server&amp;Cube1,PL_Saisie_Estime2!$F$17,PL_Saisie_Estime2!$F$18,PL_Saisie_Estime2!$F$19,PL_Saisie_Estime2!$F$16,PL_Saisie_Estime2!$C$14,PL_Saisie_Estime2!$F$15,PL_Saisie_Estime2!$F$14,PL_Saisie_Estime2!$F$20,PL_Saisie_Estime2!AD$2,PL_Saisie_Estime2!AD$1,PL_Saisie_Estime2!$C140),"")</f>
        <v/>
      </c>
      <c r="AE140" s="192" t="str">
        <f ca="1">IF(Flag_Send_Data=1,_xll.DBSW(PL_Saisie_Estime2!AE140,Server&amp;Cube1,PL_Saisie_Estime2!$F$17,PL_Saisie_Estime2!$F$18,PL_Saisie_Estime2!$F$19,PL_Saisie_Estime2!$F$16,PL_Saisie_Estime2!$C$14,PL_Saisie_Estime2!$F$15,PL_Saisie_Estime2!$F$14,PL_Saisie_Estime2!$F$20,PL_Saisie_Estime2!AE$2,PL_Saisie_Estime2!AE$1,PL_Saisie_Estime2!$C140),"")</f>
        <v/>
      </c>
      <c r="AF140" s="204"/>
      <c r="AG140" s="53"/>
      <c r="AH140" s="53"/>
      <c r="AI140" s="53"/>
      <c r="AJ140" s="53"/>
      <c r="AK140" s="53"/>
      <c r="AL140" s="53"/>
      <c r="AM140" s="53"/>
      <c r="AN140" s="53"/>
      <c r="AO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1:53" s="9" customFormat="1" ht="24.95" customHeight="1" x14ac:dyDescent="0.35">
      <c r="A141" s="181"/>
      <c r="B141" s="163"/>
      <c r="C141" s="158"/>
      <c r="E141" s="268"/>
      <c r="F141" s="268"/>
      <c r="G141" s="268"/>
      <c r="H141" s="40"/>
      <c r="I141" s="130"/>
      <c r="J141" s="130"/>
      <c r="K141" s="130"/>
      <c r="L141" s="130"/>
      <c r="M141" s="130"/>
      <c r="N141" s="126"/>
      <c r="O141" s="204"/>
      <c r="P141" s="126"/>
      <c r="Q141" s="124"/>
      <c r="R141" s="192"/>
      <c r="S141" s="126"/>
      <c r="T141" s="200"/>
      <c r="U141" s="200"/>
      <c r="V141" s="200"/>
      <c r="W141" s="200"/>
      <c r="X141" s="200"/>
      <c r="Y141" s="200"/>
      <c r="Z141" s="192" t="str">
        <f ca="1">IF(Flag_Send_Data=1,_xll.DBSW(PL_Saisie_Estime2!Z141,Server&amp;Cube1,PL_Saisie_Estime2!$F$17,PL_Saisie_Estime2!$F$18,PL_Saisie_Estime2!$F$19,PL_Saisie_Estime2!$F$16,PL_Saisie_Estime2!$C$14,PL_Saisie_Estime2!$F$15,PL_Saisie_Estime2!$F$14,PL_Saisie_Estime2!$F$20,PL_Saisie_Estime2!Z$2,PL_Saisie_Estime2!Z$1,PL_Saisie_Estime2!$C141),"")</f>
        <v/>
      </c>
      <c r="AA141" s="192" t="str">
        <f ca="1">IF(Flag_Send_Data=1,_xll.DBSW(PL_Saisie_Estime2!AA141,Server&amp;Cube1,PL_Saisie_Estime2!$F$17,PL_Saisie_Estime2!$F$18,PL_Saisie_Estime2!$F$19,PL_Saisie_Estime2!$F$16,PL_Saisie_Estime2!$C$14,PL_Saisie_Estime2!$F$15,PL_Saisie_Estime2!$F$14,PL_Saisie_Estime2!$F$20,PL_Saisie_Estime2!AA$2,PL_Saisie_Estime2!AA$1,PL_Saisie_Estime2!$C141),"")</f>
        <v/>
      </c>
      <c r="AB141" s="192" t="str">
        <f ca="1">IF(Flag_Send_Data=1,_xll.DBSW(PL_Saisie_Estime2!AB141,Server&amp;Cube1,PL_Saisie_Estime2!$F$17,PL_Saisie_Estime2!$F$18,PL_Saisie_Estime2!$F$19,PL_Saisie_Estime2!$F$16,PL_Saisie_Estime2!$C$14,PL_Saisie_Estime2!$F$15,PL_Saisie_Estime2!$F$14,PL_Saisie_Estime2!$F$20,PL_Saisie_Estime2!AB$2,PL_Saisie_Estime2!AB$1,PL_Saisie_Estime2!$C141),"")</f>
        <v/>
      </c>
      <c r="AC141" s="192" t="str">
        <f ca="1">IF(Flag_Send_Data=1,_xll.DBSW(PL_Saisie_Estime2!AC141,Server&amp;Cube1,PL_Saisie_Estime2!$F$17,PL_Saisie_Estime2!$F$18,PL_Saisie_Estime2!$F$19,PL_Saisie_Estime2!$F$16,PL_Saisie_Estime2!$C$14,PL_Saisie_Estime2!$F$15,PL_Saisie_Estime2!$F$14,PL_Saisie_Estime2!$F$20,PL_Saisie_Estime2!AC$2,PL_Saisie_Estime2!AC$1,PL_Saisie_Estime2!$C141),"")</f>
        <v/>
      </c>
      <c r="AD141" s="192" t="str">
        <f ca="1">IF(Flag_Send_Data=1,_xll.DBSW(PL_Saisie_Estime2!AD141,Server&amp;Cube1,PL_Saisie_Estime2!$F$17,PL_Saisie_Estime2!$F$18,PL_Saisie_Estime2!$F$19,PL_Saisie_Estime2!$F$16,PL_Saisie_Estime2!$C$14,PL_Saisie_Estime2!$F$15,PL_Saisie_Estime2!$F$14,PL_Saisie_Estime2!$F$20,PL_Saisie_Estime2!AD$2,PL_Saisie_Estime2!AD$1,PL_Saisie_Estime2!$C141),"")</f>
        <v/>
      </c>
      <c r="AE141" s="192" t="str">
        <f ca="1">IF(Flag_Send_Data=1,_xll.DBSW(PL_Saisie_Estime2!AE141,Server&amp;Cube1,PL_Saisie_Estime2!$F$17,PL_Saisie_Estime2!$F$18,PL_Saisie_Estime2!$F$19,PL_Saisie_Estime2!$F$16,PL_Saisie_Estime2!$C$14,PL_Saisie_Estime2!$F$15,PL_Saisie_Estime2!$F$14,PL_Saisie_Estime2!$F$20,PL_Saisie_Estime2!AE$2,PL_Saisie_Estime2!AE$1,PL_Saisie_Estime2!$C141),"")</f>
        <v/>
      </c>
      <c r="AF141" s="204"/>
      <c r="AG141" s="53"/>
      <c r="AH141" s="53"/>
      <c r="AI141" s="53"/>
      <c r="AJ141" s="53"/>
      <c r="AK141" s="53"/>
      <c r="AL141" s="53"/>
      <c r="AM141" s="53"/>
      <c r="AN141" s="53"/>
      <c r="AO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1:53" s="9" customFormat="1" ht="24.95" customHeight="1" x14ac:dyDescent="0.35">
      <c r="A142" s="181"/>
      <c r="B142" s="163"/>
      <c r="C142" s="158"/>
      <c r="E142" s="268"/>
      <c r="F142" s="268"/>
      <c r="G142" s="268"/>
      <c r="H142" s="40"/>
      <c r="I142" s="130"/>
      <c r="J142" s="130"/>
      <c r="K142" s="130"/>
      <c r="L142" s="130"/>
      <c r="M142" s="130"/>
      <c r="N142" s="126"/>
      <c r="O142" s="204"/>
      <c r="P142" s="126"/>
      <c r="Q142" s="124"/>
      <c r="R142" s="192"/>
      <c r="S142" s="126"/>
      <c r="T142" s="200"/>
      <c r="U142" s="200"/>
      <c r="V142" s="200"/>
      <c r="W142" s="200"/>
      <c r="X142" s="200"/>
      <c r="Y142" s="200"/>
      <c r="Z142" s="192" t="str">
        <f ca="1">IF(Flag_Send_Data=1,_xll.DBSW(PL_Saisie_Estime2!Z142,Server&amp;Cube1,PL_Saisie_Estime2!$F$17,PL_Saisie_Estime2!$F$18,PL_Saisie_Estime2!$F$19,PL_Saisie_Estime2!$F$16,PL_Saisie_Estime2!$C$14,PL_Saisie_Estime2!$F$15,PL_Saisie_Estime2!$F$14,PL_Saisie_Estime2!$F$20,PL_Saisie_Estime2!Z$2,PL_Saisie_Estime2!Z$1,PL_Saisie_Estime2!$C142),"")</f>
        <v/>
      </c>
      <c r="AA142" s="192" t="str">
        <f ca="1">IF(Flag_Send_Data=1,_xll.DBSW(PL_Saisie_Estime2!AA142,Server&amp;Cube1,PL_Saisie_Estime2!$F$17,PL_Saisie_Estime2!$F$18,PL_Saisie_Estime2!$F$19,PL_Saisie_Estime2!$F$16,PL_Saisie_Estime2!$C$14,PL_Saisie_Estime2!$F$15,PL_Saisie_Estime2!$F$14,PL_Saisie_Estime2!$F$20,PL_Saisie_Estime2!AA$2,PL_Saisie_Estime2!AA$1,PL_Saisie_Estime2!$C142),"")</f>
        <v/>
      </c>
      <c r="AB142" s="192" t="str">
        <f ca="1">IF(Flag_Send_Data=1,_xll.DBSW(PL_Saisie_Estime2!AB142,Server&amp;Cube1,PL_Saisie_Estime2!$F$17,PL_Saisie_Estime2!$F$18,PL_Saisie_Estime2!$F$19,PL_Saisie_Estime2!$F$16,PL_Saisie_Estime2!$C$14,PL_Saisie_Estime2!$F$15,PL_Saisie_Estime2!$F$14,PL_Saisie_Estime2!$F$20,PL_Saisie_Estime2!AB$2,PL_Saisie_Estime2!AB$1,PL_Saisie_Estime2!$C142),"")</f>
        <v/>
      </c>
      <c r="AC142" s="192" t="str">
        <f ca="1">IF(Flag_Send_Data=1,_xll.DBSW(PL_Saisie_Estime2!AC142,Server&amp;Cube1,PL_Saisie_Estime2!$F$17,PL_Saisie_Estime2!$F$18,PL_Saisie_Estime2!$F$19,PL_Saisie_Estime2!$F$16,PL_Saisie_Estime2!$C$14,PL_Saisie_Estime2!$F$15,PL_Saisie_Estime2!$F$14,PL_Saisie_Estime2!$F$20,PL_Saisie_Estime2!AC$2,PL_Saisie_Estime2!AC$1,PL_Saisie_Estime2!$C142),"")</f>
        <v/>
      </c>
      <c r="AD142" s="192" t="str">
        <f ca="1">IF(Flag_Send_Data=1,_xll.DBSW(PL_Saisie_Estime2!AD142,Server&amp;Cube1,PL_Saisie_Estime2!$F$17,PL_Saisie_Estime2!$F$18,PL_Saisie_Estime2!$F$19,PL_Saisie_Estime2!$F$16,PL_Saisie_Estime2!$C$14,PL_Saisie_Estime2!$F$15,PL_Saisie_Estime2!$F$14,PL_Saisie_Estime2!$F$20,PL_Saisie_Estime2!AD$2,PL_Saisie_Estime2!AD$1,PL_Saisie_Estime2!$C142),"")</f>
        <v/>
      </c>
      <c r="AE142" s="192" t="str">
        <f ca="1">IF(Flag_Send_Data=1,_xll.DBSW(PL_Saisie_Estime2!AE142,Server&amp;Cube1,PL_Saisie_Estime2!$F$17,PL_Saisie_Estime2!$F$18,PL_Saisie_Estime2!$F$19,PL_Saisie_Estime2!$F$16,PL_Saisie_Estime2!$C$14,PL_Saisie_Estime2!$F$15,PL_Saisie_Estime2!$F$14,PL_Saisie_Estime2!$F$20,PL_Saisie_Estime2!AE$2,PL_Saisie_Estime2!AE$1,PL_Saisie_Estime2!$C142),"")</f>
        <v/>
      </c>
      <c r="AF142" s="204"/>
      <c r="AG142" s="53"/>
      <c r="AH142" s="53"/>
      <c r="AI142" s="53"/>
      <c r="AJ142" s="53"/>
      <c r="AK142" s="53"/>
      <c r="AL142" s="53"/>
      <c r="AM142" s="53"/>
      <c r="AN142" s="53"/>
      <c r="AO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1:53" s="9" customFormat="1" ht="24.95" customHeight="1" x14ac:dyDescent="0.35">
      <c r="A143" s="181"/>
      <c r="B143" s="163"/>
      <c r="C143" s="158"/>
      <c r="E143" s="268"/>
      <c r="F143" s="268"/>
      <c r="G143" s="268"/>
      <c r="H143" s="40"/>
      <c r="I143" s="130"/>
      <c r="J143" s="130"/>
      <c r="K143" s="130"/>
      <c r="L143" s="130"/>
      <c r="M143" s="130"/>
      <c r="N143" s="126"/>
      <c r="O143" s="204"/>
      <c r="P143" s="126"/>
      <c r="Q143" s="124"/>
      <c r="R143" s="192"/>
      <c r="S143" s="126"/>
      <c r="T143" s="200"/>
      <c r="U143" s="200"/>
      <c r="V143" s="200"/>
      <c r="W143" s="200"/>
      <c r="X143" s="200"/>
      <c r="Y143" s="200"/>
      <c r="Z143" s="192" t="str">
        <f ca="1">IF(Flag_Send_Data=1,_xll.DBSW(PL_Saisie_Estime2!Z143,Server&amp;Cube1,PL_Saisie_Estime2!$F$17,PL_Saisie_Estime2!$F$18,PL_Saisie_Estime2!$F$19,PL_Saisie_Estime2!$F$16,PL_Saisie_Estime2!$C$14,PL_Saisie_Estime2!$F$15,PL_Saisie_Estime2!$F$14,PL_Saisie_Estime2!$F$20,PL_Saisie_Estime2!Z$2,PL_Saisie_Estime2!Z$1,PL_Saisie_Estime2!$C143),"")</f>
        <v/>
      </c>
      <c r="AA143" s="192" t="str">
        <f ca="1">IF(Flag_Send_Data=1,_xll.DBSW(PL_Saisie_Estime2!AA143,Server&amp;Cube1,PL_Saisie_Estime2!$F$17,PL_Saisie_Estime2!$F$18,PL_Saisie_Estime2!$F$19,PL_Saisie_Estime2!$F$16,PL_Saisie_Estime2!$C$14,PL_Saisie_Estime2!$F$15,PL_Saisie_Estime2!$F$14,PL_Saisie_Estime2!$F$20,PL_Saisie_Estime2!AA$2,PL_Saisie_Estime2!AA$1,PL_Saisie_Estime2!$C143),"")</f>
        <v/>
      </c>
      <c r="AB143" s="192" t="str">
        <f ca="1">IF(Flag_Send_Data=1,_xll.DBSW(PL_Saisie_Estime2!AB143,Server&amp;Cube1,PL_Saisie_Estime2!$F$17,PL_Saisie_Estime2!$F$18,PL_Saisie_Estime2!$F$19,PL_Saisie_Estime2!$F$16,PL_Saisie_Estime2!$C$14,PL_Saisie_Estime2!$F$15,PL_Saisie_Estime2!$F$14,PL_Saisie_Estime2!$F$20,PL_Saisie_Estime2!AB$2,PL_Saisie_Estime2!AB$1,PL_Saisie_Estime2!$C143),"")</f>
        <v/>
      </c>
      <c r="AC143" s="192" t="str">
        <f ca="1">IF(Flag_Send_Data=1,_xll.DBSW(PL_Saisie_Estime2!AC143,Server&amp;Cube1,PL_Saisie_Estime2!$F$17,PL_Saisie_Estime2!$F$18,PL_Saisie_Estime2!$F$19,PL_Saisie_Estime2!$F$16,PL_Saisie_Estime2!$C$14,PL_Saisie_Estime2!$F$15,PL_Saisie_Estime2!$F$14,PL_Saisie_Estime2!$F$20,PL_Saisie_Estime2!AC$2,PL_Saisie_Estime2!AC$1,PL_Saisie_Estime2!$C143),"")</f>
        <v/>
      </c>
      <c r="AD143" s="192" t="str">
        <f ca="1">IF(Flag_Send_Data=1,_xll.DBSW(PL_Saisie_Estime2!AD143,Server&amp;Cube1,PL_Saisie_Estime2!$F$17,PL_Saisie_Estime2!$F$18,PL_Saisie_Estime2!$F$19,PL_Saisie_Estime2!$F$16,PL_Saisie_Estime2!$C$14,PL_Saisie_Estime2!$F$15,PL_Saisie_Estime2!$F$14,PL_Saisie_Estime2!$F$20,PL_Saisie_Estime2!AD$2,PL_Saisie_Estime2!AD$1,PL_Saisie_Estime2!$C143),"")</f>
        <v/>
      </c>
      <c r="AE143" s="192" t="str">
        <f ca="1">IF(Flag_Send_Data=1,_xll.DBSW(PL_Saisie_Estime2!AE143,Server&amp;Cube1,PL_Saisie_Estime2!$F$17,PL_Saisie_Estime2!$F$18,PL_Saisie_Estime2!$F$19,PL_Saisie_Estime2!$F$16,PL_Saisie_Estime2!$C$14,PL_Saisie_Estime2!$F$15,PL_Saisie_Estime2!$F$14,PL_Saisie_Estime2!$F$20,PL_Saisie_Estime2!AE$2,PL_Saisie_Estime2!AE$1,PL_Saisie_Estime2!$C143),"")</f>
        <v/>
      </c>
      <c r="AF143" s="204"/>
      <c r="AG143" s="53"/>
      <c r="AH143" s="53"/>
      <c r="AI143" s="53"/>
      <c r="AJ143" s="53"/>
      <c r="AK143" s="53"/>
      <c r="AL143" s="53"/>
      <c r="AM143" s="53"/>
      <c r="AN143" s="53"/>
      <c r="AO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1:53" s="9" customFormat="1" ht="24.95" customHeight="1" x14ac:dyDescent="0.35">
      <c r="A144" s="181"/>
      <c r="B144" s="163"/>
      <c r="C144" s="158"/>
      <c r="E144" s="268"/>
      <c r="F144" s="268"/>
      <c r="G144" s="268"/>
      <c r="H144" s="40"/>
      <c r="I144" s="130"/>
      <c r="J144" s="130"/>
      <c r="K144" s="130"/>
      <c r="L144" s="130"/>
      <c r="M144" s="130"/>
      <c r="N144" s="126"/>
      <c r="O144" s="204"/>
      <c r="P144" s="126"/>
      <c r="Q144" s="124"/>
      <c r="R144" s="192"/>
      <c r="S144" s="126"/>
      <c r="T144" s="200"/>
      <c r="U144" s="200"/>
      <c r="V144" s="200"/>
      <c r="W144" s="200"/>
      <c r="X144" s="200"/>
      <c r="Y144" s="200"/>
      <c r="Z144" s="192" t="str">
        <f ca="1">IF(Flag_Send_Data=1,_xll.DBSW(PL_Saisie_Estime2!Z144,Server&amp;Cube1,PL_Saisie_Estime2!$F$17,PL_Saisie_Estime2!$F$18,PL_Saisie_Estime2!$F$19,PL_Saisie_Estime2!$F$16,PL_Saisie_Estime2!$C$14,PL_Saisie_Estime2!$F$15,PL_Saisie_Estime2!$F$14,PL_Saisie_Estime2!$F$20,PL_Saisie_Estime2!Z$2,PL_Saisie_Estime2!Z$1,PL_Saisie_Estime2!$C144),"")</f>
        <v/>
      </c>
      <c r="AA144" s="192" t="str">
        <f ca="1">IF(Flag_Send_Data=1,_xll.DBSW(PL_Saisie_Estime2!AA144,Server&amp;Cube1,PL_Saisie_Estime2!$F$17,PL_Saisie_Estime2!$F$18,PL_Saisie_Estime2!$F$19,PL_Saisie_Estime2!$F$16,PL_Saisie_Estime2!$C$14,PL_Saisie_Estime2!$F$15,PL_Saisie_Estime2!$F$14,PL_Saisie_Estime2!$F$20,PL_Saisie_Estime2!AA$2,PL_Saisie_Estime2!AA$1,PL_Saisie_Estime2!$C144),"")</f>
        <v/>
      </c>
      <c r="AB144" s="192" t="str">
        <f ca="1">IF(Flag_Send_Data=1,_xll.DBSW(PL_Saisie_Estime2!AB144,Server&amp;Cube1,PL_Saisie_Estime2!$F$17,PL_Saisie_Estime2!$F$18,PL_Saisie_Estime2!$F$19,PL_Saisie_Estime2!$F$16,PL_Saisie_Estime2!$C$14,PL_Saisie_Estime2!$F$15,PL_Saisie_Estime2!$F$14,PL_Saisie_Estime2!$F$20,PL_Saisie_Estime2!AB$2,PL_Saisie_Estime2!AB$1,PL_Saisie_Estime2!$C144),"")</f>
        <v/>
      </c>
      <c r="AC144" s="192" t="str">
        <f ca="1">IF(Flag_Send_Data=1,_xll.DBSW(PL_Saisie_Estime2!AC144,Server&amp;Cube1,PL_Saisie_Estime2!$F$17,PL_Saisie_Estime2!$F$18,PL_Saisie_Estime2!$F$19,PL_Saisie_Estime2!$F$16,PL_Saisie_Estime2!$C$14,PL_Saisie_Estime2!$F$15,PL_Saisie_Estime2!$F$14,PL_Saisie_Estime2!$F$20,PL_Saisie_Estime2!AC$2,PL_Saisie_Estime2!AC$1,PL_Saisie_Estime2!$C144),"")</f>
        <v/>
      </c>
      <c r="AD144" s="192" t="str">
        <f ca="1">IF(Flag_Send_Data=1,_xll.DBSW(PL_Saisie_Estime2!AD144,Server&amp;Cube1,PL_Saisie_Estime2!$F$17,PL_Saisie_Estime2!$F$18,PL_Saisie_Estime2!$F$19,PL_Saisie_Estime2!$F$16,PL_Saisie_Estime2!$C$14,PL_Saisie_Estime2!$F$15,PL_Saisie_Estime2!$F$14,PL_Saisie_Estime2!$F$20,PL_Saisie_Estime2!AD$2,PL_Saisie_Estime2!AD$1,PL_Saisie_Estime2!$C144),"")</f>
        <v/>
      </c>
      <c r="AE144" s="192" t="str">
        <f ca="1">IF(Flag_Send_Data=1,_xll.DBSW(PL_Saisie_Estime2!AE144,Server&amp;Cube1,PL_Saisie_Estime2!$F$17,PL_Saisie_Estime2!$F$18,PL_Saisie_Estime2!$F$19,PL_Saisie_Estime2!$F$16,PL_Saisie_Estime2!$C$14,PL_Saisie_Estime2!$F$15,PL_Saisie_Estime2!$F$14,PL_Saisie_Estime2!$F$20,PL_Saisie_Estime2!AE$2,PL_Saisie_Estime2!AE$1,PL_Saisie_Estime2!$C144),"")</f>
        <v/>
      </c>
      <c r="AF144" s="204"/>
      <c r="AG144" s="53"/>
      <c r="AH144" s="53"/>
      <c r="AI144" s="53"/>
      <c r="AJ144" s="53"/>
      <c r="AK144" s="53"/>
      <c r="AL144" s="53"/>
      <c r="AM144" s="53"/>
      <c r="AN144" s="53"/>
      <c r="AO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1:53" s="9" customFormat="1" ht="24.95" customHeight="1" x14ac:dyDescent="0.35">
      <c r="A145" s="181"/>
      <c r="B145" s="163"/>
      <c r="C145" s="158"/>
      <c r="E145" s="268"/>
      <c r="F145" s="268"/>
      <c r="G145" s="268"/>
      <c r="H145" s="40"/>
      <c r="I145" s="130"/>
      <c r="J145" s="130"/>
      <c r="K145" s="130"/>
      <c r="L145" s="130"/>
      <c r="M145" s="130"/>
      <c r="N145" s="126"/>
      <c r="O145" s="204"/>
      <c r="P145" s="126"/>
      <c r="Q145" s="124"/>
      <c r="R145" s="192"/>
      <c r="S145" s="126"/>
      <c r="T145" s="200"/>
      <c r="U145" s="200"/>
      <c r="V145" s="200"/>
      <c r="W145" s="200"/>
      <c r="X145" s="200"/>
      <c r="Y145" s="200"/>
      <c r="Z145" s="192" t="str">
        <f ca="1">IF(Flag_Send_Data=1,_xll.DBSW(PL_Saisie_Estime2!Z145,Server&amp;Cube1,PL_Saisie_Estime2!$F$17,PL_Saisie_Estime2!$F$18,PL_Saisie_Estime2!$F$19,PL_Saisie_Estime2!$F$16,PL_Saisie_Estime2!$C$14,PL_Saisie_Estime2!$F$15,PL_Saisie_Estime2!$F$14,PL_Saisie_Estime2!$F$20,PL_Saisie_Estime2!Z$2,PL_Saisie_Estime2!Z$1,PL_Saisie_Estime2!$C145),"")</f>
        <v/>
      </c>
      <c r="AA145" s="192" t="str">
        <f ca="1">IF(Flag_Send_Data=1,_xll.DBSW(PL_Saisie_Estime2!AA145,Server&amp;Cube1,PL_Saisie_Estime2!$F$17,PL_Saisie_Estime2!$F$18,PL_Saisie_Estime2!$F$19,PL_Saisie_Estime2!$F$16,PL_Saisie_Estime2!$C$14,PL_Saisie_Estime2!$F$15,PL_Saisie_Estime2!$F$14,PL_Saisie_Estime2!$F$20,PL_Saisie_Estime2!AA$2,PL_Saisie_Estime2!AA$1,PL_Saisie_Estime2!$C145),"")</f>
        <v/>
      </c>
      <c r="AB145" s="192" t="str">
        <f ca="1">IF(Flag_Send_Data=1,_xll.DBSW(PL_Saisie_Estime2!AB145,Server&amp;Cube1,PL_Saisie_Estime2!$F$17,PL_Saisie_Estime2!$F$18,PL_Saisie_Estime2!$F$19,PL_Saisie_Estime2!$F$16,PL_Saisie_Estime2!$C$14,PL_Saisie_Estime2!$F$15,PL_Saisie_Estime2!$F$14,PL_Saisie_Estime2!$F$20,PL_Saisie_Estime2!AB$2,PL_Saisie_Estime2!AB$1,PL_Saisie_Estime2!$C145),"")</f>
        <v/>
      </c>
      <c r="AC145" s="192" t="str">
        <f ca="1">IF(Flag_Send_Data=1,_xll.DBSW(PL_Saisie_Estime2!AC145,Server&amp;Cube1,PL_Saisie_Estime2!$F$17,PL_Saisie_Estime2!$F$18,PL_Saisie_Estime2!$F$19,PL_Saisie_Estime2!$F$16,PL_Saisie_Estime2!$C$14,PL_Saisie_Estime2!$F$15,PL_Saisie_Estime2!$F$14,PL_Saisie_Estime2!$F$20,PL_Saisie_Estime2!AC$2,PL_Saisie_Estime2!AC$1,PL_Saisie_Estime2!$C145),"")</f>
        <v/>
      </c>
      <c r="AD145" s="192" t="str">
        <f ca="1">IF(Flag_Send_Data=1,_xll.DBSW(PL_Saisie_Estime2!AD145,Server&amp;Cube1,PL_Saisie_Estime2!$F$17,PL_Saisie_Estime2!$F$18,PL_Saisie_Estime2!$F$19,PL_Saisie_Estime2!$F$16,PL_Saisie_Estime2!$C$14,PL_Saisie_Estime2!$F$15,PL_Saisie_Estime2!$F$14,PL_Saisie_Estime2!$F$20,PL_Saisie_Estime2!AD$2,PL_Saisie_Estime2!AD$1,PL_Saisie_Estime2!$C145),"")</f>
        <v/>
      </c>
      <c r="AE145" s="192" t="str">
        <f ca="1">IF(Flag_Send_Data=1,_xll.DBSW(PL_Saisie_Estime2!AE145,Server&amp;Cube1,PL_Saisie_Estime2!$F$17,PL_Saisie_Estime2!$F$18,PL_Saisie_Estime2!$F$19,PL_Saisie_Estime2!$F$16,PL_Saisie_Estime2!$C$14,PL_Saisie_Estime2!$F$15,PL_Saisie_Estime2!$F$14,PL_Saisie_Estime2!$F$20,PL_Saisie_Estime2!AE$2,PL_Saisie_Estime2!AE$1,PL_Saisie_Estime2!$C145),"")</f>
        <v/>
      </c>
      <c r="AF145" s="204"/>
      <c r="AG145" s="53"/>
      <c r="AH145" s="53"/>
      <c r="AI145" s="53"/>
      <c r="AJ145" s="53"/>
      <c r="AK145" s="53"/>
      <c r="AL145" s="53"/>
      <c r="AM145" s="53"/>
      <c r="AN145" s="53"/>
      <c r="AO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1:53" s="9" customFormat="1" ht="24.95" customHeight="1" x14ac:dyDescent="0.35">
      <c r="A146" s="181"/>
      <c r="B146" s="163"/>
      <c r="C146" s="158"/>
      <c r="E146" s="268"/>
      <c r="F146" s="268"/>
      <c r="G146" s="268"/>
      <c r="H146" s="40"/>
      <c r="I146" s="130"/>
      <c r="J146" s="130"/>
      <c r="K146" s="130"/>
      <c r="L146" s="130"/>
      <c r="M146" s="130"/>
      <c r="N146" s="126"/>
      <c r="O146" s="204"/>
      <c r="P146" s="126"/>
      <c r="Q146" s="124"/>
      <c r="R146" s="192"/>
      <c r="S146" s="126"/>
      <c r="T146" s="200"/>
      <c r="U146" s="200"/>
      <c r="V146" s="200"/>
      <c r="W146" s="200"/>
      <c r="X146" s="200"/>
      <c r="Y146" s="200"/>
      <c r="Z146" s="192" t="str">
        <f ca="1">IF(Flag_Send_Data=1,_xll.DBSW(PL_Saisie_Estime2!Z146,Server&amp;Cube1,PL_Saisie_Estime2!$F$17,PL_Saisie_Estime2!$F$18,PL_Saisie_Estime2!$F$19,PL_Saisie_Estime2!$F$16,PL_Saisie_Estime2!$C$14,PL_Saisie_Estime2!$F$15,PL_Saisie_Estime2!$F$14,PL_Saisie_Estime2!$F$20,PL_Saisie_Estime2!Z$2,PL_Saisie_Estime2!Z$1,PL_Saisie_Estime2!$C146),"")</f>
        <v/>
      </c>
      <c r="AA146" s="192" t="str">
        <f ca="1">IF(Flag_Send_Data=1,_xll.DBSW(PL_Saisie_Estime2!AA146,Server&amp;Cube1,PL_Saisie_Estime2!$F$17,PL_Saisie_Estime2!$F$18,PL_Saisie_Estime2!$F$19,PL_Saisie_Estime2!$F$16,PL_Saisie_Estime2!$C$14,PL_Saisie_Estime2!$F$15,PL_Saisie_Estime2!$F$14,PL_Saisie_Estime2!$F$20,PL_Saisie_Estime2!AA$2,PL_Saisie_Estime2!AA$1,PL_Saisie_Estime2!$C146),"")</f>
        <v/>
      </c>
      <c r="AB146" s="192" t="str">
        <f ca="1">IF(Flag_Send_Data=1,_xll.DBSW(PL_Saisie_Estime2!AB146,Server&amp;Cube1,PL_Saisie_Estime2!$F$17,PL_Saisie_Estime2!$F$18,PL_Saisie_Estime2!$F$19,PL_Saisie_Estime2!$F$16,PL_Saisie_Estime2!$C$14,PL_Saisie_Estime2!$F$15,PL_Saisie_Estime2!$F$14,PL_Saisie_Estime2!$F$20,PL_Saisie_Estime2!AB$2,PL_Saisie_Estime2!AB$1,PL_Saisie_Estime2!$C146),"")</f>
        <v/>
      </c>
      <c r="AC146" s="192" t="str">
        <f ca="1">IF(Flag_Send_Data=1,_xll.DBSW(PL_Saisie_Estime2!AC146,Server&amp;Cube1,PL_Saisie_Estime2!$F$17,PL_Saisie_Estime2!$F$18,PL_Saisie_Estime2!$F$19,PL_Saisie_Estime2!$F$16,PL_Saisie_Estime2!$C$14,PL_Saisie_Estime2!$F$15,PL_Saisie_Estime2!$F$14,PL_Saisie_Estime2!$F$20,PL_Saisie_Estime2!AC$2,PL_Saisie_Estime2!AC$1,PL_Saisie_Estime2!$C146),"")</f>
        <v/>
      </c>
      <c r="AD146" s="192" t="str">
        <f ca="1">IF(Flag_Send_Data=1,_xll.DBSW(PL_Saisie_Estime2!AD146,Server&amp;Cube1,PL_Saisie_Estime2!$F$17,PL_Saisie_Estime2!$F$18,PL_Saisie_Estime2!$F$19,PL_Saisie_Estime2!$F$16,PL_Saisie_Estime2!$C$14,PL_Saisie_Estime2!$F$15,PL_Saisie_Estime2!$F$14,PL_Saisie_Estime2!$F$20,PL_Saisie_Estime2!AD$2,PL_Saisie_Estime2!AD$1,PL_Saisie_Estime2!$C146),"")</f>
        <v/>
      </c>
      <c r="AE146" s="192" t="str">
        <f ca="1">IF(Flag_Send_Data=1,_xll.DBSW(PL_Saisie_Estime2!AE146,Server&amp;Cube1,PL_Saisie_Estime2!$F$17,PL_Saisie_Estime2!$F$18,PL_Saisie_Estime2!$F$19,PL_Saisie_Estime2!$F$16,PL_Saisie_Estime2!$C$14,PL_Saisie_Estime2!$F$15,PL_Saisie_Estime2!$F$14,PL_Saisie_Estime2!$F$20,PL_Saisie_Estime2!AE$2,PL_Saisie_Estime2!AE$1,PL_Saisie_Estime2!$C146),"")</f>
        <v/>
      </c>
      <c r="AF146" s="204"/>
      <c r="AG146" s="53"/>
      <c r="AH146" s="53"/>
      <c r="AI146" s="53"/>
      <c r="AJ146" s="53"/>
      <c r="AK146" s="53"/>
      <c r="AL146" s="53"/>
      <c r="AM146" s="53"/>
      <c r="AN146" s="53"/>
      <c r="AO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1:53" s="9" customFormat="1" ht="24.95" customHeight="1" x14ac:dyDescent="0.35">
      <c r="A147" s="181"/>
      <c r="B147" s="163"/>
      <c r="C147" s="158"/>
      <c r="E147" s="268"/>
      <c r="F147" s="268"/>
      <c r="G147" s="268"/>
      <c r="H147" s="40"/>
      <c r="I147" s="130"/>
      <c r="J147" s="130"/>
      <c r="K147" s="130"/>
      <c r="L147" s="130"/>
      <c r="M147" s="130"/>
      <c r="N147" s="126"/>
      <c r="O147" s="204"/>
      <c r="P147" s="126"/>
      <c r="Q147" s="124"/>
      <c r="R147" s="192"/>
      <c r="S147" s="126"/>
      <c r="T147" s="200"/>
      <c r="U147" s="200"/>
      <c r="V147" s="200"/>
      <c r="W147" s="200"/>
      <c r="X147" s="200"/>
      <c r="Y147" s="200"/>
      <c r="Z147" s="192" t="str">
        <f ca="1">IF(Flag_Send_Data=1,_xll.DBSW(PL_Saisie_Estime2!Z147,Server&amp;Cube1,PL_Saisie_Estime2!$F$17,PL_Saisie_Estime2!$F$18,PL_Saisie_Estime2!$F$19,PL_Saisie_Estime2!$F$16,PL_Saisie_Estime2!$C$14,PL_Saisie_Estime2!$F$15,PL_Saisie_Estime2!$F$14,PL_Saisie_Estime2!$F$20,PL_Saisie_Estime2!Z$2,PL_Saisie_Estime2!Z$1,PL_Saisie_Estime2!$C147),"")</f>
        <v/>
      </c>
      <c r="AA147" s="192" t="str">
        <f ca="1">IF(Flag_Send_Data=1,_xll.DBSW(PL_Saisie_Estime2!AA147,Server&amp;Cube1,PL_Saisie_Estime2!$F$17,PL_Saisie_Estime2!$F$18,PL_Saisie_Estime2!$F$19,PL_Saisie_Estime2!$F$16,PL_Saisie_Estime2!$C$14,PL_Saisie_Estime2!$F$15,PL_Saisie_Estime2!$F$14,PL_Saisie_Estime2!$F$20,PL_Saisie_Estime2!AA$2,PL_Saisie_Estime2!AA$1,PL_Saisie_Estime2!$C147),"")</f>
        <v/>
      </c>
      <c r="AB147" s="192" t="str">
        <f ca="1">IF(Flag_Send_Data=1,_xll.DBSW(PL_Saisie_Estime2!AB147,Server&amp;Cube1,PL_Saisie_Estime2!$F$17,PL_Saisie_Estime2!$F$18,PL_Saisie_Estime2!$F$19,PL_Saisie_Estime2!$F$16,PL_Saisie_Estime2!$C$14,PL_Saisie_Estime2!$F$15,PL_Saisie_Estime2!$F$14,PL_Saisie_Estime2!$F$20,PL_Saisie_Estime2!AB$2,PL_Saisie_Estime2!AB$1,PL_Saisie_Estime2!$C147),"")</f>
        <v/>
      </c>
      <c r="AC147" s="192" t="str">
        <f ca="1">IF(Flag_Send_Data=1,_xll.DBSW(PL_Saisie_Estime2!AC147,Server&amp;Cube1,PL_Saisie_Estime2!$F$17,PL_Saisie_Estime2!$F$18,PL_Saisie_Estime2!$F$19,PL_Saisie_Estime2!$F$16,PL_Saisie_Estime2!$C$14,PL_Saisie_Estime2!$F$15,PL_Saisie_Estime2!$F$14,PL_Saisie_Estime2!$F$20,PL_Saisie_Estime2!AC$2,PL_Saisie_Estime2!AC$1,PL_Saisie_Estime2!$C147),"")</f>
        <v/>
      </c>
      <c r="AD147" s="192" t="str">
        <f ca="1">IF(Flag_Send_Data=1,_xll.DBSW(PL_Saisie_Estime2!AD147,Server&amp;Cube1,PL_Saisie_Estime2!$F$17,PL_Saisie_Estime2!$F$18,PL_Saisie_Estime2!$F$19,PL_Saisie_Estime2!$F$16,PL_Saisie_Estime2!$C$14,PL_Saisie_Estime2!$F$15,PL_Saisie_Estime2!$F$14,PL_Saisie_Estime2!$F$20,PL_Saisie_Estime2!AD$2,PL_Saisie_Estime2!AD$1,PL_Saisie_Estime2!$C147),"")</f>
        <v/>
      </c>
      <c r="AE147" s="192" t="str">
        <f ca="1">IF(Flag_Send_Data=1,_xll.DBSW(PL_Saisie_Estime2!AE147,Server&amp;Cube1,PL_Saisie_Estime2!$F$17,PL_Saisie_Estime2!$F$18,PL_Saisie_Estime2!$F$19,PL_Saisie_Estime2!$F$16,PL_Saisie_Estime2!$C$14,PL_Saisie_Estime2!$F$15,PL_Saisie_Estime2!$F$14,PL_Saisie_Estime2!$F$20,PL_Saisie_Estime2!AE$2,PL_Saisie_Estime2!AE$1,PL_Saisie_Estime2!$C147),"")</f>
        <v/>
      </c>
      <c r="AF147" s="204"/>
      <c r="AG147" s="53"/>
      <c r="AH147" s="53"/>
      <c r="AI147" s="53"/>
      <c r="AJ147" s="53"/>
      <c r="AK147" s="53"/>
      <c r="AL147" s="53"/>
      <c r="AM147" s="53"/>
      <c r="AN147" s="53"/>
      <c r="AO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1:53" ht="18.75" customHeight="1" collapsed="1" x14ac:dyDescent="0.3">
      <c r="A148" s="181"/>
      <c r="C148" s="117"/>
      <c r="D148" s="24"/>
      <c r="E148" s="270"/>
      <c r="F148" s="270"/>
      <c r="G148" s="270"/>
      <c r="H148" s="43"/>
      <c r="I148" s="130"/>
      <c r="J148" s="130"/>
      <c r="K148" s="130"/>
      <c r="L148" s="130"/>
      <c r="M148" s="130"/>
      <c r="N148" s="125"/>
      <c r="O148" s="125"/>
      <c r="P148" s="125"/>
      <c r="Q148" s="124"/>
      <c r="R148" s="125"/>
      <c r="S148" s="125"/>
      <c r="T148" s="201"/>
      <c r="U148" s="201"/>
      <c r="V148" s="201"/>
      <c r="W148" s="201"/>
      <c r="X148" s="125"/>
      <c r="Y148" s="125"/>
      <c r="Z148" s="125"/>
      <c r="AA148" s="125"/>
      <c r="AB148" s="125"/>
      <c r="AC148" s="125"/>
      <c r="AD148" s="125"/>
      <c r="AE148" s="125"/>
      <c r="AF148" s="125"/>
      <c r="AP148" s="1"/>
    </row>
    <row r="149" spans="1:53" ht="18.75" customHeight="1" x14ac:dyDescent="0.3">
      <c r="A149" s="181"/>
      <c r="C149" s="158"/>
      <c r="D149" s="24"/>
      <c r="E149" s="268"/>
      <c r="F149" s="268"/>
      <c r="G149" s="268"/>
      <c r="H149" s="43"/>
      <c r="I149" s="130"/>
      <c r="J149" s="130"/>
      <c r="K149" s="130"/>
      <c r="L149" s="130"/>
      <c r="M149" s="130"/>
      <c r="N149" s="126"/>
      <c r="O149" s="204"/>
      <c r="P149" s="126"/>
      <c r="Q149" s="124"/>
      <c r="R149" s="192"/>
      <c r="S149" s="126"/>
      <c r="T149" s="200"/>
      <c r="U149" s="200"/>
      <c r="V149" s="200"/>
      <c r="W149" s="200"/>
      <c r="X149" s="200"/>
      <c r="Y149" s="200"/>
      <c r="Z149" s="192" t="str">
        <f ca="1">IF(Flag_Send_Data=1,_xll.DBSW(PL_Saisie_Estime2!Z149,Server&amp;Cube1,PL_Saisie_Estime2!$F$17,PL_Saisie_Estime2!$F$18,PL_Saisie_Estime2!$F$19,PL_Saisie_Estime2!$F$16,PL_Saisie_Estime2!$C$14,PL_Saisie_Estime2!$F$15,PL_Saisie_Estime2!$F$14,PL_Saisie_Estime2!$F$20,PL_Saisie_Estime2!Z$2,PL_Saisie_Estime2!Z$1,PL_Saisie_Estime2!$C149),"")</f>
        <v/>
      </c>
      <c r="AA149" s="192" t="str">
        <f ca="1">IF(Flag_Send_Data=1,_xll.DBSW(PL_Saisie_Estime2!AA149,Server&amp;Cube1,PL_Saisie_Estime2!$F$17,PL_Saisie_Estime2!$F$18,PL_Saisie_Estime2!$F$19,PL_Saisie_Estime2!$F$16,PL_Saisie_Estime2!$C$14,PL_Saisie_Estime2!$F$15,PL_Saisie_Estime2!$F$14,PL_Saisie_Estime2!$F$20,PL_Saisie_Estime2!AA$2,PL_Saisie_Estime2!AA$1,PL_Saisie_Estime2!$C149),"")</f>
        <v/>
      </c>
      <c r="AB149" s="192" t="str">
        <f ca="1">IF(Flag_Send_Data=1,_xll.DBSW(PL_Saisie_Estime2!AB149,Server&amp;Cube1,PL_Saisie_Estime2!$F$17,PL_Saisie_Estime2!$F$18,PL_Saisie_Estime2!$F$19,PL_Saisie_Estime2!$F$16,PL_Saisie_Estime2!$C$14,PL_Saisie_Estime2!$F$15,PL_Saisie_Estime2!$F$14,PL_Saisie_Estime2!$F$20,PL_Saisie_Estime2!AB$2,PL_Saisie_Estime2!AB$1,PL_Saisie_Estime2!$C149),"")</f>
        <v/>
      </c>
      <c r="AC149" s="192" t="str">
        <f ca="1">IF(Flag_Send_Data=1,_xll.DBSW(PL_Saisie_Estime2!AC149,Server&amp;Cube1,PL_Saisie_Estime2!$F$17,PL_Saisie_Estime2!$F$18,PL_Saisie_Estime2!$F$19,PL_Saisie_Estime2!$F$16,PL_Saisie_Estime2!$C$14,PL_Saisie_Estime2!$F$15,PL_Saisie_Estime2!$F$14,PL_Saisie_Estime2!$F$20,PL_Saisie_Estime2!AC$2,PL_Saisie_Estime2!AC$1,PL_Saisie_Estime2!$C149),"")</f>
        <v/>
      </c>
      <c r="AD149" s="192" t="str">
        <f ca="1">IF(Flag_Send_Data=1,_xll.DBSW(PL_Saisie_Estime2!AD149,Server&amp;Cube1,PL_Saisie_Estime2!$F$17,PL_Saisie_Estime2!$F$18,PL_Saisie_Estime2!$F$19,PL_Saisie_Estime2!$F$16,PL_Saisie_Estime2!$C$14,PL_Saisie_Estime2!$F$15,PL_Saisie_Estime2!$F$14,PL_Saisie_Estime2!$F$20,PL_Saisie_Estime2!AD$2,PL_Saisie_Estime2!AD$1,PL_Saisie_Estime2!$C149),"")</f>
        <v/>
      </c>
      <c r="AE149" s="192" t="str">
        <f ca="1">IF(Flag_Send_Data=1,_xll.DBSW(PL_Saisie_Estime2!AE149,Server&amp;Cube1,PL_Saisie_Estime2!$F$17,PL_Saisie_Estime2!$F$18,PL_Saisie_Estime2!$F$19,PL_Saisie_Estime2!$F$16,PL_Saisie_Estime2!$C$14,PL_Saisie_Estime2!$F$15,PL_Saisie_Estime2!$F$14,PL_Saisie_Estime2!$F$20,PL_Saisie_Estime2!AE$2,PL_Saisie_Estime2!AE$1,PL_Saisie_Estime2!$C149),"")</f>
        <v/>
      </c>
      <c r="AF149" s="204"/>
      <c r="AP149" s="1"/>
    </row>
    <row r="150" spans="1:53" ht="18.75" customHeight="1" x14ac:dyDescent="0.3">
      <c r="A150" s="181"/>
      <c r="C150" s="158"/>
      <c r="D150" s="24"/>
      <c r="E150" s="268"/>
      <c r="F150" s="268"/>
      <c r="G150" s="268"/>
      <c r="H150" s="43"/>
      <c r="I150" s="130"/>
      <c r="J150" s="130"/>
      <c r="K150" s="130"/>
      <c r="L150" s="130"/>
      <c r="M150" s="130"/>
      <c r="N150" s="126"/>
      <c r="O150" s="204"/>
      <c r="P150" s="126"/>
      <c r="Q150" s="124"/>
      <c r="R150" s="192"/>
      <c r="S150" s="126"/>
      <c r="T150" s="200"/>
      <c r="U150" s="200"/>
      <c r="V150" s="200"/>
      <c r="W150" s="200"/>
      <c r="X150" s="200"/>
      <c r="Y150" s="200"/>
      <c r="Z150" s="192" t="str">
        <f ca="1">IF(Flag_Send_Data=1,_xll.DBSW(PL_Saisie_Estime2!Z150,Server&amp;Cube1,PL_Saisie_Estime2!$F$17,PL_Saisie_Estime2!$F$18,PL_Saisie_Estime2!$F$19,PL_Saisie_Estime2!$F$16,PL_Saisie_Estime2!$C$14,PL_Saisie_Estime2!$F$15,PL_Saisie_Estime2!$F$14,PL_Saisie_Estime2!$F$20,PL_Saisie_Estime2!Z$2,PL_Saisie_Estime2!Z$1,PL_Saisie_Estime2!$C150),"")</f>
        <v/>
      </c>
      <c r="AA150" s="192" t="str">
        <f ca="1">IF(Flag_Send_Data=1,_xll.DBSW(PL_Saisie_Estime2!AA150,Server&amp;Cube1,PL_Saisie_Estime2!$F$17,PL_Saisie_Estime2!$F$18,PL_Saisie_Estime2!$F$19,PL_Saisie_Estime2!$F$16,PL_Saisie_Estime2!$C$14,PL_Saisie_Estime2!$F$15,PL_Saisie_Estime2!$F$14,PL_Saisie_Estime2!$F$20,PL_Saisie_Estime2!AA$2,PL_Saisie_Estime2!AA$1,PL_Saisie_Estime2!$C150),"")</f>
        <v/>
      </c>
      <c r="AB150" s="192" t="str">
        <f ca="1">IF(Flag_Send_Data=1,_xll.DBSW(PL_Saisie_Estime2!AB150,Server&amp;Cube1,PL_Saisie_Estime2!$F$17,PL_Saisie_Estime2!$F$18,PL_Saisie_Estime2!$F$19,PL_Saisie_Estime2!$F$16,PL_Saisie_Estime2!$C$14,PL_Saisie_Estime2!$F$15,PL_Saisie_Estime2!$F$14,PL_Saisie_Estime2!$F$20,PL_Saisie_Estime2!AB$2,PL_Saisie_Estime2!AB$1,PL_Saisie_Estime2!$C150),"")</f>
        <v/>
      </c>
      <c r="AC150" s="192" t="str">
        <f ca="1">IF(Flag_Send_Data=1,_xll.DBSW(PL_Saisie_Estime2!AC150,Server&amp;Cube1,PL_Saisie_Estime2!$F$17,PL_Saisie_Estime2!$F$18,PL_Saisie_Estime2!$F$19,PL_Saisie_Estime2!$F$16,PL_Saisie_Estime2!$C$14,PL_Saisie_Estime2!$F$15,PL_Saisie_Estime2!$F$14,PL_Saisie_Estime2!$F$20,PL_Saisie_Estime2!AC$2,PL_Saisie_Estime2!AC$1,PL_Saisie_Estime2!$C150),"")</f>
        <v/>
      </c>
      <c r="AD150" s="192" t="str">
        <f ca="1">IF(Flag_Send_Data=1,_xll.DBSW(PL_Saisie_Estime2!AD150,Server&amp;Cube1,PL_Saisie_Estime2!$F$17,PL_Saisie_Estime2!$F$18,PL_Saisie_Estime2!$F$19,PL_Saisie_Estime2!$F$16,PL_Saisie_Estime2!$C$14,PL_Saisie_Estime2!$F$15,PL_Saisie_Estime2!$F$14,PL_Saisie_Estime2!$F$20,PL_Saisie_Estime2!AD$2,PL_Saisie_Estime2!AD$1,PL_Saisie_Estime2!$C150),"")</f>
        <v/>
      </c>
      <c r="AE150" s="192" t="str">
        <f ca="1">IF(Flag_Send_Data=1,_xll.DBSW(PL_Saisie_Estime2!AE150,Server&amp;Cube1,PL_Saisie_Estime2!$F$17,PL_Saisie_Estime2!$F$18,PL_Saisie_Estime2!$F$19,PL_Saisie_Estime2!$F$16,PL_Saisie_Estime2!$C$14,PL_Saisie_Estime2!$F$15,PL_Saisie_Estime2!$F$14,PL_Saisie_Estime2!$F$20,PL_Saisie_Estime2!AE$2,PL_Saisie_Estime2!AE$1,PL_Saisie_Estime2!$C150),"")</f>
        <v/>
      </c>
      <c r="AF150" s="204"/>
      <c r="AP150" s="1"/>
    </row>
    <row r="151" spans="1:53" ht="18.75" customHeight="1" x14ac:dyDescent="0.3">
      <c r="A151" s="181"/>
      <c r="C151" s="158"/>
      <c r="D151" s="24"/>
      <c r="E151" s="268"/>
      <c r="F151" s="268"/>
      <c r="G151" s="268"/>
      <c r="H151" s="43"/>
      <c r="I151" s="130"/>
      <c r="J151" s="130"/>
      <c r="K151" s="130"/>
      <c r="L151" s="130"/>
      <c r="M151" s="130"/>
      <c r="N151" s="126"/>
      <c r="O151" s="204"/>
      <c r="P151" s="126"/>
      <c r="Q151" s="124"/>
      <c r="R151" s="192"/>
      <c r="S151" s="126"/>
      <c r="T151" s="200"/>
      <c r="U151" s="200"/>
      <c r="V151" s="200"/>
      <c r="W151" s="200"/>
      <c r="X151" s="200"/>
      <c r="Y151" s="200"/>
      <c r="Z151" s="192" t="str">
        <f ca="1">IF(Flag_Send_Data=1,_xll.DBSW(PL_Saisie_Estime2!Z151,Server&amp;Cube1,PL_Saisie_Estime2!$F$17,PL_Saisie_Estime2!$F$18,PL_Saisie_Estime2!$F$19,PL_Saisie_Estime2!$F$16,PL_Saisie_Estime2!$C$14,PL_Saisie_Estime2!$F$15,PL_Saisie_Estime2!$F$14,PL_Saisie_Estime2!$F$20,PL_Saisie_Estime2!Z$2,PL_Saisie_Estime2!Z$1,PL_Saisie_Estime2!$C151),"")</f>
        <v/>
      </c>
      <c r="AA151" s="192" t="str">
        <f ca="1">IF(Flag_Send_Data=1,_xll.DBSW(PL_Saisie_Estime2!AA151,Server&amp;Cube1,PL_Saisie_Estime2!$F$17,PL_Saisie_Estime2!$F$18,PL_Saisie_Estime2!$F$19,PL_Saisie_Estime2!$F$16,PL_Saisie_Estime2!$C$14,PL_Saisie_Estime2!$F$15,PL_Saisie_Estime2!$F$14,PL_Saisie_Estime2!$F$20,PL_Saisie_Estime2!AA$2,PL_Saisie_Estime2!AA$1,PL_Saisie_Estime2!$C151),"")</f>
        <v/>
      </c>
      <c r="AB151" s="192" t="str">
        <f ca="1">IF(Flag_Send_Data=1,_xll.DBSW(PL_Saisie_Estime2!AB151,Server&amp;Cube1,PL_Saisie_Estime2!$F$17,PL_Saisie_Estime2!$F$18,PL_Saisie_Estime2!$F$19,PL_Saisie_Estime2!$F$16,PL_Saisie_Estime2!$C$14,PL_Saisie_Estime2!$F$15,PL_Saisie_Estime2!$F$14,PL_Saisie_Estime2!$F$20,PL_Saisie_Estime2!AB$2,PL_Saisie_Estime2!AB$1,PL_Saisie_Estime2!$C151),"")</f>
        <v/>
      </c>
      <c r="AC151" s="192" t="str">
        <f ca="1">IF(Flag_Send_Data=1,_xll.DBSW(PL_Saisie_Estime2!AC151,Server&amp;Cube1,PL_Saisie_Estime2!$F$17,PL_Saisie_Estime2!$F$18,PL_Saisie_Estime2!$F$19,PL_Saisie_Estime2!$F$16,PL_Saisie_Estime2!$C$14,PL_Saisie_Estime2!$F$15,PL_Saisie_Estime2!$F$14,PL_Saisie_Estime2!$F$20,PL_Saisie_Estime2!AC$2,PL_Saisie_Estime2!AC$1,PL_Saisie_Estime2!$C151),"")</f>
        <v/>
      </c>
      <c r="AD151" s="192" t="str">
        <f ca="1">IF(Flag_Send_Data=1,_xll.DBSW(PL_Saisie_Estime2!AD151,Server&amp;Cube1,PL_Saisie_Estime2!$F$17,PL_Saisie_Estime2!$F$18,PL_Saisie_Estime2!$F$19,PL_Saisie_Estime2!$F$16,PL_Saisie_Estime2!$C$14,PL_Saisie_Estime2!$F$15,PL_Saisie_Estime2!$F$14,PL_Saisie_Estime2!$F$20,PL_Saisie_Estime2!AD$2,PL_Saisie_Estime2!AD$1,PL_Saisie_Estime2!$C151),"")</f>
        <v/>
      </c>
      <c r="AE151" s="192" t="str">
        <f ca="1">IF(Flag_Send_Data=1,_xll.DBSW(PL_Saisie_Estime2!AE151,Server&amp;Cube1,PL_Saisie_Estime2!$F$17,PL_Saisie_Estime2!$F$18,PL_Saisie_Estime2!$F$19,PL_Saisie_Estime2!$F$16,PL_Saisie_Estime2!$C$14,PL_Saisie_Estime2!$F$15,PL_Saisie_Estime2!$F$14,PL_Saisie_Estime2!$F$20,PL_Saisie_Estime2!AE$2,PL_Saisie_Estime2!AE$1,PL_Saisie_Estime2!$C151),"")</f>
        <v/>
      </c>
      <c r="AF151" s="204"/>
      <c r="AP151" s="1"/>
    </row>
    <row r="152" spans="1:53" ht="18.75" customHeight="1" x14ac:dyDescent="0.3">
      <c r="A152" s="181"/>
      <c r="C152" s="158"/>
      <c r="D152" s="24"/>
      <c r="E152" s="268"/>
      <c r="F152" s="268"/>
      <c r="G152" s="268"/>
      <c r="H152" s="43"/>
      <c r="I152" s="130"/>
      <c r="J152" s="130"/>
      <c r="K152" s="130"/>
      <c r="L152" s="130"/>
      <c r="M152" s="130"/>
      <c r="N152" s="126"/>
      <c r="O152" s="204"/>
      <c r="P152" s="126"/>
      <c r="Q152" s="124"/>
      <c r="R152" s="192"/>
      <c r="S152" s="126"/>
      <c r="T152" s="200"/>
      <c r="U152" s="200"/>
      <c r="V152" s="200"/>
      <c r="W152" s="200"/>
      <c r="X152" s="200"/>
      <c r="Y152" s="200"/>
      <c r="Z152" s="192" t="str">
        <f ca="1">IF(Flag_Send_Data=1,_xll.DBSW(PL_Saisie_Estime2!Z152,Server&amp;Cube1,PL_Saisie_Estime2!$F$17,PL_Saisie_Estime2!$F$18,PL_Saisie_Estime2!$F$19,PL_Saisie_Estime2!$F$16,PL_Saisie_Estime2!$C$14,PL_Saisie_Estime2!$F$15,PL_Saisie_Estime2!$F$14,PL_Saisie_Estime2!$F$20,PL_Saisie_Estime2!Z$2,PL_Saisie_Estime2!Z$1,PL_Saisie_Estime2!$C152),"")</f>
        <v/>
      </c>
      <c r="AA152" s="192" t="str">
        <f ca="1">IF(Flag_Send_Data=1,_xll.DBSW(PL_Saisie_Estime2!AA152,Server&amp;Cube1,PL_Saisie_Estime2!$F$17,PL_Saisie_Estime2!$F$18,PL_Saisie_Estime2!$F$19,PL_Saisie_Estime2!$F$16,PL_Saisie_Estime2!$C$14,PL_Saisie_Estime2!$F$15,PL_Saisie_Estime2!$F$14,PL_Saisie_Estime2!$F$20,PL_Saisie_Estime2!AA$2,PL_Saisie_Estime2!AA$1,PL_Saisie_Estime2!$C152),"")</f>
        <v/>
      </c>
      <c r="AB152" s="192" t="str">
        <f ca="1">IF(Flag_Send_Data=1,_xll.DBSW(PL_Saisie_Estime2!AB152,Server&amp;Cube1,PL_Saisie_Estime2!$F$17,PL_Saisie_Estime2!$F$18,PL_Saisie_Estime2!$F$19,PL_Saisie_Estime2!$F$16,PL_Saisie_Estime2!$C$14,PL_Saisie_Estime2!$F$15,PL_Saisie_Estime2!$F$14,PL_Saisie_Estime2!$F$20,PL_Saisie_Estime2!AB$2,PL_Saisie_Estime2!AB$1,PL_Saisie_Estime2!$C152),"")</f>
        <v/>
      </c>
      <c r="AC152" s="192" t="str">
        <f ca="1">IF(Flag_Send_Data=1,_xll.DBSW(PL_Saisie_Estime2!AC152,Server&amp;Cube1,PL_Saisie_Estime2!$F$17,PL_Saisie_Estime2!$F$18,PL_Saisie_Estime2!$F$19,PL_Saisie_Estime2!$F$16,PL_Saisie_Estime2!$C$14,PL_Saisie_Estime2!$F$15,PL_Saisie_Estime2!$F$14,PL_Saisie_Estime2!$F$20,PL_Saisie_Estime2!AC$2,PL_Saisie_Estime2!AC$1,PL_Saisie_Estime2!$C152),"")</f>
        <v/>
      </c>
      <c r="AD152" s="192" t="str">
        <f ca="1">IF(Flag_Send_Data=1,_xll.DBSW(PL_Saisie_Estime2!AD152,Server&amp;Cube1,PL_Saisie_Estime2!$F$17,PL_Saisie_Estime2!$F$18,PL_Saisie_Estime2!$F$19,PL_Saisie_Estime2!$F$16,PL_Saisie_Estime2!$C$14,PL_Saisie_Estime2!$F$15,PL_Saisie_Estime2!$F$14,PL_Saisie_Estime2!$F$20,PL_Saisie_Estime2!AD$2,PL_Saisie_Estime2!AD$1,PL_Saisie_Estime2!$C152),"")</f>
        <v/>
      </c>
      <c r="AE152" s="192" t="str">
        <f ca="1">IF(Flag_Send_Data=1,_xll.DBSW(PL_Saisie_Estime2!AE152,Server&amp;Cube1,PL_Saisie_Estime2!$F$17,PL_Saisie_Estime2!$F$18,PL_Saisie_Estime2!$F$19,PL_Saisie_Estime2!$F$16,PL_Saisie_Estime2!$C$14,PL_Saisie_Estime2!$F$15,PL_Saisie_Estime2!$F$14,PL_Saisie_Estime2!$F$20,PL_Saisie_Estime2!AE$2,PL_Saisie_Estime2!AE$1,PL_Saisie_Estime2!$C152),"")</f>
        <v/>
      </c>
      <c r="AF152" s="204"/>
      <c r="AP152" s="1"/>
    </row>
    <row r="153" spans="1:53" ht="18.75" customHeight="1" x14ac:dyDescent="0.3">
      <c r="A153" s="181"/>
      <c r="C153" s="158"/>
      <c r="D153" s="24"/>
      <c r="E153" s="268"/>
      <c r="F153" s="268"/>
      <c r="G153" s="268"/>
      <c r="H153" s="43"/>
      <c r="I153" s="130"/>
      <c r="J153" s="130"/>
      <c r="K153" s="130"/>
      <c r="L153" s="130"/>
      <c r="M153" s="130"/>
      <c r="N153" s="126"/>
      <c r="O153" s="204"/>
      <c r="P153" s="126"/>
      <c r="Q153" s="124"/>
      <c r="R153" s="192"/>
      <c r="S153" s="126"/>
      <c r="T153" s="200"/>
      <c r="U153" s="200"/>
      <c r="V153" s="200"/>
      <c r="W153" s="200"/>
      <c r="X153" s="200"/>
      <c r="Y153" s="200"/>
      <c r="Z153" s="192" t="str">
        <f ca="1">IF(Flag_Send_Data=1,_xll.DBSW(PL_Saisie_Estime2!Z153,Server&amp;Cube1,PL_Saisie_Estime2!$F$17,PL_Saisie_Estime2!$F$18,PL_Saisie_Estime2!$F$19,PL_Saisie_Estime2!$F$16,PL_Saisie_Estime2!$C$14,PL_Saisie_Estime2!$F$15,PL_Saisie_Estime2!$F$14,PL_Saisie_Estime2!$F$20,PL_Saisie_Estime2!Z$2,PL_Saisie_Estime2!Z$1,PL_Saisie_Estime2!$C153),"")</f>
        <v/>
      </c>
      <c r="AA153" s="192" t="str">
        <f ca="1">IF(Flag_Send_Data=1,_xll.DBSW(PL_Saisie_Estime2!AA153,Server&amp;Cube1,PL_Saisie_Estime2!$F$17,PL_Saisie_Estime2!$F$18,PL_Saisie_Estime2!$F$19,PL_Saisie_Estime2!$F$16,PL_Saisie_Estime2!$C$14,PL_Saisie_Estime2!$F$15,PL_Saisie_Estime2!$F$14,PL_Saisie_Estime2!$F$20,PL_Saisie_Estime2!AA$2,PL_Saisie_Estime2!AA$1,PL_Saisie_Estime2!$C153),"")</f>
        <v/>
      </c>
      <c r="AB153" s="192" t="str">
        <f ca="1">IF(Flag_Send_Data=1,_xll.DBSW(PL_Saisie_Estime2!AB153,Server&amp;Cube1,PL_Saisie_Estime2!$F$17,PL_Saisie_Estime2!$F$18,PL_Saisie_Estime2!$F$19,PL_Saisie_Estime2!$F$16,PL_Saisie_Estime2!$C$14,PL_Saisie_Estime2!$F$15,PL_Saisie_Estime2!$F$14,PL_Saisie_Estime2!$F$20,PL_Saisie_Estime2!AB$2,PL_Saisie_Estime2!AB$1,PL_Saisie_Estime2!$C153),"")</f>
        <v/>
      </c>
      <c r="AC153" s="192" t="str">
        <f ca="1">IF(Flag_Send_Data=1,_xll.DBSW(PL_Saisie_Estime2!AC153,Server&amp;Cube1,PL_Saisie_Estime2!$F$17,PL_Saisie_Estime2!$F$18,PL_Saisie_Estime2!$F$19,PL_Saisie_Estime2!$F$16,PL_Saisie_Estime2!$C$14,PL_Saisie_Estime2!$F$15,PL_Saisie_Estime2!$F$14,PL_Saisie_Estime2!$F$20,PL_Saisie_Estime2!AC$2,PL_Saisie_Estime2!AC$1,PL_Saisie_Estime2!$C153),"")</f>
        <v/>
      </c>
      <c r="AD153" s="192" t="str">
        <f ca="1">IF(Flag_Send_Data=1,_xll.DBSW(PL_Saisie_Estime2!AD153,Server&amp;Cube1,PL_Saisie_Estime2!$F$17,PL_Saisie_Estime2!$F$18,PL_Saisie_Estime2!$F$19,PL_Saisie_Estime2!$F$16,PL_Saisie_Estime2!$C$14,PL_Saisie_Estime2!$F$15,PL_Saisie_Estime2!$F$14,PL_Saisie_Estime2!$F$20,PL_Saisie_Estime2!AD$2,PL_Saisie_Estime2!AD$1,PL_Saisie_Estime2!$C153),"")</f>
        <v/>
      </c>
      <c r="AE153" s="192" t="str">
        <f ca="1">IF(Flag_Send_Data=1,_xll.DBSW(PL_Saisie_Estime2!AE153,Server&amp;Cube1,PL_Saisie_Estime2!$F$17,PL_Saisie_Estime2!$F$18,PL_Saisie_Estime2!$F$19,PL_Saisie_Estime2!$F$16,PL_Saisie_Estime2!$C$14,PL_Saisie_Estime2!$F$15,PL_Saisie_Estime2!$F$14,PL_Saisie_Estime2!$F$20,PL_Saisie_Estime2!AE$2,PL_Saisie_Estime2!AE$1,PL_Saisie_Estime2!$C153),"")</f>
        <v/>
      </c>
      <c r="AF153" s="204"/>
      <c r="AP153" s="1"/>
    </row>
    <row r="154" spans="1:53" ht="18.75" customHeight="1" x14ac:dyDescent="0.3">
      <c r="A154" s="181"/>
      <c r="C154" s="158"/>
      <c r="D154" s="24"/>
      <c r="E154" s="268"/>
      <c r="F154" s="268"/>
      <c r="G154" s="268"/>
      <c r="H154" s="43"/>
      <c r="I154" s="130"/>
      <c r="J154" s="130"/>
      <c r="K154" s="130"/>
      <c r="L154" s="130"/>
      <c r="M154" s="130"/>
      <c r="N154" s="126"/>
      <c r="O154" s="204"/>
      <c r="P154" s="126"/>
      <c r="Q154" s="124"/>
      <c r="R154" s="192"/>
      <c r="S154" s="126"/>
      <c r="T154" s="200"/>
      <c r="U154" s="200"/>
      <c r="V154" s="200"/>
      <c r="W154" s="200"/>
      <c r="X154" s="200"/>
      <c r="Y154" s="200"/>
      <c r="Z154" s="192" t="str">
        <f ca="1">IF(Flag_Send_Data=1,_xll.DBSW(PL_Saisie_Estime2!Z154,Server&amp;Cube1,PL_Saisie_Estime2!$F$17,PL_Saisie_Estime2!$F$18,PL_Saisie_Estime2!$F$19,PL_Saisie_Estime2!$F$16,PL_Saisie_Estime2!$C$14,PL_Saisie_Estime2!$F$15,PL_Saisie_Estime2!$F$14,PL_Saisie_Estime2!$F$20,PL_Saisie_Estime2!Z$2,PL_Saisie_Estime2!Z$1,PL_Saisie_Estime2!$C154),"")</f>
        <v/>
      </c>
      <c r="AA154" s="192" t="str">
        <f ca="1">IF(Flag_Send_Data=1,_xll.DBSW(PL_Saisie_Estime2!AA154,Server&amp;Cube1,PL_Saisie_Estime2!$F$17,PL_Saisie_Estime2!$F$18,PL_Saisie_Estime2!$F$19,PL_Saisie_Estime2!$F$16,PL_Saisie_Estime2!$C$14,PL_Saisie_Estime2!$F$15,PL_Saisie_Estime2!$F$14,PL_Saisie_Estime2!$F$20,PL_Saisie_Estime2!AA$2,PL_Saisie_Estime2!AA$1,PL_Saisie_Estime2!$C154),"")</f>
        <v/>
      </c>
      <c r="AB154" s="192" t="str">
        <f ca="1">IF(Flag_Send_Data=1,_xll.DBSW(PL_Saisie_Estime2!AB154,Server&amp;Cube1,PL_Saisie_Estime2!$F$17,PL_Saisie_Estime2!$F$18,PL_Saisie_Estime2!$F$19,PL_Saisie_Estime2!$F$16,PL_Saisie_Estime2!$C$14,PL_Saisie_Estime2!$F$15,PL_Saisie_Estime2!$F$14,PL_Saisie_Estime2!$F$20,PL_Saisie_Estime2!AB$2,PL_Saisie_Estime2!AB$1,PL_Saisie_Estime2!$C154),"")</f>
        <v/>
      </c>
      <c r="AC154" s="192" t="str">
        <f ca="1">IF(Flag_Send_Data=1,_xll.DBSW(PL_Saisie_Estime2!AC154,Server&amp;Cube1,PL_Saisie_Estime2!$F$17,PL_Saisie_Estime2!$F$18,PL_Saisie_Estime2!$F$19,PL_Saisie_Estime2!$F$16,PL_Saisie_Estime2!$C$14,PL_Saisie_Estime2!$F$15,PL_Saisie_Estime2!$F$14,PL_Saisie_Estime2!$F$20,PL_Saisie_Estime2!AC$2,PL_Saisie_Estime2!AC$1,PL_Saisie_Estime2!$C154),"")</f>
        <v/>
      </c>
      <c r="AD154" s="192" t="str">
        <f ca="1">IF(Flag_Send_Data=1,_xll.DBSW(PL_Saisie_Estime2!AD154,Server&amp;Cube1,PL_Saisie_Estime2!$F$17,PL_Saisie_Estime2!$F$18,PL_Saisie_Estime2!$F$19,PL_Saisie_Estime2!$F$16,PL_Saisie_Estime2!$C$14,PL_Saisie_Estime2!$F$15,PL_Saisie_Estime2!$F$14,PL_Saisie_Estime2!$F$20,PL_Saisie_Estime2!AD$2,PL_Saisie_Estime2!AD$1,PL_Saisie_Estime2!$C154),"")</f>
        <v/>
      </c>
      <c r="AE154" s="192" t="str">
        <f ca="1">IF(Flag_Send_Data=1,_xll.DBSW(PL_Saisie_Estime2!AE154,Server&amp;Cube1,PL_Saisie_Estime2!$F$17,PL_Saisie_Estime2!$F$18,PL_Saisie_Estime2!$F$19,PL_Saisie_Estime2!$F$16,PL_Saisie_Estime2!$C$14,PL_Saisie_Estime2!$F$15,PL_Saisie_Estime2!$F$14,PL_Saisie_Estime2!$F$20,PL_Saisie_Estime2!AE$2,PL_Saisie_Estime2!AE$1,PL_Saisie_Estime2!$C154),"")</f>
        <v/>
      </c>
      <c r="AF154" s="204"/>
      <c r="AP154" s="1"/>
    </row>
    <row r="155" spans="1:53" ht="18.75" customHeight="1" x14ac:dyDescent="0.3">
      <c r="A155" s="181"/>
      <c r="C155" s="158"/>
      <c r="D155" s="24"/>
      <c r="E155" s="268"/>
      <c r="F155" s="268"/>
      <c r="G155" s="268"/>
      <c r="H155" s="43"/>
      <c r="I155" s="130"/>
      <c r="J155" s="130"/>
      <c r="K155" s="130"/>
      <c r="L155" s="130"/>
      <c r="M155" s="130"/>
      <c r="N155" s="126"/>
      <c r="O155" s="204"/>
      <c r="P155" s="126"/>
      <c r="Q155" s="124"/>
      <c r="R155" s="192"/>
      <c r="S155" s="126"/>
      <c r="T155" s="200"/>
      <c r="U155" s="200"/>
      <c r="V155" s="200"/>
      <c r="W155" s="200"/>
      <c r="X155" s="200"/>
      <c r="Y155" s="200"/>
      <c r="Z155" s="192" t="str">
        <f ca="1">IF(Flag_Send_Data=1,_xll.DBSW(PL_Saisie_Estime2!Z155,Server&amp;Cube1,PL_Saisie_Estime2!$F$17,PL_Saisie_Estime2!$F$18,PL_Saisie_Estime2!$F$19,PL_Saisie_Estime2!$F$16,PL_Saisie_Estime2!$C$14,PL_Saisie_Estime2!$F$15,PL_Saisie_Estime2!$F$14,PL_Saisie_Estime2!$F$20,PL_Saisie_Estime2!Z$2,PL_Saisie_Estime2!Z$1,PL_Saisie_Estime2!$C155),"")</f>
        <v/>
      </c>
      <c r="AA155" s="192" t="str">
        <f ca="1">IF(Flag_Send_Data=1,_xll.DBSW(PL_Saisie_Estime2!AA155,Server&amp;Cube1,PL_Saisie_Estime2!$F$17,PL_Saisie_Estime2!$F$18,PL_Saisie_Estime2!$F$19,PL_Saisie_Estime2!$F$16,PL_Saisie_Estime2!$C$14,PL_Saisie_Estime2!$F$15,PL_Saisie_Estime2!$F$14,PL_Saisie_Estime2!$F$20,PL_Saisie_Estime2!AA$2,PL_Saisie_Estime2!AA$1,PL_Saisie_Estime2!$C155),"")</f>
        <v/>
      </c>
      <c r="AB155" s="192" t="str">
        <f ca="1">IF(Flag_Send_Data=1,_xll.DBSW(PL_Saisie_Estime2!AB155,Server&amp;Cube1,PL_Saisie_Estime2!$F$17,PL_Saisie_Estime2!$F$18,PL_Saisie_Estime2!$F$19,PL_Saisie_Estime2!$F$16,PL_Saisie_Estime2!$C$14,PL_Saisie_Estime2!$F$15,PL_Saisie_Estime2!$F$14,PL_Saisie_Estime2!$F$20,PL_Saisie_Estime2!AB$2,PL_Saisie_Estime2!AB$1,PL_Saisie_Estime2!$C155),"")</f>
        <v/>
      </c>
      <c r="AC155" s="192" t="str">
        <f ca="1">IF(Flag_Send_Data=1,_xll.DBSW(PL_Saisie_Estime2!AC155,Server&amp;Cube1,PL_Saisie_Estime2!$F$17,PL_Saisie_Estime2!$F$18,PL_Saisie_Estime2!$F$19,PL_Saisie_Estime2!$F$16,PL_Saisie_Estime2!$C$14,PL_Saisie_Estime2!$F$15,PL_Saisie_Estime2!$F$14,PL_Saisie_Estime2!$F$20,PL_Saisie_Estime2!AC$2,PL_Saisie_Estime2!AC$1,PL_Saisie_Estime2!$C155),"")</f>
        <v/>
      </c>
      <c r="AD155" s="192" t="str">
        <f ca="1">IF(Flag_Send_Data=1,_xll.DBSW(PL_Saisie_Estime2!AD155,Server&amp;Cube1,PL_Saisie_Estime2!$F$17,PL_Saisie_Estime2!$F$18,PL_Saisie_Estime2!$F$19,PL_Saisie_Estime2!$F$16,PL_Saisie_Estime2!$C$14,PL_Saisie_Estime2!$F$15,PL_Saisie_Estime2!$F$14,PL_Saisie_Estime2!$F$20,PL_Saisie_Estime2!AD$2,PL_Saisie_Estime2!AD$1,PL_Saisie_Estime2!$C155),"")</f>
        <v/>
      </c>
      <c r="AE155" s="192" t="str">
        <f ca="1">IF(Flag_Send_Data=1,_xll.DBSW(PL_Saisie_Estime2!AE155,Server&amp;Cube1,PL_Saisie_Estime2!$F$17,PL_Saisie_Estime2!$F$18,PL_Saisie_Estime2!$F$19,PL_Saisie_Estime2!$F$16,PL_Saisie_Estime2!$C$14,PL_Saisie_Estime2!$F$15,PL_Saisie_Estime2!$F$14,PL_Saisie_Estime2!$F$20,PL_Saisie_Estime2!AE$2,PL_Saisie_Estime2!AE$1,PL_Saisie_Estime2!$C155),"")</f>
        <v/>
      </c>
      <c r="AF155" s="204"/>
      <c r="AP155" s="1"/>
    </row>
    <row r="156" spans="1:53" ht="18.75" customHeight="1" x14ac:dyDescent="0.3">
      <c r="A156" s="181"/>
      <c r="C156" s="158"/>
      <c r="D156" s="24"/>
      <c r="E156" s="268"/>
      <c r="F156" s="268"/>
      <c r="G156" s="268"/>
      <c r="H156" s="43"/>
      <c r="I156" s="130"/>
      <c r="J156" s="130"/>
      <c r="K156" s="130"/>
      <c r="L156" s="130"/>
      <c r="M156" s="130"/>
      <c r="N156" s="126"/>
      <c r="O156" s="204"/>
      <c r="P156" s="126"/>
      <c r="Q156" s="124"/>
      <c r="R156" s="192"/>
      <c r="S156" s="126"/>
      <c r="T156" s="200"/>
      <c r="U156" s="200"/>
      <c r="V156" s="200"/>
      <c r="W156" s="200"/>
      <c r="X156" s="200"/>
      <c r="Y156" s="200"/>
      <c r="Z156" s="192" t="str">
        <f ca="1">IF(Flag_Send_Data=1,_xll.DBSW(PL_Saisie_Estime2!Z156,Server&amp;Cube1,PL_Saisie_Estime2!$F$17,PL_Saisie_Estime2!$F$18,PL_Saisie_Estime2!$F$19,PL_Saisie_Estime2!$F$16,PL_Saisie_Estime2!$C$14,PL_Saisie_Estime2!$F$15,PL_Saisie_Estime2!$F$14,PL_Saisie_Estime2!$F$20,PL_Saisie_Estime2!Z$2,PL_Saisie_Estime2!Z$1,PL_Saisie_Estime2!$C156),"")</f>
        <v/>
      </c>
      <c r="AA156" s="192" t="str">
        <f ca="1">IF(Flag_Send_Data=1,_xll.DBSW(PL_Saisie_Estime2!AA156,Server&amp;Cube1,PL_Saisie_Estime2!$F$17,PL_Saisie_Estime2!$F$18,PL_Saisie_Estime2!$F$19,PL_Saisie_Estime2!$F$16,PL_Saisie_Estime2!$C$14,PL_Saisie_Estime2!$F$15,PL_Saisie_Estime2!$F$14,PL_Saisie_Estime2!$F$20,PL_Saisie_Estime2!AA$2,PL_Saisie_Estime2!AA$1,PL_Saisie_Estime2!$C156),"")</f>
        <v/>
      </c>
      <c r="AB156" s="192" t="str">
        <f ca="1">IF(Flag_Send_Data=1,_xll.DBSW(PL_Saisie_Estime2!AB156,Server&amp;Cube1,PL_Saisie_Estime2!$F$17,PL_Saisie_Estime2!$F$18,PL_Saisie_Estime2!$F$19,PL_Saisie_Estime2!$F$16,PL_Saisie_Estime2!$C$14,PL_Saisie_Estime2!$F$15,PL_Saisie_Estime2!$F$14,PL_Saisie_Estime2!$F$20,PL_Saisie_Estime2!AB$2,PL_Saisie_Estime2!AB$1,PL_Saisie_Estime2!$C156),"")</f>
        <v/>
      </c>
      <c r="AC156" s="192" t="str">
        <f ca="1">IF(Flag_Send_Data=1,_xll.DBSW(PL_Saisie_Estime2!AC156,Server&amp;Cube1,PL_Saisie_Estime2!$F$17,PL_Saisie_Estime2!$F$18,PL_Saisie_Estime2!$F$19,PL_Saisie_Estime2!$F$16,PL_Saisie_Estime2!$C$14,PL_Saisie_Estime2!$F$15,PL_Saisie_Estime2!$F$14,PL_Saisie_Estime2!$F$20,PL_Saisie_Estime2!AC$2,PL_Saisie_Estime2!AC$1,PL_Saisie_Estime2!$C156),"")</f>
        <v/>
      </c>
      <c r="AD156" s="192" t="str">
        <f ca="1">IF(Flag_Send_Data=1,_xll.DBSW(PL_Saisie_Estime2!AD156,Server&amp;Cube1,PL_Saisie_Estime2!$F$17,PL_Saisie_Estime2!$F$18,PL_Saisie_Estime2!$F$19,PL_Saisie_Estime2!$F$16,PL_Saisie_Estime2!$C$14,PL_Saisie_Estime2!$F$15,PL_Saisie_Estime2!$F$14,PL_Saisie_Estime2!$F$20,PL_Saisie_Estime2!AD$2,PL_Saisie_Estime2!AD$1,PL_Saisie_Estime2!$C156),"")</f>
        <v/>
      </c>
      <c r="AE156" s="192" t="str">
        <f ca="1">IF(Flag_Send_Data=1,_xll.DBSW(PL_Saisie_Estime2!AE156,Server&amp;Cube1,PL_Saisie_Estime2!$F$17,PL_Saisie_Estime2!$F$18,PL_Saisie_Estime2!$F$19,PL_Saisie_Estime2!$F$16,PL_Saisie_Estime2!$C$14,PL_Saisie_Estime2!$F$15,PL_Saisie_Estime2!$F$14,PL_Saisie_Estime2!$F$20,PL_Saisie_Estime2!AE$2,PL_Saisie_Estime2!AE$1,PL_Saisie_Estime2!$C156),"")</f>
        <v/>
      </c>
      <c r="AF156" s="204"/>
      <c r="AP156" s="1"/>
    </row>
    <row r="157" spans="1:53" ht="18.75" customHeight="1" x14ac:dyDescent="0.3">
      <c r="A157" s="181"/>
      <c r="C157" s="158"/>
      <c r="D157" s="24"/>
      <c r="E157" s="268"/>
      <c r="F157" s="268"/>
      <c r="G157" s="268"/>
      <c r="H157" s="43"/>
      <c r="I157" s="130"/>
      <c r="J157" s="130"/>
      <c r="K157" s="130"/>
      <c r="L157" s="130"/>
      <c r="M157" s="130"/>
      <c r="N157" s="126"/>
      <c r="O157" s="204"/>
      <c r="P157" s="126"/>
      <c r="Q157" s="124"/>
      <c r="R157" s="192"/>
      <c r="S157" s="126"/>
      <c r="T157" s="200"/>
      <c r="U157" s="200"/>
      <c r="V157" s="200"/>
      <c r="W157" s="200"/>
      <c r="X157" s="200"/>
      <c r="Y157" s="200"/>
      <c r="Z157" s="192" t="str">
        <f ca="1">IF(Flag_Send_Data=1,_xll.DBSW(PL_Saisie_Estime2!Z157,Server&amp;Cube1,PL_Saisie_Estime2!$F$17,PL_Saisie_Estime2!$F$18,PL_Saisie_Estime2!$F$19,PL_Saisie_Estime2!$F$16,PL_Saisie_Estime2!$C$14,PL_Saisie_Estime2!$F$15,PL_Saisie_Estime2!$F$14,PL_Saisie_Estime2!$F$20,PL_Saisie_Estime2!Z$2,PL_Saisie_Estime2!Z$1,PL_Saisie_Estime2!$C157),"")</f>
        <v/>
      </c>
      <c r="AA157" s="192" t="str">
        <f ca="1">IF(Flag_Send_Data=1,_xll.DBSW(PL_Saisie_Estime2!AA157,Server&amp;Cube1,PL_Saisie_Estime2!$F$17,PL_Saisie_Estime2!$F$18,PL_Saisie_Estime2!$F$19,PL_Saisie_Estime2!$F$16,PL_Saisie_Estime2!$C$14,PL_Saisie_Estime2!$F$15,PL_Saisie_Estime2!$F$14,PL_Saisie_Estime2!$F$20,PL_Saisie_Estime2!AA$2,PL_Saisie_Estime2!AA$1,PL_Saisie_Estime2!$C157),"")</f>
        <v/>
      </c>
      <c r="AB157" s="192" t="str">
        <f ca="1">IF(Flag_Send_Data=1,_xll.DBSW(PL_Saisie_Estime2!AB157,Server&amp;Cube1,PL_Saisie_Estime2!$F$17,PL_Saisie_Estime2!$F$18,PL_Saisie_Estime2!$F$19,PL_Saisie_Estime2!$F$16,PL_Saisie_Estime2!$C$14,PL_Saisie_Estime2!$F$15,PL_Saisie_Estime2!$F$14,PL_Saisie_Estime2!$F$20,PL_Saisie_Estime2!AB$2,PL_Saisie_Estime2!AB$1,PL_Saisie_Estime2!$C157),"")</f>
        <v/>
      </c>
      <c r="AC157" s="192" t="str">
        <f ca="1">IF(Flag_Send_Data=1,_xll.DBSW(PL_Saisie_Estime2!AC157,Server&amp;Cube1,PL_Saisie_Estime2!$F$17,PL_Saisie_Estime2!$F$18,PL_Saisie_Estime2!$F$19,PL_Saisie_Estime2!$F$16,PL_Saisie_Estime2!$C$14,PL_Saisie_Estime2!$F$15,PL_Saisie_Estime2!$F$14,PL_Saisie_Estime2!$F$20,PL_Saisie_Estime2!AC$2,PL_Saisie_Estime2!AC$1,PL_Saisie_Estime2!$C157),"")</f>
        <v/>
      </c>
      <c r="AD157" s="192" t="str">
        <f ca="1">IF(Flag_Send_Data=1,_xll.DBSW(PL_Saisie_Estime2!AD157,Server&amp;Cube1,PL_Saisie_Estime2!$F$17,PL_Saisie_Estime2!$F$18,PL_Saisie_Estime2!$F$19,PL_Saisie_Estime2!$F$16,PL_Saisie_Estime2!$C$14,PL_Saisie_Estime2!$F$15,PL_Saisie_Estime2!$F$14,PL_Saisie_Estime2!$F$20,PL_Saisie_Estime2!AD$2,PL_Saisie_Estime2!AD$1,PL_Saisie_Estime2!$C157),"")</f>
        <v/>
      </c>
      <c r="AE157" s="192" t="str">
        <f ca="1">IF(Flag_Send_Data=1,_xll.DBSW(PL_Saisie_Estime2!AE157,Server&amp;Cube1,PL_Saisie_Estime2!$F$17,PL_Saisie_Estime2!$F$18,PL_Saisie_Estime2!$F$19,PL_Saisie_Estime2!$F$16,PL_Saisie_Estime2!$C$14,PL_Saisie_Estime2!$F$15,PL_Saisie_Estime2!$F$14,PL_Saisie_Estime2!$F$20,PL_Saisie_Estime2!AE$2,PL_Saisie_Estime2!AE$1,PL_Saisie_Estime2!$C157),"")</f>
        <v/>
      </c>
      <c r="AF157" s="204"/>
      <c r="AP157" s="1"/>
    </row>
    <row r="158" spans="1:53" ht="18.75" customHeight="1" x14ac:dyDescent="0.3">
      <c r="A158" s="181"/>
      <c r="C158" s="158"/>
      <c r="D158" s="24"/>
      <c r="E158" s="268"/>
      <c r="F158" s="268"/>
      <c r="G158" s="268"/>
      <c r="H158" s="43"/>
      <c r="I158" s="130"/>
      <c r="J158" s="130"/>
      <c r="K158" s="130"/>
      <c r="L158" s="130"/>
      <c r="M158" s="130"/>
      <c r="N158" s="126"/>
      <c r="O158" s="204"/>
      <c r="P158" s="126"/>
      <c r="Q158" s="124"/>
      <c r="R158" s="192"/>
      <c r="S158" s="126"/>
      <c r="T158" s="200"/>
      <c r="U158" s="200"/>
      <c r="V158" s="200"/>
      <c r="W158" s="200"/>
      <c r="X158" s="200"/>
      <c r="Y158" s="200"/>
      <c r="Z158" s="192" t="str">
        <f ca="1">IF(Flag_Send_Data=1,_xll.DBSW(PL_Saisie_Estime2!Z158,Server&amp;Cube1,PL_Saisie_Estime2!$F$17,PL_Saisie_Estime2!$F$18,PL_Saisie_Estime2!$F$19,PL_Saisie_Estime2!$F$16,PL_Saisie_Estime2!$C$14,PL_Saisie_Estime2!$F$15,PL_Saisie_Estime2!$F$14,PL_Saisie_Estime2!$F$20,PL_Saisie_Estime2!Z$2,PL_Saisie_Estime2!Z$1,PL_Saisie_Estime2!$C158),"")</f>
        <v/>
      </c>
      <c r="AA158" s="192" t="str">
        <f ca="1">IF(Flag_Send_Data=1,_xll.DBSW(PL_Saisie_Estime2!AA158,Server&amp;Cube1,PL_Saisie_Estime2!$F$17,PL_Saisie_Estime2!$F$18,PL_Saisie_Estime2!$F$19,PL_Saisie_Estime2!$F$16,PL_Saisie_Estime2!$C$14,PL_Saisie_Estime2!$F$15,PL_Saisie_Estime2!$F$14,PL_Saisie_Estime2!$F$20,PL_Saisie_Estime2!AA$2,PL_Saisie_Estime2!AA$1,PL_Saisie_Estime2!$C158),"")</f>
        <v/>
      </c>
      <c r="AB158" s="192" t="str">
        <f ca="1">IF(Flag_Send_Data=1,_xll.DBSW(PL_Saisie_Estime2!AB158,Server&amp;Cube1,PL_Saisie_Estime2!$F$17,PL_Saisie_Estime2!$F$18,PL_Saisie_Estime2!$F$19,PL_Saisie_Estime2!$F$16,PL_Saisie_Estime2!$C$14,PL_Saisie_Estime2!$F$15,PL_Saisie_Estime2!$F$14,PL_Saisie_Estime2!$F$20,PL_Saisie_Estime2!AB$2,PL_Saisie_Estime2!AB$1,PL_Saisie_Estime2!$C158),"")</f>
        <v/>
      </c>
      <c r="AC158" s="192" t="str">
        <f ca="1">IF(Flag_Send_Data=1,_xll.DBSW(PL_Saisie_Estime2!AC158,Server&amp;Cube1,PL_Saisie_Estime2!$F$17,PL_Saisie_Estime2!$F$18,PL_Saisie_Estime2!$F$19,PL_Saisie_Estime2!$F$16,PL_Saisie_Estime2!$C$14,PL_Saisie_Estime2!$F$15,PL_Saisie_Estime2!$F$14,PL_Saisie_Estime2!$F$20,PL_Saisie_Estime2!AC$2,PL_Saisie_Estime2!AC$1,PL_Saisie_Estime2!$C158),"")</f>
        <v/>
      </c>
      <c r="AD158" s="192" t="str">
        <f ca="1">IF(Flag_Send_Data=1,_xll.DBSW(PL_Saisie_Estime2!AD158,Server&amp;Cube1,PL_Saisie_Estime2!$F$17,PL_Saisie_Estime2!$F$18,PL_Saisie_Estime2!$F$19,PL_Saisie_Estime2!$F$16,PL_Saisie_Estime2!$C$14,PL_Saisie_Estime2!$F$15,PL_Saisie_Estime2!$F$14,PL_Saisie_Estime2!$F$20,PL_Saisie_Estime2!AD$2,PL_Saisie_Estime2!AD$1,PL_Saisie_Estime2!$C158),"")</f>
        <v/>
      </c>
      <c r="AE158" s="192" t="str">
        <f ca="1">IF(Flag_Send_Data=1,_xll.DBSW(PL_Saisie_Estime2!AE158,Server&amp;Cube1,PL_Saisie_Estime2!$F$17,PL_Saisie_Estime2!$F$18,PL_Saisie_Estime2!$F$19,PL_Saisie_Estime2!$F$16,PL_Saisie_Estime2!$C$14,PL_Saisie_Estime2!$F$15,PL_Saisie_Estime2!$F$14,PL_Saisie_Estime2!$F$20,PL_Saisie_Estime2!AE$2,PL_Saisie_Estime2!AE$1,PL_Saisie_Estime2!$C158),"")</f>
        <v/>
      </c>
      <c r="AF158" s="204"/>
      <c r="AP158" s="1"/>
    </row>
    <row r="159" spans="1:53" ht="18.75" customHeight="1" x14ac:dyDescent="0.3">
      <c r="A159" s="181"/>
      <c r="C159" s="158"/>
      <c r="D159" s="24"/>
      <c r="E159" s="268"/>
      <c r="F159" s="268"/>
      <c r="G159" s="268"/>
      <c r="H159" s="43"/>
      <c r="I159" s="130"/>
      <c r="J159" s="130"/>
      <c r="K159" s="130"/>
      <c r="L159" s="130"/>
      <c r="M159" s="130"/>
      <c r="N159" s="126"/>
      <c r="O159" s="204"/>
      <c r="P159" s="126"/>
      <c r="Q159" s="124"/>
      <c r="R159" s="192"/>
      <c r="S159" s="126"/>
      <c r="T159" s="200"/>
      <c r="U159" s="200"/>
      <c r="V159" s="200"/>
      <c r="W159" s="200"/>
      <c r="X159" s="200"/>
      <c r="Y159" s="200"/>
      <c r="Z159" s="192" t="str">
        <f ca="1">IF(Flag_Send_Data=1,_xll.DBSW(PL_Saisie_Estime2!Z159,Server&amp;Cube1,PL_Saisie_Estime2!$F$17,PL_Saisie_Estime2!$F$18,PL_Saisie_Estime2!$F$19,PL_Saisie_Estime2!$F$16,PL_Saisie_Estime2!$C$14,PL_Saisie_Estime2!$F$15,PL_Saisie_Estime2!$F$14,PL_Saisie_Estime2!$F$20,PL_Saisie_Estime2!Z$2,PL_Saisie_Estime2!Z$1,PL_Saisie_Estime2!$C159),"")</f>
        <v/>
      </c>
      <c r="AA159" s="192" t="str">
        <f ca="1">IF(Flag_Send_Data=1,_xll.DBSW(PL_Saisie_Estime2!AA159,Server&amp;Cube1,PL_Saisie_Estime2!$F$17,PL_Saisie_Estime2!$F$18,PL_Saisie_Estime2!$F$19,PL_Saisie_Estime2!$F$16,PL_Saisie_Estime2!$C$14,PL_Saisie_Estime2!$F$15,PL_Saisie_Estime2!$F$14,PL_Saisie_Estime2!$F$20,PL_Saisie_Estime2!AA$2,PL_Saisie_Estime2!AA$1,PL_Saisie_Estime2!$C159),"")</f>
        <v/>
      </c>
      <c r="AB159" s="192" t="str">
        <f ca="1">IF(Flag_Send_Data=1,_xll.DBSW(PL_Saisie_Estime2!AB159,Server&amp;Cube1,PL_Saisie_Estime2!$F$17,PL_Saisie_Estime2!$F$18,PL_Saisie_Estime2!$F$19,PL_Saisie_Estime2!$F$16,PL_Saisie_Estime2!$C$14,PL_Saisie_Estime2!$F$15,PL_Saisie_Estime2!$F$14,PL_Saisie_Estime2!$F$20,PL_Saisie_Estime2!AB$2,PL_Saisie_Estime2!AB$1,PL_Saisie_Estime2!$C159),"")</f>
        <v/>
      </c>
      <c r="AC159" s="192" t="str">
        <f ca="1">IF(Flag_Send_Data=1,_xll.DBSW(PL_Saisie_Estime2!AC159,Server&amp;Cube1,PL_Saisie_Estime2!$F$17,PL_Saisie_Estime2!$F$18,PL_Saisie_Estime2!$F$19,PL_Saisie_Estime2!$F$16,PL_Saisie_Estime2!$C$14,PL_Saisie_Estime2!$F$15,PL_Saisie_Estime2!$F$14,PL_Saisie_Estime2!$F$20,PL_Saisie_Estime2!AC$2,PL_Saisie_Estime2!AC$1,PL_Saisie_Estime2!$C159),"")</f>
        <v/>
      </c>
      <c r="AD159" s="192" t="str">
        <f ca="1">IF(Flag_Send_Data=1,_xll.DBSW(PL_Saisie_Estime2!AD159,Server&amp;Cube1,PL_Saisie_Estime2!$F$17,PL_Saisie_Estime2!$F$18,PL_Saisie_Estime2!$F$19,PL_Saisie_Estime2!$F$16,PL_Saisie_Estime2!$C$14,PL_Saisie_Estime2!$F$15,PL_Saisie_Estime2!$F$14,PL_Saisie_Estime2!$F$20,PL_Saisie_Estime2!AD$2,PL_Saisie_Estime2!AD$1,PL_Saisie_Estime2!$C159),"")</f>
        <v/>
      </c>
      <c r="AE159" s="192" t="str">
        <f ca="1">IF(Flag_Send_Data=1,_xll.DBSW(PL_Saisie_Estime2!AE159,Server&amp;Cube1,PL_Saisie_Estime2!$F$17,PL_Saisie_Estime2!$F$18,PL_Saisie_Estime2!$F$19,PL_Saisie_Estime2!$F$16,PL_Saisie_Estime2!$C$14,PL_Saisie_Estime2!$F$15,PL_Saisie_Estime2!$F$14,PL_Saisie_Estime2!$F$20,PL_Saisie_Estime2!AE$2,PL_Saisie_Estime2!AE$1,PL_Saisie_Estime2!$C159),"")</f>
        <v/>
      </c>
      <c r="AF159" s="204"/>
      <c r="AP159" s="1"/>
    </row>
    <row r="160" spans="1:53" ht="18.75" customHeight="1" x14ac:dyDescent="0.3">
      <c r="A160" s="181"/>
      <c r="C160" s="158"/>
      <c r="D160" s="24"/>
      <c r="E160" s="268"/>
      <c r="F160" s="268"/>
      <c r="G160" s="268"/>
      <c r="H160" s="43"/>
      <c r="I160" s="130"/>
      <c r="J160" s="130"/>
      <c r="K160" s="130"/>
      <c r="L160" s="130"/>
      <c r="M160" s="130"/>
      <c r="N160" s="126"/>
      <c r="O160" s="204"/>
      <c r="P160" s="126"/>
      <c r="Q160" s="124"/>
      <c r="R160" s="192"/>
      <c r="S160" s="126"/>
      <c r="T160" s="200"/>
      <c r="U160" s="200"/>
      <c r="V160" s="200"/>
      <c r="W160" s="200"/>
      <c r="X160" s="200"/>
      <c r="Y160" s="200"/>
      <c r="Z160" s="192" t="str">
        <f ca="1">IF(Flag_Send_Data=1,_xll.DBSW(PL_Saisie_Estime2!Z160,Server&amp;Cube1,PL_Saisie_Estime2!$F$17,PL_Saisie_Estime2!$F$18,PL_Saisie_Estime2!$F$19,PL_Saisie_Estime2!$F$16,PL_Saisie_Estime2!$C$14,PL_Saisie_Estime2!$F$15,PL_Saisie_Estime2!$F$14,PL_Saisie_Estime2!$F$20,PL_Saisie_Estime2!Z$2,PL_Saisie_Estime2!Z$1,PL_Saisie_Estime2!$C160),"")</f>
        <v/>
      </c>
      <c r="AA160" s="192" t="str">
        <f ca="1">IF(Flag_Send_Data=1,_xll.DBSW(PL_Saisie_Estime2!AA160,Server&amp;Cube1,PL_Saisie_Estime2!$F$17,PL_Saisie_Estime2!$F$18,PL_Saisie_Estime2!$F$19,PL_Saisie_Estime2!$F$16,PL_Saisie_Estime2!$C$14,PL_Saisie_Estime2!$F$15,PL_Saisie_Estime2!$F$14,PL_Saisie_Estime2!$F$20,PL_Saisie_Estime2!AA$2,PL_Saisie_Estime2!AA$1,PL_Saisie_Estime2!$C160),"")</f>
        <v/>
      </c>
      <c r="AB160" s="192" t="str">
        <f ca="1">IF(Flag_Send_Data=1,_xll.DBSW(PL_Saisie_Estime2!AB160,Server&amp;Cube1,PL_Saisie_Estime2!$F$17,PL_Saisie_Estime2!$F$18,PL_Saisie_Estime2!$F$19,PL_Saisie_Estime2!$F$16,PL_Saisie_Estime2!$C$14,PL_Saisie_Estime2!$F$15,PL_Saisie_Estime2!$F$14,PL_Saisie_Estime2!$F$20,PL_Saisie_Estime2!AB$2,PL_Saisie_Estime2!AB$1,PL_Saisie_Estime2!$C160),"")</f>
        <v/>
      </c>
      <c r="AC160" s="192" t="str">
        <f ca="1">IF(Flag_Send_Data=1,_xll.DBSW(PL_Saisie_Estime2!AC160,Server&amp;Cube1,PL_Saisie_Estime2!$F$17,PL_Saisie_Estime2!$F$18,PL_Saisie_Estime2!$F$19,PL_Saisie_Estime2!$F$16,PL_Saisie_Estime2!$C$14,PL_Saisie_Estime2!$F$15,PL_Saisie_Estime2!$F$14,PL_Saisie_Estime2!$F$20,PL_Saisie_Estime2!AC$2,PL_Saisie_Estime2!AC$1,PL_Saisie_Estime2!$C160),"")</f>
        <v/>
      </c>
      <c r="AD160" s="192" t="str">
        <f ca="1">IF(Flag_Send_Data=1,_xll.DBSW(PL_Saisie_Estime2!AD160,Server&amp;Cube1,PL_Saisie_Estime2!$F$17,PL_Saisie_Estime2!$F$18,PL_Saisie_Estime2!$F$19,PL_Saisie_Estime2!$F$16,PL_Saisie_Estime2!$C$14,PL_Saisie_Estime2!$F$15,PL_Saisie_Estime2!$F$14,PL_Saisie_Estime2!$F$20,PL_Saisie_Estime2!AD$2,PL_Saisie_Estime2!AD$1,PL_Saisie_Estime2!$C160),"")</f>
        <v/>
      </c>
      <c r="AE160" s="192" t="str">
        <f ca="1">IF(Flag_Send_Data=1,_xll.DBSW(PL_Saisie_Estime2!AE160,Server&amp;Cube1,PL_Saisie_Estime2!$F$17,PL_Saisie_Estime2!$F$18,PL_Saisie_Estime2!$F$19,PL_Saisie_Estime2!$F$16,PL_Saisie_Estime2!$C$14,PL_Saisie_Estime2!$F$15,PL_Saisie_Estime2!$F$14,PL_Saisie_Estime2!$F$20,PL_Saisie_Estime2!AE$2,PL_Saisie_Estime2!AE$1,PL_Saisie_Estime2!$C160),"")</f>
        <v/>
      </c>
      <c r="AF160" s="204"/>
      <c r="AP160" s="1"/>
    </row>
    <row r="161" spans="1:53" ht="18.75" customHeight="1" x14ac:dyDescent="0.3">
      <c r="A161" s="181"/>
      <c r="C161" s="158"/>
      <c r="D161" s="24"/>
      <c r="E161" s="268"/>
      <c r="F161" s="268"/>
      <c r="G161" s="268"/>
      <c r="H161" s="43"/>
      <c r="I161" s="130"/>
      <c r="J161" s="130"/>
      <c r="K161" s="130"/>
      <c r="L161" s="130"/>
      <c r="M161" s="130"/>
      <c r="N161" s="126"/>
      <c r="O161" s="204"/>
      <c r="P161" s="126"/>
      <c r="Q161" s="124"/>
      <c r="R161" s="192"/>
      <c r="S161" s="126"/>
      <c r="T161" s="200"/>
      <c r="U161" s="200"/>
      <c r="V161" s="200"/>
      <c r="W161" s="200"/>
      <c r="X161" s="200"/>
      <c r="Y161" s="200"/>
      <c r="Z161" s="192" t="str">
        <f ca="1">IF(Flag_Send_Data=1,_xll.DBSW(PL_Saisie_Estime2!Z161,Server&amp;Cube1,PL_Saisie_Estime2!$F$17,PL_Saisie_Estime2!$F$18,PL_Saisie_Estime2!$F$19,PL_Saisie_Estime2!$F$16,PL_Saisie_Estime2!$C$14,PL_Saisie_Estime2!$F$15,PL_Saisie_Estime2!$F$14,PL_Saisie_Estime2!$F$20,PL_Saisie_Estime2!Z$2,PL_Saisie_Estime2!Z$1,PL_Saisie_Estime2!$C161),"")</f>
        <v/>
      </c>
      <c r="AA161" s="192" t="str">
        <f ca="1">IF(Flag_Send_Data=1,_xll.DBSW(PL_Saisie_Estime2!AA161,Server&amp;Cube1,PL_Saisie_Estime2!$F$17,PL_Saisie_Estime2!$F$18,PL_Saisie_Estime2!$F$19,PL_Saisie_Estime2!$F$16,PL_Saisie_Estime2!$C$14,PL_Saisie_Estime2!$F$15,PL_Saisie_Estime2!$F$14,PL_Saisie_Estime2!$F$20,PL_Saisie_Estime2!AA$2,PL_Saisie_Estime2!AA$1,PL_Saisie_Estime2!$C161),"")</f>
        <v/>
      </c>
      <c r="AB161" s="192" t="str">
        <f ca="1">IF(Flag_Send_Data=1,_xll.DBSW(PL_Saisie_Estime2!AB161,Server&amp;Cube1,PL_Saisie_Estime2!$F$17,PL_Saisie_Estime2!$F$18,PL_Saisie_Estime2!$F$19,PL_Saisie_Estime2!$F$16,PL_Saisie_Estime2!$C$14,PL_Saisie_Estime2!$F$15,PL_Saisie_Estime2!$F$14,PL_Saisie_Estime2!$F$20,PL_Saisie_Estime2!AB$2,PL_Saisie_Estime2!AB$1,PL_Saisie_Estime2!$C161),"")</f>
        <v/>
      </c>
      <c r="AC161" s="192" t="str">
        <f ca="1">IF(Flag_Send_Data=1,_xll.DBSW(PL_Saisie_Estime2!AC161,Server&amp;Cube1,PL_Saisie_Estime2!$F$17,PL_Saisie_Estime2!$F$18,PL_Saisie_Estime2!$F$19,PL_Saisie_Estime2!$F$16,PL_Saisie_Estime2!$C$14,PL_Saisie_Estime2!$F$15,PL_Saisie_Estime2!$F$14,PL_Saisie_Estime2!$F$20,PL_Saisie_Estime2!AC$2,PL_Saisie_Estime2!AC$1,PL_Saisie_Estime2!$C161),"")</f>
        <v/>
      </c>
      <c r="AD161" s="192" t="str">
        <f ca="1">IF(Flag_Send_Data=1,_xll.DBSW(PL_Saisie_Estime2!AD161,Server&amp;Cube1,PL_Saisie_Estime2!$F$17,PL_Saisie_Estime2!$F$18,PL_Saisie_Estime2!$F$19,PL_Saisie_Estime2!$F$16,PL_Saisie_Estime2!$C$14,PL_Saisie_Estime2!$F$15,PL_Saisie_Estime2!$F$14,PL_Saisie_Estime2!$F$20,PL_Saisie_Estime2!AD$2,PL_Saisie_Estime2!AD$1,PL_Saisie_Estime2!$C161),"")</f>
        <v/>
      </c>
      <c r="AE161" s="192" t="str">
        <f ca="1">IF(Flag_Send_Data=1,_xll.DBSW(PL_Saisie_Estime2!AE161,Server&amp;Cube1,PL_Saisie_Estime2!$F$17,PL_Saisie_Estime2!$F$18,PL_Saisie_Estime2!$F$19,PL_Saisie_Estime2!$F$16,PL_Saisie_Estime2!$C$14,PL_Saisie_Estime2!$F$15,PL_Saisie_Estime2!$F$14,PL_Saisie_Estime2!$F$20,PL_Saisie_Estime2!AE$2,PL_Saisie_Estime2!AE$1,PL_Saisie_Estime2!$C161),"")</f>
        <v/>
      </c>
      <c r="AF161" s="204"/>
      <c r="AP161" s="1"/>
    </row>
    <row r="162" spans="1:53" s="9" customFormat="1" ht="24.95" customHeight="1" collapsed="1" x14ac:dyDescent="0.35">
      <c r="A162" s="181"/>
      <c r="B162" s="163"/>
      <c r="C162" s="117"/>
      <c r="E162" s="270"/>
      <c r="F162" s="270"/>
      <c r="G162" s="270"/>
      <c r="H162" s="40"/>
      <c r="I162" s="130"/>
      <c r="J162" s="130"/>
      <c r="K162" s="130"/>
      <c r="L162" s="130"/>
      <c r="M162" s="130"/>
      <c r="N162" s="125"/>
      <c r="O162" s="125"/>
      <c r="P162" s="125"/>
      <c r="Q162" s="124"/>
      <c r="R162" s="125"/>
      <c r="S162" s="125"/>
      <c r="T162" s="201"/>
      <c r="U162" s="201"/>
      <c r="V162" s="201"/>
      <c r="W162" s="201"/>
      <c r="X162" s="125"/>
      <c r="Y162" s="125"/>
      <c r="Z162" s="125"/>
      <c r="AA162" s="125"/>
      <c r="AB162" s="125"/>
      <c r="AC162" s="125"/>
      <c r="AD162" s="125"/>
      <c r="AE162" s="125"/>
      <c r="AF162" s="125"/>
      <c r="AG162" s="53"/>
      <c r="AH162" s="53"/>
      <c r="AI162" s="53"/>
      <c r="AJ162" s="53"/>
      <c r="AK162" s="53"/>
      <c r="AL162" s="53"/>
      <c r="AM162" s="53"/>
      <c r="AN162" s="53"/>
      <c r="AO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1:53" s="9" customFormat="1" ht="24.95" customHeight="1" x14ac:dyDescent="0.35">
      <c r="A163" s="181"/>
      <c r="B163" s="163"/>
      <c r="C163" s="158"/>
      <c r="E163" s="268"/>
      <c r="F163" s="268"/>
      <c r="G163" s="268"/>
      <c r="H163" s="40"/>
      <c r="I163" s="130"/>
      <c r="J163" s="130"/>
      <c r="K163" s="130"/>
      <c r="L163" s="130"/>
      <c r="M163" s="130"/>
      <c r="N163" s="126"/>
      <c r="O163" s="204"/>
      <c r="P163" s="126"/>
      <c r="Q163" s="124"/>
      <c r="R163" s="192"/>
      <c r="S163" s="126"/>
      <c r="T163" s="200"/>
      <c r="U163" s="200"/>
      <c r="V163" s="200"/>
      <c r="W163" s="200"/>
      <c r="X163" s="200"/>
      <c r="Y163" s="200"/>
      <c r="Z163" s="192" t="str">
        <f ca="1">IF(Flag_Send_Data=1,_xll.DBSW(PL_Saisie_Estime2!Z163,Server&amp;Cube1,PL_Saisie_Estime2!$F$17,PL_Saisie_Estime2!$F$18,PL_Saisie_Estime2!$F$19,PL_Saisie_Estime2!$F$16,PL_Saisie_Estime2!$C$14,PL_Saisie_Estime2!$F$15,PL_Saisie_Estime2!$F$14,PL_Saisie_Estime2!$F$20,PL_Saisie_Estime2!Z$2,PL_Saisie_Estime2!Z$1,PL_Saisie_Estime2!$C163),"")</f>
        <v/>
      </c>
      <c r="AA163" s="192" t="str">
        <f ca="1">IF(Flag_Send_Data=1,_xll.DBSW(PL_Saisie_Estime2!AA163,Server&amp;Cube1,PL_Saisie_Estime2!$F$17,PL_Saisie_Estime2!$F$18,PL_Saisie_Estime2!$F$19,PL_Saisie_Estime2!$F$16,PL_Saisie_Estime2!$C$14,PL_Saisie_Estime2!$F$15,PL_Saisie_Estime2!$F$14,PL_Saisie_Estime2!$F$20,PL_Saisie_Estime2!AA$2,PL_Saisie_Estime2!AA$1,PL_Saisie_Estime2!$C163),"")</f>
        <v/>
      </c>
      <c r="AB163" s="192" t="str">
        <f ca="1">IF(Flag_Send_Data=1,_xll.DBSW(PL_Saisie_Estime2!AB163,Server&amp;Cube1,PL_Saisie_Estime2!$F$17,PL_Saisie_Estime2!$F$18,PL_Saisie_Estime2!$F$19,PL_Saisie_Estime2!$F$16,PL_Saisie_Estime2!$C$14,PL_Saisie_Estime2!$F$15,PL_Saisie_Estime2!$F$14,PL_Saisie_Estime2!$F$20,PL_Saisie_Estime2!AB$2,PL_Saisie_Estime2!AB$1,PL_Saisie_Estime2!$C163),"")</f>
        <v/>
      </c>
      <c r="AC163" s="192" t="str">
        <f ca="1">IF(Flag_Send_Data=1,_xll.DBSW(PL_Saisie_Estime2!AC163,Server&amp;Cube1,PL_Saisie_Estime2!$F$17,PL_Saisie_Estime2!$F$18,PL_Saisie_Estime2!$F$19,PL_Saisie_Estime2!$F$16,PL_Saisie_Estime2!$C$14,PL_Saisie_Estime2!$F$15,PL_Saisie_Estime2!$F$14,PL_Saisie_Estime2!$F$20,PL_Saisie_Estime2!AC$2,PL_Saisie_Estime2!AC$1,PL_Saisie_Estime2!$C163),"")</f>
        <v/>
      </c>
      <c r="AD163" s="192" t="str">
        <f ca="1">IF(Flag_Send_Data=1,_xll.DBSW(PL_Saisie_Estime2!AD163,Server&amp;Cube1,PL_Saisie_Estime2!$F$17,PL_Saisie_Estime2!$F$18,PL_Saisie_Estime2!$F$19,PL_Saisie_Estime2!$F$16,PL_Saisie_Estime2!$C$14,PL_Saisie_Estime2!$F$15,PL_Saisie_Estime2!$F$14,PL_Saisie_Estime2!$F$20,PL_Saisie_Estime2!AD$2,PL_Saisie_Estime2!AD$1,PL_Saisie_Estime2!$C163),"")</f>
        <v/>
      </c>
      <c r="AE163" s="192" t="str">
        <f ca="1">IF(Flag_Send_Data=1,_xll.DBSW(PL_Saisie_Estime2!AE163,Server&amp;Cube1,PL_Saisie_Estime2!$F$17,PL_Saisie_Estime2!$F$18,PL_Saisie_Estime2!$F$19,PL_Saisie_Estime2!$F$16,PL_Saisie_Estime2!$C$14,PL_Saisie_Estime2!$F$15,PL_Saisie_Estime2!$F$14,PL_Saisie_Estime2!$F$20,PL_Saisie_Estime2!AE$2,PL_Saisie_Estime2!AE$1,PL_Saisie_Estime2!$C163),"")</f>
        <v/>
      </c>
      <c r="AF163" s="204"/>
      <c r="AG163" s="53"/>
      <c r="AH163" s="53"/>
      <c r="AI163" s="53"/>
      <c r="AJ163" s="53"/>
      <c r="AK163" s="53"/>
      <c r="AL163" s="53"/>
      <c r="AM163" s="53"/>
      <c r="AN163" s="53"/>
      <c r="AO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1:53" s="9" customFormat="1" ht="24.95" customHeight="1" x14ac:dyDescent="0.35">
      <c r="A164" s="181"/>
      <c r="B164" s="163"/>
      <c r="C164" s="158"/>
      <c r="E164" s="268"/>
      <c r="F164" s="268"/>
      <c r="G164" s="268"/>
      <c r="H164" s="40"/>
      <c r="I164" s="130"/>
      <c r="J164" s="130"/>
      <c r="K164" s="130"/>
      <c r="L164" s="130"/>
      <c r="M164" s="130"/>
      <c r="N164" s="126"/>
      <c r="O164" s="204"/>
      <c r="P164" s="126"/>
      <c r="Q164" s="124"/>
      <c r="R164" s="192"/>
      <c r="S164" s="126"/>
      <c r="T164" s="200"/>
      <c r="U164" s="200"/>
      <c r="V164" s="200"/>
      <c r="W164" s="200"/>
      <c r="X164" s="200"/>
      <c r="Y164" s="200"/>
      <c r="Z164" s="192" t="str">
        <f ca="1">IF(Flag_Send_Data=1,_xll.DBSW(PL_Saisie_Estime2!Z164,Server&amp;Cube1,PL_Saisie_Estime2!$F$17,PL_Saisie_Estime2!$F$18,PL_Saisie_Estime2!$F$19,PL_Saisie_Estime2!$F$16,PL_Saisie_Estime2!$C$14,PL_Saisie_Estime2!$F$15,PL_Saisie_Estime2!$F$14,PL_Saisie_Estime2!$F$20,PL_Saisie_Estime2!Z$2,PL_Saisie_Estime2!Z$1,PL_Saisie_Estime2!$C164),"")</f>
        <v/>
      </c>
      <c r="AA164" s="192" t="str">
        <f ca="1">IF(Flag_Send_Data=1,_xll.DBSW(PL_Saisie_Estime2!AA164,Server&amp;Cube1,PL_Saisie_Estime2!$F$17,PL_Saisie_Estime2!$F$18,PL_Saisie_Estime2!$F$19,PL_Saisie_Estime2!$F$16,PL_Saisie_Estime2!$C$14,PL_Saisie_Estime2!$F$15,PL_Saisie_Estime2!$F$14,PL_Saisie_Estime2!$F$20,PL_Saisie_Estime2!AA$2,PL_Saisie_Estime2!AA$1,PL_Saisie_Estime2!$C164),"")</f>
        <v/>
      </c>
      <c r="AB164" s="192" t="str">
        <f ca="1">IF(Flag_Send_Data=1,_xll.DBSW(PL_Saisie_Estime2!AB164,Server&amp;Cube1,PL_Saisie_Estime2!$F$17,PL_Saisie_Estime2!$F$18,PL_Saisie_Estime2!$F$19,PL_Saisie_Estime2!$F$16,PL_Saisie_Estime2!$C$14,PL_Saisie_Estime2!$F$15,PL_Saisie_Estime2!$F$14,PL_Saisie_Estime2!$F$20,PL_Saisie_Estime2!AB$2,PL_Saisie_Estime2!AB$1,PL_Saisie_Estime2!$C164),"")</f>
        <v/>
      </c>
      <c r="AC164" s="192" t="str">
        <f ca="1">IF(Flag_Send_Data=1,_xll.DBSW(PL_Saisie_Estime2!AC164,Server&amp;Cube1,PL_Saisie_Estime2!$F$17,PL_Saisie_Estime2!$F$18,PL_Saisie_Estime2!$F$19,PL_Saisie_Estime2!$F$16,PL_Saisie_Estime2!$C$14,PL_Saisie_Estime2!$F$15,PL_Saisie_Estime2!$F$14,PL_Saisie_Estime2!$F$20,PL_Saisie_Estime2!AC$2,PL_Saisie_Estime2!AC$1,PL_Saisie_Estime2!$C164),"")</f>
        <v/>
      </c>
      <c r="AD164" s="192" t="str">
        <f ca="1">IF(Flag_Send_Data=1,_xll.DBSW(PL_Saisie_Estime2!AD164,Server&amp;Cube1,PL_Saisie_Estime2!$F$17,PL_Saisie_Estime2!$F$18,PL_Saisie_Estime2!$F$19,PL_Saisie_Estime2!$F$16,PL_Saisie_Estime2!$C$14,PL_Saisie_Estime2!$F$15,PL_Saisie_Estime2!$F$14,PL_Saisie_Estime2!$F$20,PL_Saisie_Estime2!AD$2,PL_Saisie_Estime2!AD$1,PL_Saisie_Estime2!$C164),"")</f>
        <v/>
      </c>
      <c r="AE164" s="192" t="str">
        <f ca="1">IF(Flag_Send_Data=1,_xll.DBSW(PL_Saisie_Estime2!AE164,Server&amp;Cube1,PL_Saisie_Estime2!$F$17,PL_Saisie_Estime2!$F$18,PL_Saisie_Estime2!$F$19,PL_Saisie_Estime2!$F$16,PL_Saisie_Estime2!$C$14,PL_Saisie_Estime2!$F$15,PL_Saisie_Estime2!$F$14,PL_Saisie_Estime2!$F$20,PL_Saisie_Estime2!AE$2,PL_Saisie_Estime2!AE$1,PL_Saisie_Estime2!$C164),"")</f>
        <v/>
      </c>
      <c r="AF164" s="204"/>
      <c r="AG164" s="53"/>
      <c r="AH164" s="53"/>
      <c r="AI164" s="53"/>
      <c r="AJ164" s="53"/>
      <c r="AK164" s="53"/>
      <c r="AL164" s="53"/>
      <c r="AM164" s="53"/>
      <c r="AN164" s="53"/>
      <c r="AO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1:53" s="9" customFormat="1" ht="24.95" customHeight="1" x14ac:dyDescent="0.35">
      <c r="A165" s="181"/>
      <c r="B165" s="163"/>
      <c r="C165" s="158"/>
      <c r="E165" s="268"/>
      <c r="F165" s="268"/>
      <c r="G165" s="268"/>
      <c r="H165" s="40"/>
      <c r="I165" s="130"/>
      <c r="J165" s="130"/>
      <c r="K165" s="130"/>
      <c r="L165" s="130"/>
      <c r="M165" s="130"/>
      <c r="N165" s="126"/>
      <c r="O165" s="204"/>
      <c r="P165" s="126"/>
      <c r="Q165" s="124"/>
      <c r="R165" s="192"/>
      <c r="S165" s="126"/>
      <c r="T165" s="200"/>
      <c r="U165" s="200"/>
      <c r="V165" s="200"/>
      <c r="W165" s="200"/>
      <c r="X165" s="200"/>
      <c r="Y165" s="200"/>
      <c r="Z165" s="192" t="str">
        <f ca="1">IF(Flag_Send_Data=1,_xll.DBSW(PL_Saisie_Estime2!Z165,Server&amp;Cube1,PL_Saisie_Estime2!$F$17,PL_Saisie_Estime2!$F$18,PL_Saisie_Estime2!$F$19,PL_Saisie_Estime2!$F$16,PL_Saisie_Estime2!$C$14,PL_Saisie_Estime2!$F$15,PL_Saisie_Estime2!$F$14,PL_Saisie_Estime2!$F$20,PL_Saisie_Estime2!Z$2,PL_Saisie_Estime2!Z$1,PL_Saisie_Estime2!$C165),"")</f>
        <v/>
      </c>
      <c r="AA165" s="192" t="str">
        <f ca="1">IF(Flag_Send_Data=1,_xll.DBSW(PL_Saisie_Estime2!AA165,Server&amp;Cube1,PL_Saisie_Estime2!$F$17,PL_Saisie_Estime2!$F$18,PL_Saisie_Estime2!$F$19,PL_Saisie_Estime2!$F$16,PL_Saisie_Estime2!$C$14,PL_Saisie_Estime2!$F$15,PL_Saisie_Estime2!$F$14,PL_Saisie_Estime2!$F$20,PL_Saisie_Estime2!AA$2,PL_Saisie_Estime2!AA$1,PL_Saisie_Estime2!$C165),"")</f>
        <v/>
      </c>
      <c r="AB165" s="192" t="str">
        <f ca="1">IF(Flag_Send_Data=1,_xll.DBSW(PL_Saisie_Estime2!AB165,Server&amp;Cube1,PL_Saisie_Estime2!$F$17,PL_Saisie_Estime2!$F$18,PL_Saisie_Estime2!$F$19,PL_Saisie_Estime2!$F$16,PL_Saisie_Estime2!$C$14,PL_Saisie_Estime2!$F$15,PL_Saisie_Estime2!$F$14,PL_Saisie_Estime2!$F$20,PL_Saisie_Estime2!AB$2,PL_Saisie_Estime2!AB$1,PL_Saisie_Estime2!$C165),"")</f>
        <v/>
      </c>
      <c r="AC165" s="192" t="str">
        <f ca="1">IF(Flag_Send_Data=1,_xll.DBSW(PL_Saisie_Estime2!AC165,Server&amp;Cube1,PL_Saisie_Estime2!$F$17,PL_Saisie_Estime2!$F$18,PL_Saisie_Estime2!$F$19,PL_Saisie_Estime2!$F$16,PL_Saisie_Estime2!$C$14,PL_Saisie_Estime2!$F$15,PL_Saisie_Estime2!$F$14,PL_Saisie_Estime2!$F$20,PL_Saisie_Estime2!AC$2,PL_Saisie_Estime2!AC$1,PL_Saisie_Estime2!$C165),"")</f>
        <v/>
      </c>
      <c r="AD165" s="192" t="str">
        <f ca="1">IF(Flag_Send_Data=1,_xll.DBSW(PL_Saisie_Estime2!AD165,Server&amp;Cube1,PL_Saisie_Estime2!$F$17,PL_Saisie_Estime2!$F$18,PL_Saisie_Estime2!$F$19,PL_Saisie_Estime2!$F$16,PL_Saisie_Estime2!$C$14,PL_Saisie_Estime2!$F$15,PL_Saisie_Estime2!$F$14,PL_Saisie_Estime2!$F$20,PL_Saisie_Estime2!AD$2,PL_Saisie_Estime2!AD$1,PL_Saisie_Estime2!$C165),"")</f>
        <v/>
      </c>
      <c r="AE165" s="192" t="str">
        <f ca="1">IF(Flag_Send_Data=1,_xll.DBSW(PL_Saisie_Estime2!AE165,Server&amp;Cube1,PL_Saisie_Estime2!$F$17,PL_Saisie_Estime2!$F$18,PL_Saisie_Estime2!$F$19,PL_Saisie_Estime2!$F$16,PL_Saisie_Estime2!$C$14,PL_Saisie_Estime2!$F$15,PL_Saisie_Estime2!$F$14,PL_Saisie_Estime2!$F$20,PL_Saisie_Estime2!AE$2,PL_Saisie_Estime2!AE$1,PL_Saisie_Estime2!$C165),"")</f>
        <v/>
      </c>
      <c r="AF165" s="204"/>
      <c r="AG165" s="53"/>
      <c r="AH165" s="53"/>
      <c r="AI165" s="53"/>
      <c r="AJ165" s="53"/>
      <c r="AK165" s="53"/>
      <c r="AL165" s="53"/>
      <c r="AM165" s="53"/>
      <c r="AN165" s="53"/>
      <c r="AO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1:53" s="9" customFormat="1" ht="24.95" customHeight="1" x14ac:dyDescent="0.35">
      <c r="A166" s="181"/>
      <c r="B166" s="163"/>
      <c r="C166" s="158"/>
      <c r="E166" s="268"/>
      <c r="F166" s="268"/>
      <c r="G166" s="268"/>
      <c r="H166" s="40"/>
      <c r="I166" s="130"/>
      <c r="J166" s="130"/>
      <c r="K166" s="130"/>
      <c r="L166" s="130"/>
      <c r="M166" s="130"/>
      <c r="N166" s="126"/>
      <c r="O166" s="204"/>
      <c r="P166" s="126"/>
      <c r="Q166" s="124"/>
      <c r="R166" s="192"/>
      <c r="S166" s="126"/>
      <c r="T166" s="200"/>
      <c r="U166" s="200"/>
      <c r="V166" s="200"/>
      <c r="W166" s="200"/>
      <c r="X166" s="200"/>
      <c r="Y166" s="200"/>
      <c r="Z166" s="192" t="str">
        <f ca="1">IF(Flag_Send_Data=1,_xll.DBSW(PL_Saisie_Estime2!Z166,Server&amp;Cube1,PL_Saisie_Estime2!$F$17,PL_Saisie_Estime2!$F$18,PL_Saisie_Estime2!$F$19,PL_Saisie_Estime2!$F$16,PL_Saisie_Estime2!$C$14,PL_Saisie_Estime2!$F$15,PL_Saisie_Estime2!$F$14,PL_Saisie_Estime2!$F$20,PL_Saisie_Estime2!Z$2,PL_Saisie_Estime2!Z$1,PL_Saisie_Estime2!$C166),"")</f>
        <v/>
      </c>
      <c r="AA166" s="192" t="str">
        <f ca="1">IF(Flag_Send_Data=1,_xll.DBSW(PL_Saisie_Estime2!AA166,Server&amp;Cube1,PL_Saisie_Estime2!$F$17,PL_Saisie_Estime2!$F$18,PL_Saisie_Estime2!$F$19,PL_Saisie_Estime2!$F$16,PL_Saisie_Estime2!$C$14,PL_Saisie_Estime2!$F$15,PL_Saisie_Estime2!$F$14,PL_Saisie_Estime2!$F$20,PL_Saisie_Estime2!AA$2,PL_Saisie_Estime2!AA$1,PL_Saisie_Estime2!$C166),"")</f>
        <v/>
      </c>
      <c r="AB166" s="192" t="str">
        <f ca="1">IF(Flag_Send_Data=1,_xll.DBSW(PL_Saisie_Estime2!AB166,Server&amp;Cube1,PL_Saisie_Estime2!$F$17,PL_Saisie_Estime2!$F$18,PL_Saisie_Estime2!$F$19,PL_Saisie_Estime2!$F$16,PL_Saisie_Estime2!$C$14,PL_Saisie_Estime2!$F$15,PL_Saisie_Estime2!$F$14,PL_Saisie_Estime2!$F$20,PL_Saisie_Estime2!AB$2,PL_Saisie_Estime2!AB$1,PL_Saisie_Estime2!$C166),"")</f>
        <v/>
      </c>
      <c r="AC166" s="192" t="str">
        <f ca="1">IF(Flag_Send_Data=1,_xll.DBSW(PL_Saisie_Estime2!AC166,Server&amp;Cube1,PL_Saisie_Estime2!$F$17,PL_Saisie_Estime2!$F$18,PL_Saisie_Estime2!$F$19,PL_Saisie_Estime2!$F$16,PL_Saisie_Estime2!$C$14,PL_Saisie_Estime2!$F$15,PL_Saisie_Estime2!$F$14,PL_Saisie_Estime2!$F$20,PL_Saisie_Estime2!AC$2,PL_Saisie_Estime2!AC$1,PL_Saisie_Estime2!$C166),"")</f>
        <v/>
      </c>
      <c r="AD166" s="192" t="str">
        <f ca="1">IF(Flag_Send_Data=1,_xll.DBSW(PL_Saisie_Estime2!AD166,Server&amp;Cube1,PL_Saisie_Estime2!$F$17,PL_Saisie_Estime2!$F$18,PL_Saisie_Estime2!$F$19,PL_Saisie_Estime2!$F$16,PL_Saisie_Estime2!$C$14,PL_Saisie_Estime2!$F$15,PL_Saisie_Estime2!$F$14,PL_Saisie_Estime2!$F$20,PL_Saisie_Estime2!AD$2,PL_Saisie_Estime2!AD$1,PL_Saisie_Estime2!$C166),"")</f>
        <v/>
      </c>
      <c r="AE166" s="192" t="str">
        <f ca="1">IF(Flag_Send_Data=1,_xll.DBSW(PL_Saisie_Estime2!AE166,Server&amp;Cube1,PL_Saisie_Estime2!$F$17,PL_Saisie_Estime2!$F$18,PL_Saisie_Estime2!$F$19,PL_Saisie_Estime2!$F$16,PL_Saisie_Estime2!$C$14,PL_Saisie_Estime2!$F$15,PL_Saisie_Estime2!$F$14,PL_Saisie_Estime2!$F$20,PL_Saisie_Estime2!AE$2,PL_Saisie_Estime2!AE$1,PL_Saisie_Estime2!$C166),"")</f>
        <v/>
      </c>
      <c r="AF166" s="204"/>
      <c r="AG166" s="53"/>
      <c r="AH166" s="53"/>
      <c r="AI166" s="53"/>
      <c r="AJ166" s="53"/>
      <c r="AK166" s="53"/>
      <c r="AL166" s="53"/>
      <c r="AM166" s="53"/>
      <c r="AN166" s="53"/>
      <c r="AO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1:53" s="9" customFormat="1" ht="24.95" customHeight="1" x14ac:dyDescent="0.35">
      <c r="A167" s="181"/>
      <c r="B167" s="163"/>
      <c r="C167" s="158"/>
      <c r="E167" s="268"/>
      <c r="F167" s="268"/>
      <c r="G167" s="268"/>
      <c r="H167" s="40"/>
      <c r="I167" s="130"/>
      <c r="J167" s="130"/>
      <c r="K167" s="130"/>
      <c r="L167" s="130"/>
      <c r="M167" s="130"/>
      <c r="N167" s="126"/>
      <c r="O167" s="204"/>
      <c r="P167" s="126"/>
      <c r="Q167" s="124"/>
      <c r="R167" s="192"/>
      <c r="S167" s="126"/>
      <c r="T167" s="200"/>
      <c r="U167" s="200"/>
      <c r="V167" s="200"/>
      <c r="W167" s="200"/>
      <c r="X167" s="200"/>
      <c r="Y167" s="200"/>
      <c r="Z167" s="192" t="str">
        <f ca="1">IF(Flag_Send_Data=1,_xll.DBSW(PL_Saisie_Estime2!Z167,Server&amp;Cube1,PL_Saisie_Estime2!$F$17,PL_Saisie_Estime2!$F$18,PL_Saisie_Estime2!$F$19,PL_Saisie_Estime2!$F$16,PL_Saisie_Estime2!$C$14,PL_Saisie_Estime2!$F$15,PL_Saisie_Estime2!$F$14,PL_Saisie_Estime2!$F$20,PL_Saisie_Estime2!Z$2,PL_Saisie_Estime2!Z$1,PL_Saisie_Estime2!$C167),"")</f>
        <v/>
      </c>
      <c r="AA167" s="192" t="str">
        <f ca="1">IF(Flag_Send_Data=1,_xll.DBSW(PL_Saisie_Estime2!AA167,Server&amp;Cube1,PL_Saisie_Estime2!$F$17,PL_Saisie_Estime2!$F$18,PL_Saisie_Estime2!$F$19,PL_Saisie_Estime2!$F$16,PL_Saisie_Estime2!$C$14,PL_Saisie_Estime2!$F$15,PL_Saisie_Estime2!$F$14,PL_Saisie_Estime2!$F$20,PL_Saisie_Estime2!AA$2,PL_Saisie_Estime2!AA$1,PL_Saisie_Estime2!$C167),"")</f>
        <v/>
      </c>
      <c r="AB167" s="192" t="str">
        <f ca="1">IF(Flag_Send_Data=1,_xll.DBSW(PL_Saisie_Estime2!AB167,Server&amp;Cube1,PL_Saisie_Estime2!$F$17,PL_Saisie_Estime2!$F$18,PL_Saisie_Estime2!$F$19,PL_Saisie_Estime2!$F$16,PL_Saisie_Estime2!$C$14,PL_Saisie_Estime2!$F$15,PL_Saisie_Estime2!$F$14,PL_Saisie_Estime2!$F$20,PL_Saisie_Estime2!AB$2,PL_Saisie_Estime2!AB$1,PL_Saisie_Estime2!$C167),"")</f>
        <v/>
      </c>
      <c r="AC167" s="192" t="str">
        <f ca="1">IF(Flag_Send_Data=1,_xll.DBSW(PL_Saisie_Estime2!AC167,Server&amp;Cube1,PL_Saisie_Estime2!$F$17,PL_Saisie_Estime2!$F$18,PL_Saisie_Estime2!$F$19,PL_Saisie_Estime2!$F$16,PL_Saisie_Estime2!$C$14,PL_Saisie_Estime2!$F$15,PL_Saisie_Estime2!$F$14,PL_Saisie_Estime2!$F$20,PL_Saisie_Estime2!AC$2,PL_Saisie_Estime2!AC$1,PL_Saisie_Estime2!$C167),"")</f>
        <v/>
      </c>
      <c r="AD167" s="192" t="str">
        <f ca="1">IF(Flag_Send_Data=1,_xll.DBSW(PL_Saisie_Estime2!AD167,Server&amp;Cube1,PL_Saisie_Estime2!$F$17,PL_Saisie_Estime2!$F$18,PL_Saisie_Estime2!$F$19,PL_Saisie_Estime2!$F$16,PL_Saisie_Estime2!$C$14,PL_Saisie_Estime2!$F$15,PL_Saisie_Estime2!$F$14,PL_Saisie_Estime2!$F$20,PL_Saisie_Estime2!AD$2,PL_Saisie_Estime2!AD$1,PL_Saisie_Estime2!$C167),"")</f>
        <v/>
      </c>
      <c r="AE167" s="192" t="str">
        <f ca="1">IF(Flag_Send_Data=1,_xll.DBSW(PL_Saisie_Estime2!AE167,Server&amp;Cube1,PL_Saisie_Estime2!$F$17,PL_Saisie_Estime2!$F$18,PL_Saisie_Estime2!$F$19,PL_Saisie_Estime2!$F$16,PL_Saisie_Estime2!$C$14,PL_Saisie_Estime2!$F$15,PL_Saisie_Estime2!$F$14,PL_Saisie_Estime2!$F$20,PL_Saisie_Estime2!AE$2,PL_Saisie_Estime2!AE$1,PL_Saisie_Estime2!$C167),"")</f>
        <v/>
      </c>
      <c r="AF167" s="204"/>
      <c r="AG167" s="53"/>
      <c r="AH167" s="53"/>
      <c r="AI167" s="53"/>
      <c r="AJ167" s="53"/>
      <c r="AK167" s="53"/>
      <c r="AL167" s="53"/>
      <c r="AM167" s="53"/>
      <c r="AN167" s="53"/>
      <c r="AO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1:53" s="9" customFormat="1" ht="24.95" customHeight="1" x14ac:dyDescent="0.35">
      <c r="A168" s="181"/>
      <c r="B168" s="163"/>
      <c r="C168" s="158"/>
      <c r="E168" s="268"/>
      <c r="F168" s="268"/>
      <c r="G168" s="268"/>
      <c r="H168" s="40"/>
      <c r="I168" s="130"/>
      <c r="J168" s="130"/>
      <c r="K168" s="130"/>
      <c r="L168" s="130"/>
      <c r="M168" s="130"/>
      <c r="N168" s="126"/>
      <c r="O168" s="204"/>
      <c r="P168" s="126"/>
      <c r="Q168" s="124"/>
      <c r="R168" s="192"/>
      <c r="S168" s="126"/>
      <c r="T168" s="200"/>
      <c r="U168" s="200"/>
      <c r="V168" s="200"/>
      <c r="W168" s="200"/>
      <c r="X168" s="200"/>
      <c r="Y168" s="200"/>
      <c r="Z168" s="192" t="str">
        <f ca="1">IF(Flag_Send_Data=1,_xll.DBSW(PL_Saisie_Estime2!Z168,Server&amp;Cube1,PL_Saisie_Estime2!$F$17,PL_Saisie_Estime2!$F$18,PL_Saisie_Estime2!$F$19,PL_Saisie_Estime2!$F$16,PL_Saisie_Estime2!$C$14,PL_Saisie_Estime2!$F$15,PL_Saisie_Estime2!$F$14,PL_Saisie_Estime2!$F$20,PL_Saisie_Estime2!Z$2,PL_Saisie_Estime2!Z$1,PL_Saisie_Estime2!$C168),"")</f>
        <v/>
      </c>
      <c r="AA168" s="192" t="str">
        <f ca="1">IF(Flag_Send_Data=1,_xll.DBSW(PL_Saisie_Estime2!AA168,Server&amp;Cube1,PL_Saisie_Estime2!$F$17,PL_Saisie_Estime2!$F$18,PL_Saisie_Estime2!$F$19,PL_Saisie_Estime2!$F$16,PL_Saisie_Estime2!$C$14,PL_Saisie_Estime2!$F$15,PL_Saisie_Estime2!$F$14,PL_Saisie_Estime2!$F$20,PL_Saisie_Estime2!AA$2,PL_Saisie_Estime2!AA$1,PL_Saisie_Estime2!$C168),"")</f>
        <v/>
      </c>
      <c r="AB168" s="192" t="str">
        <f ca="1">IF(Flag_Send_Data=1,_xll.DBSW(PL_Saisie_Estime2!AB168,Server&amp;Cube1,PL_Saisie_Estime2!$F$17,PL_Saisie_Estime2!$F$18,PL_Saisie_Estime2!$F$19,PL_Saisie_Estime2!$F$16,PL_Saisie_Estime2!$C$14,PL_Saisie_Estime2!$F$15,PL_Saisie_Estime2!$F$14,PL_Saisie_Estime2!$F$20,PL_Saisie_Estime2!AB$2,PL_Saisie_Estime2!AB$1,PL_Saisie_Estime2!$C168),"")</f>
        <v/>
      </c>
      <c r="AC168" s="192" t="str">
        <f ca="1">IF(Flag_Send_Data=1,_xll.DBSW(PL_Saisie_Estime2!AC168,Server&amp;Cube1,PL_Saisie_Estime2!$F$17,PL_Saisie_Estime2!$F$18,PL_Saisie_Estime2!$F$19,PL_Saisie_Estime2!$F$16,PL_Saisie_Estime2!$C$14,PL_Saisie_Estime2!$F$15,PL_Saisie_Estime2!$F$14,PL_Saisie_Estime2!$F$20,PL_Saisie_Estime2!AC$2,PL_Saisie_Estime2!AC$1,PL_Saisie_Estime2!$C168),"")</f>
        <v/>
      </c>
      <c r="AD168" s="192" t="str">
        <f ca="1">IF(Flag_Send_Data=1,_xll.DBSW(PL_Saisie_Estime2!AD168,Server&amp;Cube1,PL_Saisie_Estime2!$F$17,PL_Saisie_Estime2!$F$18,PL_Saisie_Estime2!$F$19,PL_Saisie_Estime2!$F$16,PL_Saisie_Estime2!$C$14,PL_Saisie_Estime2!$F$15,PL_Saisie_Estime2!$F$14,PL_Saisie_Estime2!$F$20,PL_Saisie_Estime2!AD$2,PL_Saisie_Estime2!AD$1,PL_Saisie_Estime2!$C168),"")</f>
        <v/>
      </c>
      <c r="AE168" s="192" t="str">
        <f ca="1">IF(Flag_Send_Data=1,_xll.DBSW(PL_Saisie_Estime2!AE168,Server&amp;Cube1,PL_Saisie_Estime2!$F$17,PL_Saisie_Estime2!$F$18,PL_Saisie_Estime2!$F$19,PL_Saisie_Estime2!$F$16,PL_Saisie_Estime2!$C$14,PL_Saisie_Estime2!$F$15,PL_Saisie_Estime2!$F$14,PL_Saisie_Estime2!$F$20,PL_Saisie_Estime2!AE$2,PL_Saisie_Estime2!AE$1,PL_Saisie_Estime2!$C168),"")</f>
        <v/>
      </c>
      <c r="AF168" s="204"/>
      <c r="AG168" s="53"/>
      <c r="AH168" s="53"/>
      <c r="AI168" s="53"/>
      <c r="AJ168" s="53"/>
      <c r="AK168" s="53"/>
      <c r="AL168" s="53"/>
      <c r="AM168" s="53"/>
      <c r="AN168" s="53"/>
      <c r="AO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1:53" s="9" customFormat="1" ht="24.95" customHeight="1" x14ac:dyDescent="0.35">
      <c r="A169" s="181"/>
      <c r="B169" s="163"/>
      <c r="C169" s="158"/>
      <c r="E169" s="268"/>
      <c r="F169" s="268"/>
      <c r="G169" s="268"/>
      <c r="H169" s="40"/>
      <c r="I169" s="130"/>
      <c r="J169" s="130"/>
      <c r="K169" s="130"/>
      <c r="L169" s="130"/>
      <c r="M169" s="130"/>
      <c r="N169" s="126"/>
      <c r="O169" s="204"/>
      <c r="P169" s="126"/>
      <c r="Q169" s="124"/>
      <c r="R169" s="192"/>
      <c r="S169" s="126"/>
      <c r="T169" s="200"/>
      <c r="U169" s="200"/>
      <c r="V169" s="200"/>
      <c r="W169" s="200"/>
      <c r="X169" s="200"/>
      <c r="Y169" s="200"/>
      <c r="Z169" s="192" t="str">
        <f ca="1">IF(Flag_Send_Data=1,_xll.DBSW(PL_Saisie_Estime2!Z169,Server&amp;Cube1,PL_Saisie_Estime2!$F$17,PL_Saisie_Estime2!$F$18,PL_Saisie_Estime2!$F$19,PL_Saisie_Estime2!$F$16,PL_Saisie_Estime2!$C$14,PL_Saisie_Estime2!$F$15,PL_Saisie_Estime2!$F$14,PL_Saisie_Estime2!$F$20,PL_Saisie_Estime2!Z$2,PL_Saisie_Estime2!Z$1,PL_Saisie_Estime2!$C169),"")</f>
        <v/>
      </c>
      <c r="AA169" s="192" t="str">
        <f ca="1">IF(Flag_Send_Data=1,_xll.DBSW(PL_Saisie_Estime2!AA169,Server&amp;Cube1,PL_Saisie_Estime2!$F$17,PL_Saisie_Estime2!$F$18,PL_Saisie_Estime2!$F$19,PL_Saisie_Estime2!$F$16,PL_Saisie_Estime2!$C$14,PL_Saisie_Estime2!$F$15,PL_Saisie_Estime2!$F$14,PL_Saisie_Estime2!$F$20,PL_Saisie_Estime2!AA$2,PL_Saisie_Estime2!AA$1,PL_Saisie_Estime2!$C169),"")</f>
        <v/>
      </c>
      <c r="AB169" s="192" t="str">
        <f ca="1">IF(Flag_Send_Data=1,_xll.DBSW(PL_Saisie_Estime2!AB169,Server&amp;Cube1,PL_Saisie_Estime2!$F$17,PL_Saisie_Estime2!$F$18,PL_Saisie_Estime2!$F$19,PL_Saisie_Estime2!$F$16,PL_Saisie_Estime2!$C$14,PL_Saisie_Estime2!$F$15,PL_Saisie_Estime2!$F$14,PL_Saisie_Estime2!$F$20,PL_Saisie_Estime2!AB$2,PL_Saisie_Estime2!AB$1,PL_Saisie_Estime2!$C169),"")</f>
        <v/>
      </c>
      <c r="AC169" s="192" t="str">
        <f ca="1">IF(Flag_Send_Data=1,_xll.DBSW(PL_Saisie_Estime2!AC169,Server&amp;Cube1,PL_Saisie_Estime2!$F$17,PL_Saisie_Estime2!$F$18,PL_Saisie_Estime2!$F$19,PL_Saisie_Estime2!$F$16,PL_Saisie_Estime2!$C$14,PL_Saisie_Estime2!$F$15,PL_Saisie_Estime2!$F$14,PL_Saisie_Estime2!$F$20,PL_Saisie_Estime2!AC$2,PL_Saisie_Estime2!AC$1,PL_Saisie_Estime2!$C169),"")</f>
        <v/>
      </c>
      <c r="AD169" s="192" t="str">
        <f ca="1">IF(Flag_Send_Data=1,_xll.DBSW(PL_Saisie_Estime2!AD169,Server&amp;Cube1,PL_Saisie_Estime2!$F$17,PL_Saisie_Estime2!$F$18,PL_Saisie_Estime2!$F$19,PL_Saisie_Estime2!$F$16,PL_Saisie_Estime2!$C$14,PL_Saisie_Estime2!$F$15,PL_Saisie_Estime2!$F$14,PL_Saisie_Estime2!$F$20,PL_Saisie_Estime2!AD$2,PL_Saisie_Estime2!AD$1,PL_Saisie_Estime2!$C169),"")</f>
        <v/>
      </c>
      <c r="AE169" s="192" t="str">
        <f ca="1">IF(Flag_Send_Data=1,_xll.DBSW(PL_Saisie_Estime2!AE169,Server&amp;Cube1,PL_Saisie_Estime2!$F$17,PL_Saisie_Estime2!$F$18,PL_Saisie_Estime2!$F$19,PL_Saisie_Estime2!$F$16,PL_Saisie_Estime2!$C$14,PL_Saisie_Estime2!$F$15,PL_Saisie_Estime2!$F$14,PL_Saisie_Estime2!$F$20,PL_Saisie_Estime2!AE$2,PL_Saisie_Estime2!AE$1,PL_Saisie_Estime2!$C169),"")</f>
        <v/>
      </c>
      <c r="AF169" s="204"/>
      <c r="AG169" s="53"/>
      <c r="AH169" s="53"/>
      <c r="AI169" s="53"/>
      <c r="AJ169" s="53"/>
      <c r="AK169" s="53"/>
      <c r="AL169" s="53"/>
      <c r="AM169" s="53"/>
      <c r="AN169" s="53"/>
      <c r="AO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1:53" s="9" customFormat="1" ht="24.95" customHeight="1" x14ac:dyDescent="0.35">
      <c r="A170" s="181"/>
      <c r="B170" s="163"/>
      <c r="C170" s="158"/>
      <c r="E170" s="268"/>
      <c r="F170" s="268"/>
      <c r="G170" s="268"/>
      <c r="H170" s="40"/>
      <c r="I170" s="130"/>
      <c r="J170" s="130"/>
      <c r="K170" s="130"/>
      <c r="L170" s="130"/>
      <c r="M170" s="130"/>
      <c r="N170" s="126"/>
      <c r="O170" s="204"/>
      <c r="P170" s="126"/>
      <c r="Q170" s="124"/>
      <c r="R170" s="192"/>
      <c r="S170" s="126"/>
      <c r="T170" s="200"/>
      <c r="U170" s="200"/>
      <c r="V170" s="200"/>
      <c r="W170" s="200"/>
      <c r="X170" s="200"/>
      <c r="Y170" s="200"/>
      <c r="Z170" s="192" t="str">
        <f ca="1">IF(Flag_Send_Data=1,_xll.DBSW(PL_Saisie_Estime2!Z170,Server&amp;Cube1,PL_Saisie_Estime2!$F$17,PL_Saisie_Estime2!$F$18,PL_Saisie_Estime2!$F$19,PL_Saisie_Estime2!$F$16,PL_Saisie_Estime2!$C$14,PL_Saisie_Estime2!$F$15,PL_Saisie_Estime2!$F$14,PL_Saisie_Estime2!$F$20,PL_Saisie_Estime2!Z$2,PL_Saisie_Estime2!Z$1,PL_Saisie_Estime2!$C170),"")</f>
        <v/>
      </c>
      <c r="AA170" s="192" t="str">
        <f ca="1">IF(Flag_Send_Data=1,_xll.DBSW(PL_Saisie_Estime2!AA170,Server&amp;Cube1,PL_Saisie_Estime2!$F$17,PL_Saisie_Estime2!$F$18,PL_Saisie_Estime2!$F$19,PL_Saisie_Estime2!$F$16,PL_Saisie_Estime2!$C$14,PL_Saisie_Estime2!$F$15,PL_Saisie_Estime2!$F$14,PL_Saisie_Estime2!$F$20,PL_Saisie_Estime2!AA$2,PL_Saisie_Estime2!AA$1,PL_Saisie_Estime2!$C170),"")</f>
        <v/>
      </c>
      <c r="AB170" s="192" t="str">
        <f ca="1">IF(Flag_Send_Data=1,_xll.DBSW(PL_Saisie_Estime2!AB170,Server&amp;Cube1,PL_Saisie_Estime2!$F$17,PL_Saisie_Estime2!$F$18,PL_Saisie_Estime2!$F$19,PL_Saisie_Estime2!$F$16,PL_Saisie_Estime2!$C$14,PL_Saisie_Estime2!$F$15,PL_Saisie_Estime2!$F$14,PL_Saisie_Estime2!$F$20,PL_Saisie_Estime2!AB$2,PL_Saisie_Estime2!AB$1,PL_Saisie_Estime2!$C170),"")</f>
        <v/>
      </c>
      <c r="AC170" s="192" t="str">
        <f ca="1">IF(Flag_Send_Data=1,_xll.DBSW(PL_Saisie_Estime2!AC170,Server&amp;Cube1,PL_Saisie_Estime2!$F$17,PL_Saisie_Estime2!$F$18,PL_Saisie_Estime2!$F$19,PL_Saisie_Estime2!$F$16,PL_Saisie_Estime2!$C$14,PL_Saisie_Estime2!$F$15,PL_Saisie_Estime2!$F$14,PL_Saisie_Estime2!$F$20,PL_Saisie_Estime2!AC$2,PL_Saisie_Estime2!AC$1,PL_Saisie_Estime2!$C170),"")</f>
        <v/>
      </c>
      <c r="AD170" s="192" t="str">
        <f ca="1">IF(Flag_Send_Data=1,_xll.DBSW(PL_Saisie_Estime2!AD170,Server&amp;Cube1,PL_Saisie_Estime2!$F$17,PL_Saisie_Estime2!$F$18,PL_Saisie_Estime2!$F$19,PL_Saisie_Estime2!$F$16,PL_Saisie_Estime2!$C$14,PL_Saisie_Estime2!$F$15,PL_Saisie_Estime2!$F$14,PL_Saisie_Estime2!$F$20,PL_Saisie_Estime2!AD$2,PL_Saisie_Estime2!AD$1,PL_Saisie_Estime2!$C170),"")</f>
        <v/>
      </c>
      <c r="AE170" s="192" t="str">
        <f ca="1">IF(Flag_Send_Data=1,_xll.DBSW(PL_Saisie_Estime2!AE170,Server&amp;Cube1,PL_Saisie_Estime2!$F$17,PL_Saisie_Estime2!$F$18,PL_Saisie_Estime2!$F$19,PL_Saisie_Estime2!$F$16,PL_Saisie_Estime2!$C$14,PL_Saisie_Estime2!$F$15,PL_Saisie_Estime2!$F$14,PL_Saisie_Estime2!$F$20,PL_Saisie_Estime2!AE$2,PL_Saisie_Estime2!AE$1,PL_Saisie_Estime2!$C170),"")</f>
        <v/>
      </c>
      <c r="AF170" s="204"/>
      <c r="AG170" s="53"/>
      <c r="AH170" s="53"/>
      <c r="AI170" s="53"/>
      <c r="AJ170" s="53"/>
      <c r="AK170" s="53"/>
      <c r="AL170" s="53"/>
      <c r="AM170" s="53"/>
      <c r="AN170" s="53"/>
      <c r="AO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1:53" s="9" customFormat="1" ht="24.95" customHeight="1" x14ac:dyDescent="0.35">
      <c r="A171" s="181"/>
      <c r="B171" s="163"/>
      <c r="C171" s="158"/>
      <c r="E171" s="268"/>
      <c r="F171" s="268"/>
      <c r="G171" s="268"/>
      <c r="H171" s="40"/>
      <c r="I171" s="130"/>
      <c r="J171" s="130"/>
      <c r="K171" s="130"/>
      <c r="L171" s="130"/>
      <c r="M171" s="130"/>
      <c r="N171" s="126"/>
      <c r="O171" s="204"/>
      <c r="P171" s="126"/>
      <c r="Q171" s="124"/>
      <c r="R171" s="192"/>
      <c r="S171" s="126"/>
      <c r="T171" s="200"/>
      <c r="U171" s="200"/>
      <c r="V171" s="200"/>
      <c r="W171" s="200"/>
      <c r="X171" s="200"/>
      <c r="Y171" s="200"/>
      <c r="Z171" s="192" t="str">
        <f ca="1">IF(Flag_Send_Data=1,_xll.DBSW(PL_Saisie_Estime2!Z171,Server&amp;Cube1,PL_Saisie_Estime2!$F$17,PL_Saisie_Estime2!$F$18,PL_Saisie_Estime2!$F$19,PL_Saisie_Estime2!$F$16,PL_Saisie_Estime2!$C$14,PL_Saisie_Estime2!$F$15,PL_Saisie_Estime2!$F$14,PL_Saisie_Estime2!$F$20,PL_Saisie_Estime2!Z$2,PL_Saisie_Estime2!Z$1,PL_Saisie_Estime2!$C171),"")</f>
        <v/>
      </c>
      <c r="AA171" s="192" t="str">
        <f ca="1">IF(Flag_Send_Data=1,_xll.DBSW(PL_Saisie_Estime2!AA171,Server&amp;Cube1,PL_Saisie_Estime2!$F$17,PL_Saisie_Estime2!$F$18,PL_Saisie_Estime2!$F$19,PL_Saisie_Estime2!$F$16,PL_Saisie_Estime2!$C$14,PL_Saisie_Estime2!$F$15,PL_Saisie_Estime2!$F$14,PL_Saisie_Estime2!$F$20,PL_Saisie_Estime2!AA$2,PL_Saisie_Estime2!AA$1,PL_Saisie_Estime2!$C171),"")</f>
        <v/>
      </c>
      <c r="AB171" s="192" t="str">
        <f ca="1">IF(Flag_Send_Data=1,_xll.DBSW(PL_Saisie_Estime2!AB171,Server&amp;Cube1,PL_Saisie_Estime2!$F$17,PL_Saisie_Estime2!$F$18,PL_Saisie_Estime2!$F$19,PL_Saisie_Estime2!$F$16,PL_Saisie_Estime2!$C$14,PL_Saisie_Estime2!$F$15,PL_Saisie_Estime2!$F$14,PL_Saisie_Estime2!$F$20,PL_Saisie_Estime2!AB$2,PL_Saisie_Estime2!AB$1,PL_Saisie_Estime2!$C171),"")</f>
        <v/>
      </c>
      <c r="AC171" s="192" t="str">
        <f ca="1">IF(Flag_Send_Data=1,_xll.DBSW(PL_Saisie_Estime2!AC171,Server&amp;Cube1,PL_Saisie_Estime2!$F$17,PL_Saisie_Estime2!$F$18,PL_Saisie_Estime2!$F$19,PL_Saisie_Estime2!$F$16,PL_Saisie_Estime2!$C$14,PL_Saisie_Estime2!$F$15,PL_Saisie_Estime2!$F$14,PL_Saisie_Estime2!$F$20,PL_Saisie_Estime2!AC$2,PL_Saisie_Estime2!AC$1,PL_Saisie_Estime2!$C171),"")</f>
        <v/>
      </c>
      <c r="AD171" s="192" t="str">
        <f ca="1">IF(Flag_Send_Data=1,_xll.DBSW(PL_Saisie_Estime2!AD171,Server&amp;Cube1,PL_Saisie_Estime2!$F$17,PL_Saisie_Estime2!$F$18,PL_Saisie_Estime2!$F$19,PL_Saisie_Estime2!$F$16,PL_Saisie_Estime2!$C$14,PL_Saisie_Estime2!$F$15,PL_Saisie_Estime2!$F$14,PL_Saisie_Estime2!$F$20,PL_Saisie_Estime2!AD$2,PL_Saisie_Estime2!AD$1,PL_Saisie_Estime2!$C171),"")</f>
        <v/>
      </c>
      <c r="AE171" s="192" t="str">
        <f ca="1">IF(Flag_Send_Data=1,_xll.DBSW(PL_Saisie_Estime2!AE171,Server&amp;Cube1,PL_Saisie_Estime2!$F$17,PL_Saisie_Estime2!$F$18,PL_Saisie_Estime2!$F$19,PL_Saisie_Estime2!$F$16,PL_Saisie_Estime2!$C$14,PL_Saisie_Estime2!$F$15,PL_Saisie_Estime2!$F$14,PL_Saisie_Estime2!$F$20,PL_Saisie_Estime2!AE$2,PL_Saisie_Estime2!AE$1,PL_Saisie_Estime2!$C171),"")</f>
        <v/>
      </c>
      <c r="AF171" s="204"/>
      <c r="AG171" s="53"/>
      <c r="AH171" s="53"/>
      <c r="AI171" s="53"/>
      <c r="AJ171" s="53"/>
      <c r="AK171" s="53"/>
      <c r="AL171" s="53"/>
      <c r="AM171" s="53"/>
      <c r="AN171" s="53"/>
      <c r="AO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1:53" s="9" customFormat="1" ht="24.95" customHeight="1" x14ac:dyDescent="0.35">
      <c r="A172" s="181"/>
      <c r="B172" s="163"/>
      <c r="C172" s="158"/>
      <c r="E172" s="268"/>
      <c r="F172" s="268"/>
      <c r="G172" s="268"/>
      <c r="H172" s="40"/>
      <c r="I172" s="130"/>
      <c r="J172" s="130"/>
      <c r="K172" s="130"/>
      <c r="L172" s="130"/>
      <c r="M172" s="130"/>
      <c r="N172" s="126"/>
      <c r="O172" s="204"/>
      <c r="P172" s="126"/>
      <c r="Q172" s="124"/>
      <c r="R172" s="192"/>
      <c r="S172" s="126"/>
      <c r="T172" s="200"/>
      <c r="U172" s="200"/>
      <c r="V172" s="200"/>
      <c r="W172" s="200"/>
      <c r="X172" s="200"/>
      <c r="Y172" s="200"/>
      <c r="Z172" s="192" t="str">
        <f ca="1">IF(Flag_Send_Data=1,_xll.DBSW(PL_Saisie_Estime2!Z172,Server&amp;Cube1,PL_Saisie_Estime2!$F$17,PL_Saisie_Estime2!$F$18,PL_Saisie_Estime2!$F$19,PL_Saisie_Estime2!$F$16,PL_Saisie_Estime2!$C$14,PL_Saisie_Estime2!$F$15,PL_Saisie_Estime2!$F$14,PL_Saisie_Estime2!$F$20,PL_Saisie_Estime2!Z$2,PL_Saisie_Estime2!Z$1,PL_Saisie_Estime2!$C172),"")</f>
        <v/>
      </c>
      <c r="AA172" s="192" t="str">
        <f ca="1">IF(Flag_Send_Data=1,_xll.DBSW(PL_Saisie_Estime2!AA172,Server&amp;Cube1,PL_Saisie_Estime2!$F$17,PL_Saisie_Estime2!$F$18,PL_Saisie_Estime2!$F$19,PL_Saisie_Estime2!$F$16,PL_Saisie_Estime2!$C$14,PL_Saisie_Estime2!$F$15,PL_Saisie_Estime2!$F$14,PL_Saisie_Estime2!$F$20,PL_Saisie_Estime2!AA$2,PL_Saisie_Estime2!AA$1,PL_Saisie_Estime2!$C172),"")</f>
        <v/>
      </c>
      <c r="AB172" s="192" t="str">
        <f ca="1">IF(Flag_Send_Data=1,_xll.DBSW(PL_Saisie_Estime2!AB172,Server&amp;Cube1,PL_Saisie_Estime2!$F$17,PL_Saisie_Estime2!$F$18,PL_Saisie_Estime2!$F$19,PL_Saisie_Estime2!$F$16,PL_Saisie_Estime2!$C$14,PL_Saisie_Estime2!$F$15,PL_Saisie_Estime2!$F$14,PL_Saisie_Estime2!$F$20,PL_Saisie_Estime2!AB$2,PL_Saisie_Estime2!AB$1,PL_Saisie_Estime2!$C172),"")</f>
        <v/>
      </c>
      <c r="AC172" s="192" t="str">
        <f ca="1">IF(Flag_Send_Data=1,_xll.DBSW(PL_Saisie_Estime2!AC172,Server&amp;Cube1,PL_Saisie_Estime2!$F$17,PL_Saisie_Estime2!$F$18,PL_Saisie_Estime2!$F$19,PL_Saisie_Estime2!$F$16,PL_Saisie_Estime2!$C$14,PL_Saisie_Estime2!$F$15,PL_Saisie_Estime2!$F$14,PL_Saisie_Estime2!$F$20,PL_Saisie_Estime2!AC$2,PL_Saisie_Estime2!AC$1,PL_Saisie_Estime2!$C172),"")</f>
        <v/>
      </c>
      <c r="AD172" s="192" t="str">
        <f ca="1">IF(Flag_Send_Data=1,_xll.DBSW(PL_Saisie_Estime2!AD172,Server&amp;Cube1,PL_Saisie_Estime2!$F$17,PL_Saisie_Estime2!$F$18,PL_Saisie_Estime2!$F$19,PL_Saisie_Estime2!$F$16,PL_Saisie_Estime2!$C$14,PL_Saisie_Estime2!$F$15,PL_Saisie_Estime2!$F$14,PL_Saisie_Estime2!$F$20,PL_Saisie_Estime2!AD$2,PL_Saisie_Estime2!AD$1,PL_Saisie_Estime2!$C172),"")</f>
        <v/>
      </c>
      <c r="AE172" s="192" t="str">
        <f ca="1">IF(Flag_Send_Data=1,_xll.DBSW(PL_Saisie_Estime2!AE172,Server&amp;Cube1,PL_Saisie_Estime2!$F$17,PL_Saisie_Estime2!$F$18,PL_Saisie_Estime2!$F$19,PL_Saisie_Estime2!$F$16,PL_Saisie_Estime2!$C$14,PL_Saisie_Estime2!$F$15,PL_Saisie_Estime2!$F$14,PL_Saisie_Estime2!$F$20,PL_Saisie_Estime2!AE$2,PL_Saisie_Estime2!AE$1,PL_Saisie_Estime2!$C172),"")</f>
        <v/>
      </c>
      <c r="AF172" s="204"/>
      <c r="AG172" s="53"/>
      <c r="AH172" s="53"/>
      <c r="AI172" s="53"/>
      <c r="AJ172" s="53"/>
      <c r="AK172" s="53"/>
      <c r="AL172" s="53"/>
      <c r="AM172" s="53"/>
      <c r="AN172" s="53"/>
      <c r="AO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1:53" s="9" customFormat="1" ht="24.95" customHeight="1" x14ac:dyDescent="0.35">
      <c r="A173" s="181"/>
      <c r="B173" s="163"/>
      <c r="C173" s="158"/>
      <c r="E173" s="268"/>
      <c r="F173" s="268"/>
      <c r="G173" s="268"/>
      <c r="H173" s="40"/>
      <c r="I173" s="130"/>
      <c r="J173" s="130"/>
      <c r="K173" s="130"/>
      <c r="L173" s="130"/>
      <c r="M173" s="130"/>
      <c r="N173" s="126"/>
      <c r="O173" s="204"/>
      <c r="P173" s="126"/>
      <c r="Q173" s="124"/>
      <c r="R173" s="192"/>
      <c r="S173" s="126"/>
      <c r="T173" s="200"/>
      <c r="U173" s="200"/>
      <c r="V173" s="200"/>
      <c r="W173" s="200"/>
      <c r="X173" s="200"/>
      <c r="Y173" s="200"/>
      <c r="Z173" s="192" t="str">
        <f ca="1">IF(Flag_Send_Data=1,_xll.DBSW(PL_Saisie_Estime2!Z173,Server&amp;Cube1,PL_Saisie_Estime2!$F$17,PL_Saisie_Estime2!$F$18,PL_Saisie_Estime2!$F$19,PL_Saisie_Estime2!$F$16,PL_Saisie_Estime2!$C$14,PL_Saisie_Estime2!$F$15,PL_Saisie_Estime2!$F$14,PL_Saisie_Estime2!$F$20,PL_Saisie_Estime2!Z$2,PL_Saisie_Estime2!Z$1,PL_Saisie_Estime2!$C173),"")</f>
        <v/>
      </c>
      <c r="AA173" s="192" t="str">
        <f ca="1">IF(Flag_Send_Data=1,_xll.DBSW(PL_Saisie_Estime2!AA173,Server&amp;Cube1,PL_Saisie_Estime2!$F$17,PL_Saisie_Estime2!$F$18,PL_Saisie_Estime2!$F$19,PL_Saisie_Estime2!$F$16,PL_Saisie_Estime2!$C$14,PL_Saisie_Estime2!$F$15,PL_Saisie_Estime2!$F$14,PL_Saisie_Estime2!$F$20,PL_Saisie_Estime2!AA$2,PL_Saisie_Estime2!AA$1,PL_Saisie_Estime2!$C173),"")</f>
        <v/>
      </c>
      <c r="AB173" s="192" t="str">
        <f ca="1">IF(Flag_Send_Data=1,_xll.DBSW(PL_Saisie_Estime2!AB173,Server&amp;Cube1,PL_Saisie_Estime2!$F$17,PL_Saisie_Estime2!$F$18,PL_Saisie_Estime2!$F$19,PL_Saisie_Estime2!$F$16,PL_Saisie_Estime2!$C$14,PL_Saisie_Estime2!$F$15,PL_Saisie_Estime2!$F$14,PL_Saisie_Estime2!$F$20,PL_Saisie_Estime2!AB$2,PL_Saisie_Estime2!AB$1,PL_Saisie_Estime2!$C173),"")</f>
        <v/>
      </c>
      <c r="AC173" s="192" t="str">
        <f ca="1">IF(Flag_Send_Data=1,_xll.DBSW(PL_Saisie_Estime2!AC173,Server&amp;Cube1,PL_Saisie_Estime2!$F$17,PL_Saisie_Estime2!$F$18,PL_Saisie_Estime2!$F$19,PL_Saisie_Estime2!$F$16,PL_Saisie_Estime2!$C$14,PL_Saisie_Estime2!$F$15,PL_Saisie_Estime2!$F$14,PL_Saisie_Estime2!$F$20,PL_Saisie_Estime2!AC$2,PL_Saisie_Estime2!AC$1,PL_Saisie_Estime2!$C173),"")</f>
        <v/>
      </c>
      <c r="AD173" s="192" t="str">
        <f ca="1">IF(Flag_Send_Data=1,_xll.DBSW(PL_Saisie_Estime2!AD173,Server&amp;Cube1,PL_Saisie_Estime2!$F$17,PL_Saisie_Estime2!$F$18,PL_Saisie_Estime2!$F$19,PL_Saisie_Estime2!$F$16,PL_Saisie_Estime2!$C$14,PL_Saisie_Estime2!$F$15,PL_Saisie_Estime2!$F$14,PL_Saisie_Estime2!$F$20,PL_Saisie_Estime2!AD$2,PL_Saisie_Estime2!AD$1,PL_Saisie_Estime2!$C173),"")</f>
        <v/>
      </c>
      <c r="AE173" s="192" t="str">
        <f ca="1">IF(Flag_Send_Data=1,_xll.DBSW(PL_Saisie_Estime2!AE173,Server&amp;Cube1,PL_Saisie_Estime2!$F$17,PL_Saisie_Estime2!$F$18,PL_Saisie_Estime2!$F$19,PL_Saisie_Estime2!$F$16,PL_Saisie_Estime2!$C$14,PL_Saisie_Estime2!$F$15,PL_Saisie_Estime2!$F$14,PL_Saisie_Estime2!$F$20,PL_Saisie_Estime2!AE$2,PL_Saisie_Estime2!AE$1,PL_Saisie_Estime2!$C173),"")</f>
        <v/>
      </c>
      <c r="AF173" s="204"/>
      <c r="AG173" s="53"/>
      <c r="AH173" s="53"/>
      <c r="AI173" s="53"/>
      <c r="AJ173" s="53"/>
      <c r="AK173" s="53"/>
      <c r="AL173" s="53"/>
      <c r="AM173" s="53"/>
      <c r="AN173" s="53"/>
      <c r="AO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1:53" s="9" customFormat="1" ht="24.95" customHeight="1" x14ac:dyDescent="0.35">
      <c r="A174" s="181"/>
      <c r="B174" s="163"/>
      <c r="C174" s="158"/>
      <c r="E174" s="268"/>
      <c r="F174" s="268"/>
      <c r="G174" s="268"/>
      <c r="H174" s="40"/>
      <c r="I174" s="130"/>
      <c r="J174" s="130"/>
      <c r="K174" s="130"/>
      <c r="L174" s="130"/>
      <c r="M174" s="130"/>
      <c r="N174" s="126"/>
      <c r="O174" s="204"/>
      <c r="P174" s="126"/>
      <c r="Q174" s="124"/>
      <c r="R174" s="192"/>
      <c r="S174" s="126"/>
      <c r="T174" s="200"/>
      <c r="U174" s="200"/>
      <c r="V174" s="200"/>
      <c r="W174" s="200"/>
      <c r="X174" s="200"/>
      <c r="Y174" s="200"/>
      <c r="Z174" s="192" t="str">
        <f ca="1">IF(Flag_Send_Data=1,_xll.DBSW(PL_Saisie_Estime2!Z174,Server&amp;Cube1,PL_Saisie_Estime2!$F$17,PL_Saisie_Estime2!$F$18,PL_Saisie_Estime2!$F$19,PL_Saisie_Estime2!$F$16,PL_Saisie_Estime2!$C$14,PL_Saisie_Estime2!$F$15,PL_Saisie_Estime2!$F$14,PL_Saisie_Estime2!$F$20,PL_Saisie_Estime2!Z$2,PL_Saisie_Estime2!Z$1,PL_Saisie_Estime2!$C174),"")</f>
        <v/>
      </c>
      <c r="AA174" s="192" t="str">
        <f ca="1">IF(Flag_Send_Data=1,_xll.DBSW(PL_Saisie_Estime2!AA174,Server&amp;Cube1,PL_Saisie_Estime2!$F$17,PL_Saisie_Estime2!$F$18,PL_Saisie_Estime2!$F$19,PL_Saisie_Estime2!$F$16,PL_Saisie_Estime2!$C$14,PL_Saisie_Estime2!$F$15,PL_Saisie_Estime2!$F$14,PL_Saisie_Estime2!$F$20,PL_Saisie_Estime2!AA$2,PL_Saisie_Estime2!AA$1,PL_Saisie_Estime2!$C174),"")</f>
        <v/>
      </c>
      <c r="AB174" s="192" t="str">
        <f ca="1">IF(Flag_Send_Data=1,_xll.DBSW(PL_Saisie_Estime2!AB174,Server&amp;Cube1,PL_Saisie_Estime2!$F$17,PL_Saisie_Estime2!$F$18,PL_Saisie_Estime2!$F$19,PL_Saisie_Estime2!$F$16,PL_Saisie_Estime2!$C$14,PL_Saisie_Estime2!$F$15,PL_Saisie_Estime2!$F$14,PL_Saisie_Estime2!$F$20,PL_Saisie_Estime2!AB$2,PL_Saisie_Estime2!AB$1,PL_Saisie_Estime2!$C174),"")</f>
        <v/>
      </c>
      <c r="AC174" s="192" t="str">
        <f ca="1">IF(Flag_Send_Data=1,_xll.DBSW(PL_Saisie_Estime2!AC174,Server&amp;Cube1,PL_Saisie_Estime2!$F$17,PL_Saisie_Estime2!$F$18,PL_Saisie_Estime2!$F$19,PL_Saisie_Estime2!$F$16,PL_Saisie_Estime2!$C$14,PL_Saisie_Estime2!$F$15,PL_Saisie_Estime2!$F$14,PL_Saisie_Estime2!$F$20,PL_Saisie_Estime2!AC$2,PL_Saisie_Estime2!AC$1,PL_Saisie_Estime2!$C174),"")</f>
        <v/>
      </c>
      <c r="AD174" s="192" t="str">
        <f ca="1">IF(Flag_Send_Data=1,_xll.DBSW(PL_Saisie_Estime2!AD174,Server&amp;Cube1,PL_Saisie_Estime2!$F$17,PL_Saisie_Estime2!$F$18,PL_Saisie_Estime2!$F$19,PL_Saisie_Estime2!$F$16,PL_Saisie_Estime2!$C$14,PL_Saisie_Estime2!$F$15,PL_Saisie_Estime2!$F$14,PL_Saisie_Estime2!$F$20,PL_Saisie_Estime2!AD$2,PL_Saisie_Estime2!AD$1,PL_Saisie_Estime2!$C174),"")</f>
        <v/>
      </c>
      <c r="AE174" s="192" t="str">
        <f ca="1">IF(Flag_Send_Data=1,_xll.DBSW(PL_Saisie_Estime2!AE174,Server&amp;Cube1,PL_Saisie_Estime2!$F$17,PL_Saisie_Estime2!$F$18,PL_Saisie_Estime2!$F$19,PL_Saisie_Estime2!$F$16,PL_Saisie_Estime2!$C$14,PL_Saisie_Estime2!$F$15,PL_Saisie_Estime2!$F$14,PL_Saisie_Estime2!$F$20,PL_Saisie_Estime2!AE$2,PL_Saisie_Estime2!AE$1,PL_Saisie_Estime2!$C174),"")</f>
        <v/>
      </c>
      <c r="AF174" s="204"/>
      <c r="AG174" s="53"/>
      <c r="AH174" s="53"/>
      <c r="AI174" s="53"/>
      <c r="AJ174" s="53"/>
      <c r="AK174" s="53"/>
      <c r="AL174" s="53"/>
      <c r="AM174" s="53"/>
      <c r="AN174" s="53"/>
      <c r="AO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1:53" s="9" customFormat="1" ht="24.95" customHeight="1" x14ac:dyDescent="0.35">
      <c r="A175" s="181"/>
      <c r="B175" s="163"/>
      <c r="C175" s="158"/>
      <c r="E175" s="268"/>
      <c r="F175" s="268"/>
      <c r="G175" s="268"/>
      <c r="H175" s="40"/>
      <c r="I175" s="130"/>
      <c r="J175" s="130"/>
      <c r="K175" s="130"/>
      <c r="L175" s="130"/>
      <c r="M175" s="130"/>
      <c r="N175" s="126"/>
      <c r="O175" s="204"/>
      <c r="P175" s="126"/>
      <c r="Q175" s="124"/>
      <c r="R175" s="192"/>
      <c r="S175" s="126"/>
      <c r="T175" s="200"/>
      <c r="U175" s="200"/>
      <c r="V175" s="200"/>
      <c r="W175" s="200"/>
      <c r="X175" s="200"/>
      <c r="Y175" s="200"/>
      <c r="Z175" s="192" t="str">
        <f ca="1">IF(Flag_Send_Data=1,_xll.DBSW(PL_Saisie_Estime2!Z175,Server&amp;Cube1,PL_Saisie_Estime2!$F$17,PL_Saisie_Estime2!$F$18,PL_Saisie_Estime2!$F$19,PL_Saisie_Estime2!$F$16,PL_Saisie_Estime2!$C$14,PL_Saisie_Estime2!$F$15,PL_Saisie_Estime2!$F$14,PL_Saisie_Estime2!$F$20,PL_Saisie_Estime2!Z$2,PL_Saisie_Estime2!Z$1,PL_Saisie_Estime2!$C175),"")</f>
        <v/>
      </c>
      <c r="AA175" s="192" t="str">
        <f ca="1">IF(Flag_Send_Data=1,_xll.DBSW(PL_Saisie_Estime2!AA175,Server&amp;Cube1,PL_Saisie_Estime2!$F$17,PL_Saisie_Estime2!$F$18,PL_Saisie_Estime2!$F$19,PL_Saisie_Estime2!$F$16,PL_Saisie_Estime2!$C$14,PL_Saisie_Estime2!$F$15,PL_Saisie_Estime2!$F$14,PL_Saisie_Estime2!$F$20,PL_Saisie_Estime2!AA$2,PL_Saisie_Estime2!AA$1,PL_Saisie_Estime2!$C175),"")</f>
        <v/>
      </c>
      <c r="AB175" s="192" t="str">
        <f ca="1">IF(Flag_Send_Data=1,_xll.DBSW(PL_Saisie_Estime2!AB175,Server&amp;Cube1,PL_Saisie_Estime2!$F$17,PL_Saisie_Estime2!$F$18,PL_Saisie_Estime2!$F$19,PL_Saisie_Estime2!$F$16,PL_Saisie_Estime2!$C$14,PL_Saisie_Estime2!$F$15,PL_Saisie_Estime2!$F$14,PL_Saisie_Estime2!$F$20,PL_Saisie_Estime2!AB$2,PL_Saisie_Estime2!AB$1,PL_Saisie_Estime2!$C175),"")</f>
        <v/>
      </c>
      <c r="AC175" s="192" t="str">
        <f ca="1">IF(Flag_Send_Data=1,_xll.DBSW(PL_Saisie_Estime2!AC175,Server&amp;Cube1,PL_Saisie_Estime2!$F$17,PL_Saisie_Estime2!$F$18,PL_Saisie_Estime2!$F$19,PL_Saisie_Estime2!$F$16,PL_Saisie_Estime2!$C$14,PL_Saisie_Estime2!$F$15,PL_Saisie_Estime2!$F$14,PL_Saisie_Estime2!$F$20,PL_Saisie_Estime2!AC$2,PL_Saisie_Estime2!AC$1,PL_Saisie_Estime2!$C175),"")</f>
        <v/>
      </c>
      <c r="AD175" s="192" t="str">
        <f ca="1">IF(Flag_Send_Data=1,_xll.DBSW(PL_Saisie_Estime2!AD175,Server&amp;Cube1,PL_Saisie_Estime2!$F$17,PL_Saisie_Estime2!$F$18,PL_Saisie_Estime2!$F$19,PL_Saisie_Estime2!$F$16,PL_Saisie_Estime2!$C$14,PL_Saisie_Estime2!$F$15,PL_Saisie_Estime2!$F$14,PL_Saisie_Estime2!$F$20,PL_Saisie_Estime2!AD$2,PL_Saisie_Estime2!AD$1,PL_Saisie_Estime2!$C175),"")</f>
        <v/>
      </c>
      <c r="AE175" s="192" t="str">
        <f ca="1">IF(Flag_Send_Data=1,_xll.DBSW(PL_Saisie_Estime2!AE175,Server&amp;Cube1,PL_Saisie_Estime2!$F$17,PL_Saisie_Estime2!$F$18,PL_Saisie_Estime2!$F$19,PL_Saisie_Estime2!$F$16,PL_Saisie_Estime2!$C$14,PL_Saisie_Estime2!$F$15,PL_Saisie_Estime2!$F$14,PL_Saisie_Estime2!$F$20,PL_Saisie_Estime2!AE$2,PL_Saisie_Estime2!AE$1,PL_Saisie_Estime2!$C175),"")</f>
        <v/>
      </c>
      <c r="AF175" s="204"/>
      <c r="AG175" s="53"/>
      <c r="AH175" s="53"/>
      <c r="AI175" s="53"/>
      <c r="AJ175" s="53"/>
      <c r="AK175" s="53"/>
      <c r="AL175" s="53"/>
      <c r="AM175" s="53"/>
      <c r="AN175" s="53"/>
      <c r="AO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1:53" s="9" customFormat="1" ht="24.75" customHeight="1" collapsed="1" x14ac:dyDescent="0.35">
      <c r="A176" s="181"/>
      <c r="B176" s="163"/>
      <c r="C176" s="117"/>
      <c r="E176" s="270"/>
      <c r="F176" s="270"/>
      <c r="G176" s="270"/>
      <c r="H176" s="40"/>
      <c r="I176" s="130"/>
      <c r="J176" s="130"/>
      <c r="K176" s="130"/>
      <c r="L176" s="130"/>
      <c r="M176" s="130"/>
      <c r="N176" s="125"/>
      <c r="O176" s="125"/>
      <c r="P176" s="125"/>
      <c r="Q176" s="124"/>
      <c r="R176" s="125"/>
      <c r="S176" s="125"/>
      <c r="T176" s="201"/>
      <c r="U176" s="201"/>
      <c r="V176" s="201"/>
      <c r="W176" s="201"/>
      <c r="X176" s="125"/>
      <c r="Y176" s="125"/>
      <c r="Z176" s="125"/>
      <c r="AA176" s="125"/>
      <c r="AB176" s="125"/>
      <c r="AC176" s="125"/>
      <c r="AD176" s="125"/>
      <c r="AE176" s="125"/>
      <c r="AF176" s="125"/>
      <c r="AG176" s="53"/>
      <c r="AH176" s="53"/>
      <c r="AI176" s="53"/>
      <c r="AJ176" s="53"/>
      <c r="AK176" s="53"/>
      <c r="AL176" s="53"/>
      <c r="AM176" s="53"/>
      <c r="AN176" s="53"/>
      <c r="AO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1:53" s="9" customFormat="1" ht="24.75" customHeight="1" x14ac:dyDescent="0.35">
      <c r="A177" s="181"/>
      <c r="B177" s="163"/>
      <c r="C177" s="158"/>
      <c r="E177" s="268"/>
      <c r="F177" s="268"/>
      <c r="G177" s="268"/>
      <c r="H177" s="40"/>
      <c r="I177" s="130"/>
      <c r="J177" s="130"/>
      <c r="K177" s="130"/>
      <c r="L177" s="130"/>
      <c r="M177" s="130"/>
      <c r="N177" s="126"/>
      <c r="O177" s="204"/>
      <c r="P177" s="126"/>
      <c r="Q177" s="124"/>
      <c r="R177" s="192"/>
      <c r="S177" s="126"/>
      <c r="T177" s="200"/>
      <c r="U177" s="200"/>
      <c r="V177" s="200"/>
      <c r="W177" s="200"/>
      <c r="X177" s="200"/>
      <c r="Y177" s="200"/>
      <c r="Z177" s="192" t="str">
        <f ca="1">IF(Flag_Send_Data=1,_xll.DBSW(PL_Saisie_Estime2!Z177,Server&amp;Cube1,PL_Saisie_Estime2!$F$17,PL_Saisie_Estime2!$F$18,PL_Saisie_Estime2!$F$19,PL_Saisie_Estime2!$F$16,PL_Saisie_Estime2!$C$14,PL_Saisie_Estime2!$F$15,PL_Saisie_Estime2!$F$14,PL_Saisie_Estime2!$F$20,PL_Saisie_Estime2!Z$2,PL_Saisie_Estime2!Z$1,PL_Saisie_Estime2!$C177),"")</f>
        <v/>
      </c>
      <c r="AA177" s="192" t="str">
        <f ca="1">IF(Flag_Send_Data=1,_xll.DBSW(PL_Saisie_Estime2!AA177,Server&amp;Cube1,PL_Saisie_Estime2!$F$17,PL_Saisie_Estime2!$F$18,PL_Saisie_Estime2!$F$19,PL_Saisie_Estime2!$F$16,PL_Saisie_Estime2!$C$14,PL_Saisie_Estime2!$F$15,PL_Saisie_Estime2!$F$14,PL_Saisie_Estime2!$F$20,PL_Saisie_Estime2!AA$2,PL_Saisie_Estime2!AA$1,PL_Saisie_Estime2!$C177),"")</f>
        <v/>
      </c>
      <c r="AB177" s="192" t="str">
        <f ca="1">IF(Flag_Send_Data=1,_xll.DBSW(PL_Saisie_Estime2!AB177,Server&amp;Cube1,PL_Saisie_Estime2!$F$17,PL_Saisie_Estime2!$F$18,PL_Saisie_Estime2!$F$19,PL_Saisie_Estime2!$F$16,PL_Saisie_Estime2!$C$14,PL_Saisie_Estime2!$F$15,PL_Saisie_Estime2!$F$14,PL_Saisie_Estime2!$F$20,PL_Saisie_Estime2!AB$2,PL_Saisie_Estime2!AB$1,PL_Saisie_Estime2!$C177),"")</f>
        <v/>
      </c>
      <c r="AC177" s="192" t="str">
        <f ca="1">IF(Flag_Send_Data=1,_xll.DBSW(PL_Saisie_Estime2!AC177,Server&amp;Cube1,PL_Saisie_Estime2!$F$17,PL_Saisie_Estime2!$F$18,PL_Saisie_Estime2!$F$19,PL_Saisie_Estime2!$F$16,PL_Saisie_Estime2!$C$14,PL_Saisie_Estime2!$F$15,PL_Saisie_Estime2!$F$14,PL_Saisie_Estime2!$F$20,PL_Saisie_Estime2!AC$2,PL_Saisie_Estime2!AC$1,PL_Saisie_Estime2!$C177),"")</f>
        <v/>
      </c>
      <c r="AD177" s="192" t="str">
        <f ca="1">IF(Flag_Send_Data=1,_xll.DBSW(PL_Saisie_Estime2!AD177,Server&amp;Cube1,PL_Saisie_Estime2!$F$17,PL_Saisie_Estime2!$F$18,PL_Saisie_Estime2!$F$19,PL_Saisie_Estime2!$F$16,PL_Saisie_Estime2!$C$14,PL_Saisie_Estime2!$F$15,PL_Saisie_Estime2!$F$14,PL_Saisie_Estime2!$F$20,PL_Saisie_Estime2!AD$2,PL_Saisie_Estime2!AD$1,PL_Saisie_Estime2!$C177),"")</f>
        <v/>
      </c>
      <c r="AE177" s="192" t="str">
        <f ca="1">IF(Flag_Send_Data=1,_xll.DBSW(PL_Saisie_Estime2!AE177,Server&amp;Cube1,PL_Saisie_Estime2!$F$17,PL_Saisie_Estime2!$F$18,PL_Saisie_Estime2!$F$19,PL_Saisie_Estime2!$F$16,PL_Saisie_Estime2!$C$14,PL_Saisie_Estime2!$F$15,PL_Saisie_Estime2!$F$14,PL_Saisie_Estime2!$F$20,PL_Saisie_Estime2!AE$2,PL_Saisie_Estime2!AE$1,PL_Saisie_Estime2!$C177),"")</f>
        <v/>
      </c>
      <c r="AF177" s="204"/>
      <c r="AG177" s="53"/>
      <c r="AH177" s="53"/>
      <c r="AI177" s="53"/>
      <c r="AJ177" s="53"/>
      <c r="AK177" s="53"/>
      <c r="AL177" s="53"/>
      <c r="AM177" s="53"/>
      <c r="AN177" s="53"/>
      <c r="AO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1:53" s="9" customFormat="1" ht="24.75" customHeight="1" x14ac:dyDescent="0.35">
      <c r="A178" s="181"/>
      <c r="B178" s="163"/>
      <c r="C178" s="158"/>
      <c r="E178" s="268"/>
      <c r="F178" s="268"/>
      <c r="G178" s="268"/>
      <c r="H178" s="40"/>
      <c r="I178" s="130"/>
      <c r="J178" s="130"/>
      <c r="K178" s="130"/>
      <c r="L178" s="130"/>
      <c r="M178" s="130"/>
      <c r="N178" s="126"/>
      <c r="O178" s="204"/>
      <c r="P178" s="126"/>
      <c r="Q178" s="124"/>
      <c r="R178" s="192"/>
      <c r="S178" s="126"/>
      <c r="T178" s="200"/>
      <c r="U178" s="200"/>
      <c r="V178" s="200"/>
      <c r="W178" s="200"/>
      <c r="X178" s="200"/>
      <c r="Y178" s="200"/>
      <c r="Z178" s="192" t="str">
        <f ca="1">IF(Flag_Send_Data=1,_xll.DBSW(PL_Saisie_Estime2!Z178,Server&amp;Cube1,PL_Saisie_Estime2!$F$17,PL_Saisie_Estime2!$F$18,PL_Saisie_Estime2!$F$19,PL_Saisie_Estime2!$F$16,PL_Saisie_Estime2!$C$14,PL_Saisie_Estime2!$F$15,PL_Saisie_Estime2!$F$14,PL_Saisie_Estime2!$F$20,PL_Saisie_Estime2!Z$2,PL_Saisie_Estime2!Z$1,PL_Saisie_Estime2!$C178),"")</f>
        <v/>
      </c>
      <c r="AA178" s="192" t="str">
        <f ca="1">IF(Flag_Send_Data=1,_xll.DBSW(PL_Saisie_Estime2!AA178,Server&amp;Cube1,PL_Saisie_Estime2!$F$17,PL_Saisie_Estime2!$F$18,PL_Saisie_Estime2!$F$19,PL_Saisie_Estime2!$F$16,PL_Saisie_Estime2!$C$14,PL_Saisie_Estime2!$F$15,PL_Saisie_Estime2!$F$14,PL_Saisie_Estime2!$F$20,PL_Saisie_Estime2!AA$2,PL_Saisie_Estime2!AA$1,PL_Saisie_Estime2!$C178),"")</f>
        <v/>
      </c>
      <c r="AB178" s="192" t="str">
        <f ca="1">IF(Flag_Send_Data=1,_xll.DBSW(PL_Saisie_Estime2!AB178,Server&amp;Cube1,PL_Saisie_Estime2!$F$17,PL_Saisie_Estime2!$F$18,PL_Saisie_Estime2!$F$19,PL_Saisie_Estime2!$F$16,PL_Saisie_Estime2!$C$14,PL_Saisie_Estime2!$F$15,PL_Saisie_Estime2!$F$14,PL_Saisie_Estime2!$F$20,PL_Saisie_Estime2!AB$2,PL_Saisie_Estime2!AB$1,PL_Saisie_Estime2!$C178),"")</f>
        <v/>
      </c>
      <c r="AC178" s="192" t="str">
        <f ca="1">IF(Flag_Send_Data=1,_xll.DBSW(PL_Saisie_Estime2!AC178,Server&amp;Cube1,PL_Saisie_Estime2!$F$17,PL_Saisie_Estime2!$F$18,PL_Saisie_Estime2!$F$19,PL_Saisie_Estime2!$F$16,PL_Saisie_Estime2!$C$14,PL_Saisie_Estime2!$F$15,PL_Saisie_Estime2!$F$14,PL_Saisie_Estime2!$F$20,PL_Saisie_Estime2!AC$2,PL_Saisie_Estime2!AC$1,PL_Saisie_Estime2!$C178),"")</f>
        <v/>
      </c>
      <c r="AD178" s="192" t="str">
        <f ca="1">IF(Flag_Send_Data=1,_xll.DBSW(PL_Saisie_Estime2!AD178,Server&amp;Cube1,PL_Saisie_Estime2!$F$17,PL_Saisie_Estime2!$F$18,PL_Saisie_Estime2!$F$19,PL_Saisie_Estime2!$F$16,PL_Saisie_Estime2!$C$14,PL_Saisie_Estime2!$F$15,PL_Saisie_Estime2!$F$14,PL_Saisie_Estime2!$F$20,PL_Saisie_Estime2!AD$2,PL_Saisie_Estime2!AD$1,PL_Saisie_Estime2!$C178),"")</f>
        <v/>
      </c>
      <c r="AE178" s="192" t="str">
        <f ca="1">IF(Flag_Send_Data=1,_xll.DBSW(PL_Saisie_Estime2!AE178,Server&amp;Cube1,PL_Saisie_Estime2!$F$17,PL_Saisie_Estime2!$F$18,PL_Saisie_Estime2!$F$19,PL_Saisie_Estime2!$F$16,PL_Saisie_Estime2!$C$14,PL_Saisie_Estime2!$F$15,PL_Saisie_Estime2!$F$14,PL_Saisie_Estime2!$F$20,PL_Saisie_Estime2!AE$2,PL_Saisie_Estime2!AE$1,PL_Saisie_Estime2!$C178),"")</f>
        <v/>
      </c>
      <c r="AF178" s="204"/>
      <c r="AG178" s="53"/>
      <c r="AH178" s="53"/>
      <c r="AI178" s="53"/>
      <c r="AJ178" s="53"/>
      <c r="AK178" s="53"/>
      <c r="AL178" s="53"/>
      <c r="AM178" s="53"/>
      <c r="AN178" s="53"/>
      <c r="AO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1:53" s="9" customFormat="1" ht="24.75" customHeight="1" x14ac:dyDescent="0.35">
      <c r="A179" s="181"/>
      <c r="B179" s="163"/>
      <c r="C179" s="158"/>
      <c r="E179" s="268"/>
      <c r="F179" s="268"/>
      <c r="G179" s="268"/>
      <c r="H179" s="40"/>
      <c r="I179" s="130"/>
      <c r="J179" s="130"/>
      <c r="K179" s="130"/>
      <c r="L179" s="130"/>
      <c r="M179" s="130"/>
      <c r="N179" s="126"/>
      <c r="O179" s="204"/>
      <c r="P179" s="126"/>
      <c r="Q179" s="124"/>
      <c r="R179" s="192"/>
      <c r="S179" s="126"/>
      <c r="T179" s="200"/>
      <c r="U179" s="200"/>
      <c r="V179" s="200"/>
      <c r="W179" s="200"/>
      <c r="X179" s="200"/>
      <c r="Y179" s="200"/>
      <c r="Z179" s="192" t="str">
        <f ca="1">IF(Flag_Send_Data=1,_xll.DBSW(PL_Saisie_Estime2!Z179,Server&amp;Cube1,PL_Saisie_Estime2!$F$17,PL_Saisie_Estime2!$F$18,PL_Saisie_Estime2!$F$19,PL_Saisie_Estime2!$F$16,PL_Saisie_Estime2!$C$14,PL_Saisie_Estime2!$F$15,PL_Saisie_Estime2!$F$14,PL_Saisie_Estime2!$F$20,PL_Saisie_Estime2!Z$2,PL_Saisie_Estime2!Z$1,PL_Saisie_Estime2!$C179),"")</f>
        <v/>
      </c>
      <c r="AA179" s="192" t="str">
        <f ca="1">IF(Flag_Send_Data=1,_xll.DBSW(PL_Saisie_Estime2!AA179,Server&amp;Cube1,PL_Saisie_Estime2!$F$17,PL_Saisie_Estime2!$F$18,PL_Saisie_Estime2!$F$19,PL_Saisie_Estime2!$F$16,PL_Saisie_Estime2!$C$14,PL_Saisie_Estime2!$F$15,PL_Saisie_Estime2!$F$14,PL_Saisie_Estime2!$F$20,PL_Saisie_Estime2!AA$2,PL_Saisie_Estime2!AA$1,PL_Saisie_Estime2!$C179),"")</f>
        <v/>
      </c>
      <c r="AB179" s="192" t="str">
        <f ca="1">IF(Flag_Send_Data=1,_xll.DBSW(PL_Saisie_Estime2!AB179,Server&amp;Cube1,PL_Saisie_Estime2!$F$17,PL_Saisie_Estime2!$F$18,PL_Saisie_Estime2!$F$19,PL_Saisie_Estime2!$F$16,PL_Saisie_Estime2!$C$14,PL_Saisie_Estime2!$F$15,PL_Saisie_Estime2!$F$14,PL_Saisie_Estime2!$F$20,PL_Saisie_Estime2!AB$2,PL_Saisie_Estime2!AB$1,PL_Saisie_Estime2!$C179),"")</f>
        <v/>
      </c>
      <c r="AC179" s="192" t="str">
        <f ca="1">IF(Flag_Send_Data=1,_xll.DBSW(PL_Saisie_Estime2!AC179,Server&amp;Cube1,PL_Saisie_Estime2!$F$17,PL_Saisie_Estime2!$F$18,PL_Saisie_Estime2!$F$19,PL_Saisie_Estime2!$F$16,PL_Saisie_Estime2!$C$14,PL_Saisie_Estime2!$F$15,PL_Saisie_Estime2!$F$14,PL_Saisie_Estime2!$F$20,PL_Saisie_Estime2!AC$2,PL_Saisie_Estime2!AC$1,PL_Saisie_Estime2!$C179),"")</f>
        <v/>
      </c>
      <c r="AD179" s="192" t="str">
        <f ca="1">IF(Flag_Send_Data=1,_xll.DBSW(PL_Saisie_Estime2!AD179,Server&amp;Cube1,PL_Saisie_Estime2!$F$17,PL_Saisie_Estime2!$F$18,PL_Saisie_Estime2!$F$19,PL_Saisie_Estime2!$F$16,PL_Saisie_Estime2!$C$14,PL_Saisie_Estime2!$F$15,PL_Saisie_Estime2!$F$14,PL_Saisie_Estime2!$F$20,PL_Saisie_Estime2!AD$2,PL_Saisie_Estime2!AD$1,PL_Saisie_Estime2!$C179),"")</f>
        <v/>
      </c>
      <c r="AE179" s="192" t="str">
        <f ca="1">IF(Flag_Send_Data=1,_xll.DBSW(PL_Saisie_Estime2!AE179,Server&amp;Cube1,PL_Saisie_Estime2!$F$17,PL_Saisie_Estime2!$F$18,PL_Saisie_Estime2!$F$19,PL_Saisie_Estime2!$F$16,PL_Saisie_Estime2!$C$14,PL_Saisie_Estime2!$F$15,PL_Saisie_Estime2!$F$14,PL_Saisie_Estime2!$F$20,PL_Saisie_Estime2!AE$2,PL_Saisie_Estime2!AE$1,PL_Saisie_Estime2!$C179),"")</f>
        <v/>
      </c>
      <c r="AF179" s="204"/>
      <c r="AG179" s="53"/>
      <c r="AH179" s="53"/>
      <c r="AI179" s="53"/>
      <c r="AJ179" s="53"/>
      <c r="AK179" s="53"/>
      <c r="AL179" s="53"/>
      <c r="AM179" s="53"/>
      <c r="AN179" s="53"/>
      <c r="AO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1:53" s="9" customFormat="1" ht="24.75" customHeight="1" x14ac:dyDescent="0.35">
      <c r="A180" s="181"/>
      <c r="B180" s="163"/>
      <c r="C180" s="158"/>
      <c r="E180" s="268"/>
      <c r="F180" s="268"/>
      <c r="G180" s="268"/>
      <c r="H180" s="40"/>
      <c r="I180" s="130"/>
      <c r="J180" s="130"/>
      <c r="K180" s="130"/>
      <c r="L180" s="130"/>
      <c r="M180" s="130"/>
      <c r="N180" s="126"/>
      <c r="O180" s="204"/>
      <c r="P180" s="126"/>
      <c r="Q180" s="124"/>
      <c r="R180" s="192"/>
      <c r="S180" s="126"/>
      <c r="T180" s="200"/>
      <c r="U180" s="200"/>
      <c r="V180" s="200"/>
      <c r="W180" s="200"/>
      <c r="X180" s="200"/>
      <c r="Y180" s="200"/>
      <c r="Z180" s="192" t="str">
        <f ca="1">IF(Flag_Send_Data=1,_xll.DBSW(PL_Saisie_Estime2!Z180,Server&amp;Cube1,PL_Saisie_Estime2!$F$17,PL_Saisie_Estime2!$F$18,PL_Saisie_Estime2!$F$19,PL_Saisie_Estime2!$F$16,PL_Saisie_Estime2!$C$14,PL_Saisie_Estime2!$F$15,PL_Saisie_Estime2!$F$14,PL_Saisie_Estime2!$F$20,PL_Saisie_Estime2!Z$2,PL_Saisie_Estime2!Z$1,PL_Saisie_Estime2!$C180),"")</f>
        <v/>
      </c>
      <c r="AA180" s="192" t="str">
        <f ca="1">IF(Flag_Send_Data=1,_xll.DBSW(PL_Saisie_Estime2!AA180,Server&amp;Cube1,PL_Saisie_Estime2!$F$17,PL_Saisie_Estime2!$F$18,PL_Saisie_Estime2!$F$19,PL_Saisie_Estime2!$F$16,PL_Saisie_Estime2!$C$14,PL_Saisie_Estime2!$F$15,PL_Saisie_Estime2!$F$14,PL_Saisie_Estime2!$F$20,PL_Saisie_Estime2!AA$2,PL_Saisie_Estime2!AA$1,PL_Saisie_Estime2!$C180),"")</f>
        <v/>
      </c>
      <c r="AB180" s="192" t="str">
        <f ca="1">IF(Flag_Send_Data=1,_xll.DBSW(PL_Saisie_Estime2!AB180,Server&amp;Cube1,PL_Saisie_Estime2!$F$17,PL_Saisie_Estime2!$F$18,PL_Saisie_Estime2!$F$19,PL_Saisie_Estime2!$F$16,PL_Saisie_Estime2!$C$14,PL_Saisie_Estime2!$F$15,PL_Saisie_Estime2!$F$14,PL_Saisie_Estime2!$F$20,PL_Saisie_Estime2!AB$2,PL_Saisie_Estime2!AB$1,PL_Saisie_Estime2!$C180),"")</f>
        <v/>
      </c>
      <c r="AC180" s="192" t="str">
        <f ca="1">IF(Flag_Send_Data=1,_xll.DBSW(PL_Saisie_Estime2!AC180,Server&amp;Cube1,PL_Saisie_Estime2!$F$17,PL_Saisie_Estime2!$F$18,PL_Saisie_Estime2!$F$19,PL_Saisie_Estime2!$F$16,PL_Saisie_Estime2!$C$14,PL_Saisie_Estime2!$F$15,PL_Saisie_Estime2!$F$14,PL_Saisie_Estime2!$F$20,PL_Saisie_Estime2!AC$2,PL_Saisie_Estime2!AC$1,PL_Saisie_Estime2!$C180),"")</f>
        <v/>
      </c>
      <c r="AD180" s="192" t="str">
        <f ca="1">IF(Flag_Send_Data=1,_xll.DBSW(PL_Saisie_Estime2!AD180,Server&amp;Cube1,PL_Saisie_Estime2!$F$17,PL_Saisie_Estime2!$F$18,PL_Saisie_Estime2!$F$19,PL_Saisie_Estime2!$F$16,PL_Saisie_Estime2!$C$14,PL_Saisie_Estime2!$F$15,PL_Saisie_Estime2!$F$14,PL_Saisie_Estime2!$F$20,PL_Saisie_Estime2!AD$2,PL_Saisie_Estime2!AD$1,PL_Saisie_Estime2!$C180),"")</f>
        <v/>
      </c>
      <c r="AE180" s="192" t="str">
        <f ca="1">IF(Flag_Send_Data=1,_xll.DBSW(PL_Saisie_Estime2!AE180,Server&amp;Cube1,PL_Saisie_Estime2!$F$17,PL_Saisie_Estime2!$F$18,PL_Saisie_Estime2!$F$19,PL_Saisie_Estime2!$F$16,PL_Saisie_Estime2!$C$14,PL_Saisie_Estime2!$F$15,PL_Saisie_Estime2!$F$14,PL_Saisie_Estime2!$F$20,PL_Saisie_Estime2!AE$2,PL_Saisie_Estime2!AE$1,PL_Saisie_Estime2!$C180),"")</f>
        <v/>
      </c>
      <c r="AF180" s="204"/>
      <c r="AG180" s="53"/>
      <c r="AH180" s="53"/>
      <c r="AI180" s="53"/>
      <c r="AJ180" s="53"/>
      <c r="AK180" s="53"/>
      <c r="AL180" s="53"/>
      <c r="AM180" s="53"/>
      <c r="AN180" s="53"/>
      <c r="AO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1:53" s="9" customFormat="1" ht="24.75" customHeight="1" x14ac:dyDescent="0.35">
      <c r="A181" s="181"/>
      <c r="B181" s="163"/>
      <c r="C181" s="158"/>
      <c r="E181" s="268"/>
      <c r="F181" s="268"/>
      <c r="G181" s="268"/>
      <c r="H181" s="40"/>
      <c r="I181" s="130"/>
      <c r="J181" s="130"/>
      <c r="K181" s="130"/>
      <c r="L181" s="130"/>
      <c r="M181" s="130"/>
      <c r="N181" s="126"/>
      <c r="O181" s="204"/>
      <c r="P181" s="126"/>
      <c r="Q181" s="124"/>
      <c r="R181" s="192"/>
      <c r="S181" s="126"/>
      <c r="T181" s="200"/>
      <c r="U181" s="200"/>
      <c r="V181" s="200"/>
      <c r="W181" s="200"/>
      <c r="X181" s="200"/>
      <c r="Y181" s="200"/>
      <c r="Z181" s="192" t="str">
        <f ca="1">IF(Flag_Send_Data=1,_xll.DBSW(PL_Saisie_Estime2!Z181,Server&amp;Cube1,PL_Saisie_Estime2!$F$17,PL_Saisie_Estime2!$F$18,PL_Saisie_Estime2!$F$19,PL_Saisie_Estime2!$F$16,PL_Saisie_Estime2!$C$14,PL_Saisie_Estime2!$F$15,PL_Saisie_Estime2!$F$14,PL_Saisie_Estime2!$F$20,PL_Saisie_Estime2!Z$2,PL_Saisie_Estime2!Z$1,PL_Saisie_Estime2!$C181),"")</f>
        <v/>
      </c>
      <c r="AA181" s="192" t="str">
        <f ca="1">IF(Flag_Send_Data=1,_xll.DBSW(PL_Saisie_Estime2!AA181,Server&amp;Cube1,PL_Saisie_Estime2!$F$17,PL_Saisie_Estime2!$F$18,PL_Saisie_Estime2!$F$19,PL_Saisie_Estime2!$F$16,PL_Saisie_Estime2!$C$14,PL_Saisie_Estime2!$F$15,PL_Saisie_Estime2!$F$14,PL_Saisie_Estime2!$F$20,PL_Saisie_Estime2!AA$2,PL_Saisie_Estime2!AA$1,PL_Saisie_Estime2!$C181),"")</f>
        <v/>
      </c>
      <c r="AB181" s="192" t="str">
        <f ca="1">IF(Flag_Send_Data=1,_xll.DBSW(PL_Saisie_Estime2!AB181,Server&amp;Cube1,PL_Saisie_Estime2!$F$17,PL_Saisie_Estime2!$F$18,PL_Saisie_Estime2!$F$19,PL_Saisie_Estime2!$F$16,PL_Saisie_Estime2!$C$14,PL_Saisie_Estime2!$F$15,PL_Saisie_Estime2!$F$14,PL_Saisie_Estime2!$F$20,PL_Saisie_Estime2!AB$2,PL_Saisie_Estime2!AB$1,PL_Saisie_Estime2!$C181),"")</f>
        <v/>
      </c>
      <c r="AC181" s="192" t="str">
        <f ca="1">IF(Flag_Send_Data=1,_xll.DBSW(PL_Saisie_Estime2!AC181,Server&amp;Cube1,PL_Saisie_Estime2!$F$17,PL_Saisie_Estime2!$F$18,PL_Saisie_Estime2!$F$19,PL_Saisie_Estime2!$F$16,PL_Saisie_Estime2!$C$14,PL_Saisie_Estime2!$F$15,PL_Saisie_Estime2!$F$14,PL_Saisie_Estime2!$F$20,PL_Saisie_Estime2!AC$2,PL_Saisie_Estime2!AC$1,PL_Saisie_Estime2!$C181),"")</f>
        <v/>
      </c>
      <c r="AD181" s="192" t="str">
        <f ca="1">IF(Flag_Send_Data=1,_xll.DBSW(PL_Saisie_Estime2!AD181,Server&amp;Cube1,PL_Saisie_Estime2!$F$17,PL_Saisie_Estime2!$F$18,PL_Saisie_Estime2!$F$19,PL_Saisie_Estime2!$F$16,PL_Saisie_Estime2!$C$14,PL_Saisie_Estime2!$F$15,PL_Saisie_Estime2!$F$14,PL_Saisie_Estime2!$F$20,PL_Saisie_Estime2!AD$2,PL_Saisie_Estime2!AD$1,PL_Saisie_Estime2!$C181),"")</f>
        <v/>
      </c>
      <c r="AE181" s="192" t="str">
        <f ca="1">IF(Flag_Send_Data=1,_xll.DBSW(PL_Saisie_Estime2!AE181,Server&amp;Cube1,PL_Saisie_Estime2!$F$17,PL_Saisie_Estime2!$F$18,PL_Saisie_Estime2!$F$19,PL_Saisie_Estime2!$F$16,PL_Saisie_Estime2!$C$14,PL_Saisie_Estime2!$F$15,PL_Saisie_Estime2!$F$14,PL_Saisie_Estime2!$F$20,PL_Saisie_Estime2!AE$2,PL_Saisie_Estime2!AE$1,PL_Saisie_Estime2!$C181),"")</f>
        <v/>
      </c>
      <c r="AF181" s="204"/>
      <c r="AG181" s="53"/>
      <c r="AH181" s="53"/>
      <c r="AI181" s="53"/>
      <c r="AJ181" s="53"/>
      <c r="AK181" s="53"/>
      <c r="AL181" s="53"/>
      <c r="AM181" s="53"/>
      <c r="AN181" s="53"/>
      <c r="AO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1:53" s="9" customFormat="1" ht="24.75" customHeight="1" x14ac:dyDescent="0.35">
      <c r="A182" s="181"/>
      <c r="B182" s="163"/>
      <c r="C182" s="158"/>
      <c r="E182" s="268"/>
      <c r="F182" s="268"/>
      <c r="G182" s="268"/>
      <c r="H182" s="40"/>
      <c r="I182" s="130"/>
      <c r="J182" s="130"/>
      <c r="K182" s="130"/>
      <c r="L182" s="130"/>
      <c r="M182" s="130"/>
      <c r="N182" s="126"/>
      <c r="O182" s="204"/>
      <c r="P182" s="126"/>
      <c r="Q182" s="124"/>
      <c r="R182" s="192"/>
      <c r="S182" s="126"/>
      <c r="T182" s="200"/>
      <c r="U182" s="200"/>
      <c r="V182" s="200"/>
      <c r="W182" s="200"/>
      <c r="X182" s="200"/>
      <c r="Y182" s="200"/>
      <c r="Z182" s="192" t="str">
        <f ca="1">IF(Flag_Send_Data=1,_xll.DBSW(PL_Saisie_Estime2!Z182,Server&amp;Cube1,PL_Saisie_Estime2!$F$17,PL_Saisie_Estime2!$F$18,PL_Saisie_Estime2!$F$19,PL_Saisie_Estime2!$F$16,PL_Saisie_Estime2!$C$14,PL_Saisie_Estime2!$F$15,PL_Saisie_Estime2!$F$14,PL_Saisie_Estime2!$F$20,PL_Saisie_Estime2!Z$2,PL_Saisie_Estime2!Z$1,PL_Saisie_Estime2!$C182),"")</f>
        <v/>
      </c>
      <c r="AA182" s="192" t="str">
        <f ca="1">IF(Flag_Send_Data=1,_xll.DBSW(PL_Saisie_Estime2!AA182,Server&amp;Cube1,PL_Saisie_Estime2!$F$17,PL_Saisie_Estime2!$F$18,PL_Saisie_Estime2!$F$19,PL_Saisie_Estime2!$F$16,PL_Saisie_Estime2!$C$14,PL_Saisie_Estime2!$F$15,PL_Saisie_Estime2!$F$14,PL_Saisie_Estime2!$F$20,PL_Saisie_Estime2!AA$2,PL_Saisie_Estime2!AA$1,PL_Saisie_Estime2!$C182),"")</f>
        <v/>
      </c>
      <c r="AB182" s="192" t="str">
        <f ca="1">IF(Flag_Send_Data=1,_xll.DBSW(PL_Saisie_Estime2!AB182,Server&amp;Cube1,PL_Saisie_Estime2!$F$17,PL_Saisie_Estime2!$F$18,PL_Saisie_Estime2!$F$19,PL_Saisie_Estime2!$F$16,PL_Saisie_Estime2!$C$14,PL_Saisie_Estime2!$F$15,PL_Saisie_Estime2!$F$14,PL_Saisie_Estime2!$F$20,PL_Saisie_Estime2!AB$2,PL_Saisie_Estime2!AB$1,PL_Saisie_Estime2!$C182),"")</f>
        <v/>
      </c>
      <c r="AC182" s="192" t="str">
        <f ca="1">IF(Flag_Send_Data=1,_xll.DBSW(PL_Saisie_Estime2!AC182,Server&amp;Cube1,PL_Saisie_Estime2!$F$17,PL_Saisie_Estime2!$F$18,PL_Saisie_Estime2!$F$19,PL_Saisie_Estime2!$F$16,PL_Saisie_Estime2!$C$14,PL_Saisie_Estime2!$F$15,PL_Saisie_Estime2!$F$14,PL_Saisie_Estime2!$F$20,PL_Saisie_Estime2!AC$2,PL_Saisie_Estime2!AC$1,PL_Saisie_Estime2!$C182),"")</f>
        <v/>
      </c>
      <c r="AD182" s="192" t="str">
        <f ca="1">IF(Flag_Send_Data=1,_xll.DBSW(PL_Saisie_Estime2!AD182,Server&amp;Cube1,PL_Saisie_Estime2!$F$17,PL_Saisie_Estime2!$F$18,PL_Saisie_Estime2!$F$19,PL_Saisie_Estime2!$F$16,PL_Saisie_Estime2!$C$14,PL_Saisie_Estime2!$F$15,PL_Saisie_Estime2!$F$14,PL_Saisie_Estime2!$F$20,PL_Saisie_Estime2!AD$2,PL_Saisie_Estime2!AD$1,PL_Saisie_Estime2!$C182),"")</f>
        <v/>
      </c>
      <c r="AE182" s="192" t="str">
        <f ca="1">IF(Flag_Send_Data=1,_xll.DBSW(PL_Saisie_Estime2!AE182,Server&amp;Cube1,PL_Saisie_Estime2!$F$17,PL_Saisie_Estime2!$F$18,PL_Saisie_Estime2!$F$19,PL_Saisie_Estime2!$F$16,PL_Saisie_Estime2!$C$14,PL_Saisie_Estime2!$F$15,PL_Saisie_Estime2!$F$14,PL_Saisie_Estime2!$F$20,PL_Saisie_Estime2!AE$2,PL_Saisie_Estime2!AE$1,PL_Saisie_Estime2!$C182),"")</f>
        <v/>
      </c>
      <c r="AF182" s="204"/>
      <c r="AG182" s="53"/>
      <c r="AH182" s="53"/>
      <c r="AI182" s="53"/>
      <c r="AJ182" s="53"/>
      <c r="AK182" s="53"/>
      <c r="AL182" s="53"/>
      <c r="AM182" s="53"/>
      <c r="AN182" s="53"/>
      <c r="AO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1:53" s="9" customFormat="1" ht="24.75" customHeight="1" x14ac:dyDescent="0.35">
      <c r="A183" s="181"/>
      <c r="B183" s="163"/>
      <c r="C183" s="158"/>
      <c r="E183" s="268"/>
      <c r="F183" s="268"/>
      <c r="G183" s="268"/>
      <c r="H183" s="40"/>
      <c r="I183" s="130"/>
      <c r="J183" s="130"/>
      <c r="K183" s="130"/>
      <c r="L183" s="130"/>
      <c r="M183" s="130"/>
      <c r="N183" s="126"/>
      <c r="O183" s="204"/>
      <c r="P183" s="126"/>
      <c r="Q183" s="124"/>
      <c r="R183" s="192"/>
      <c r="S183" s="126"/>
      <c r="T183" s="200"/>
      <c r="U183" s="200"/>
      <c r="V183" s="200"/>
      <c r="W183" s="200"/>
      <c r="X183" s="200"/>
      <c r="Y183" s="200"/>
      <c r="Z183" s="192" t="str">
        <f ca="1">IF(Flag_Send_Data=1,_xll.DBSW(PL_Saisie_Estime2!Z183,Server&amp;Cube1,PL_Saisie_Estime2!$F$17,PL_Saisie_Estime2!$F$18,PL_Saisie_Estime2!$F$19,PL_Saisie_Estime2!$F$16,PL_Saisie_Estime2!$C$14,PL_Saisie_Estime2!$F$15,PL_Saisie_Estime2!$F$14,PL_Saisie_Estime2!$F$20,PL_Saisie_Estime2!Z$2,PL_Saisie_Estime2!Z$1,PL_Saisie_Estime2!$C183),"")</f>
        <v/>
      </c>
      <c r="AA183" s="192" t="str">
        <f ca="1">IF(Flag_Send_Data=1,_xll.DBSW(PL_Saisie_Estime2!AA183,Server&amp;Cube1,PL_Saisie_Estime2!$F$17,PL_Saisie_Estime2!$F$18,PL_Saisie_Estime2!$F$19,PL_Saisie_Estime2!$F$16,PL_Saisie_Estime2!$C$14,PL_Saisie_Estime2!$F$15,PL_Saisie_Estime2!$F$14,PL_Saisie_Estime2!$F$20,PL_Saisie_Estime2!AA$2,PL_Saisie_Estime2!AA$1,PL_Saisie_Estime2!$C183),"")</f>
        <v/>
      </c>
      <c r="AB183" s="192" t="str">
        <f ca="1">IF(Flag_Send_Data=1,_xll.DBSW(PL_Saisie_Estime2!AB183,Server&amp;Cube1,PL_Saisie_Estime2!$F$17,PL_Saisie_Estime2!$F$18,PL_Saisie_Estime2!$F$19,PL_Saisie_Estime2!$F$16,PL_Saisie_Estime2!$C$14,PL_Saisie_Estime2!$F$15,PL_Saisie_Estime2!$F$14,PL_Saisie_Estime2!$F$20,PL_Saisie_Estime2!AB$2,PL_Saisie_Estime2!AB$1,PL_Saisie_Estime2!$C183),"")</f>
        <v/>
      </c>
      <c r="AC183" s="192" t="str">
        <f ca="1">IF(Flag_Send_Data=1,_xll.DBSW(PL_Saisie_Estime2!AC183,Server&amp;Cube1,PL_Saisie_Estime2!$F$17,PL_Saisie_Estime2!$F$18,PL_Saisie_Estime2!$F$19,PL_Saisie_Estime2!$F$16,PL_Saisie_Estime2!$C$14,PL_Saisie_Estime2!$F$15,PL_Saisie_Estime2!$F$14,PL_Saisie_Estime2!$F$20,PL_Saisie_Estime2!AC$2,PL_Saisie_Estime2!AC$1,PL_Saisie_Estime2!$C183),"")</f>
        <v/>
      </c>
      <c r="AD183" s="192" t="str">
        <f ca="1">IF(Flag_Send_Data=1,_xll.DBSW(PL_Saisie_Estime2!AD183,Server&amp;Cube1,PL_Saisie_Estime2!$F$17,PL_Saisie_Estime2!$F$18,PL_Saisie_Estime2!$F$19,PL_Saisie_Estime2!$F$16,PL_Saisie_Estime2!$C$14,PL_Saisie_Estime2!$F$15,PL_Saisie_Estime2!$F$14,PL_Saisie_Estime2!$F$20,PL_Saisie_Estime2!AD$2,PL_Saisie_Estime2!AD$1,PL_Saisie_Estime2!$C183),"")</f>
        <v/>
      </c>
      <c r="AE183" s="192" t="str">
        <f ca="1">IF(Flag_Send_Data=1,_xll.DBSW(PL_Saisie_Estime2!AE183,Server&amp;Cube1,PL_Saisie_Estime2!$F$17,PL_Saisie_Estime2!$F$18,PL_Saisie_Estime2!$F$19,PL_Saisie_Estime2!$F$16,PL_Saisie_Estime2!$C$14,PL_Saisie_Estime2!$F$15,PL_Saisie_Estime2!$F$14,PL_Saisie_Estime2!$F$20,PL_Saisie_Estime2!AE$2,PL_Saisie_Estime2!AE$1,PL_Saisie_Estime2!$C183),"")</f>
        <v/>
      </c>
      <c r="AF183" s="204"/>
      <c r="AG183" s="53"/>
      <c r="AH183" s="53"/>
      <c r="AI183" s="53"/>
      <c r="AJ183" s="53"/>
      <c r="AK183" s="53"/>
      <c r="AL183" s="53"/>
      <c r="AM183" s="53"/>
      <c r="AN183" s="53"/>
      <c r="AO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1:53" s="9" customFormat="1" ht="24.75" customHeight="1" x14ac:dyDescent="0.35">
      <c r="A184" s="181"/>
      <c r="B184" s="163"/>
      <c r="C184" s="158"/>
      <c r="E184" s="268"/>
      <c r="F184" s="268"/>
      <c r="G184" s="268"/>
      <c r="H184" s="40"/>
      <c r="I184" s="130"/>
      <c r="J184" s="130"/>
      <c r="K184" s="130"/>
      <c r="L184" s="130"/>
      <c r="M184" s="130"/>
      <c r="N184" s="126"/>
      <c r="O184" s="204"/>
      <c r="P184" s="126"/>
      <c r="Q184" s="124"/>
      <c r="R184" s="192"/>
      <c r="S184" s="126"/>
      <c r="T184" s="200"/>
      <c r="U184" s="200"/>
      <c r="V184" s="200"/>
      <c r="W184" s="200"/>
      <c r="X184" s="200"/>
      <c r="Y184" s="200"/>
      <c r="Z184" s="192" t="str">
        <f ca="1">IF(Flag_Send_Data=1,_xll.DBSW(PL_Saisie_Estime2!Z184,Server&amp;Cube1,PL_Saisie_Estime2!$F$17,PL_Saisie_Estime2!$F$18,PL_Saisie_Estime2!$F$19,PL_Saisie_Estime2!$F$16,PL_Saisie_Estime2!$C$14,PL_Saisie_Estime2!$F$15,PL_Saisie_Estime2!$F$14,PL_Saisie_Estime2!$F$20,PL_Saisie_Estime2!Z$2,PL_Saisie_Estime2!Z$1,PL_Saisie_Estime2!$C184),"")</f>
        <v/>
      </c>
      <c r="AA184" s="192" t="str">
        <f ca="1">IF(Flag_Send_Data=1,_xll.DBSW(PL_Saisie_Estime2!AA184,Server&amp;Cube1,PL_Saisie_Estime2!$F$17,PL_Saisie_Estime2!$F$18,PL_Saisie_Estime2!$F$19,PL_Saisie_Estime2!$F$16,PL_Saisie_Estime2!$C$14,PL_Saisie_Estime2!$F$15,PL_Saisie_Estime2!$F$14,PL_Saisie_Estime2!$F$20,PL_Saisie_Estime2!AA$2,PL_Saisie_Estime2!AA$1,PL_Saisie_Estime2!$C184),"")</f>
        <v/>
      </c>
      <c r="AB184" s="192" t="str">
        <f ca="1">IF(Flag_Send_Data=1,_xll.DBSW(PL_Saisie_Estime2!AB184,Server&amp;Cube1,PL_Saisie_Estime2!$F$17,PL_Saisie_Estime2!$F$18,PL_Saisie_Estime2!$F$19,PL_Saisie_Estime2!$F$16,PL_Saisie_Estime2!$C$14,PL_Saisie_Estime2!$F$15,PL_Saisie_Estime2!$F$14,PL_Saisie_Estime2!$F$20,PL_Saisie_Estime2!AB$2,PL_Saisie_Estime2!AB$1,PL_Saisie_Estime2!$C184),"")</f>
        <v/>
      </c>
      <c r="AC184" s="192" t="str">
        <f ca="1">IF(Flag_Send_Data=1,_xll.DBSW(PL_Saisie_Estime2!AC184,Server&amp;Cube1,PL_Saisie_Estime2!$F$17,PL_Saisie_Estime2!$F$18,PL_Saisie_Estime2!$F$19,PL_Saisie_Estime2!$F$16,PL_Saisie_Estime2!$C$14,PL_Saisie_Estime2!$F$15,PL_Saisie_Estime2!$F$14,PL_Saisie_Estime2!$F$20,PL_Saisie_Estime2!AC$2,PL_Saisie_Estime2!AC$1,PL_Saisie_Estime2!$C184),"")</f>
        <v/>
      </c>
      <c r="AD184" s="192" t="str">
        <f ca="1">IF(Flag_Send_Data=1,_xll.DBSW(PL_Saisie_Estime2!AD184,Server&amp;Cube1,PL_Saisie_Estime2!$F$17,PL_Saisie_Estime2!$F$18,PL_Saisie_Estime2!$F$19,PL_Saisie_Estime2!$F$16,PL_Saisie_Estime2!$C$14,PL_Saisie_Estime2!$F$15,PL_Saisie_Estime2!$F$14,PL_Saisie_Estime2!$F$20,PL_Saisie_Estime2!AD$2,PL_Saisie_Estime2!AD$1,PL_Saisie_Estime2!$C184),"")</f>
        <v/>
      </c>
      <c r="AE184" s="192" t="str">
        <f ca="1">IF(Flag_Send_Data=1,_xll.DBSW(PL_Saisie_Estime2!AE184,Server&amp;Cube1,PL_Saisie_Estime2!$F$17,PL_Saisie_Estime2!$F$18,PL_Saisie_Estime2!$F$19,PL_Saisie_Estime2!$F$16,PL_Saisie_Estime2!$C$14,PL_Saisie_Estime2!$F$15,PL_Saisie_Estime2!$F$14,PL_Saisie_Estime2!$F$20,PL_Saisie_Estime2!AE$2,PL_Saisie_Estime2!AE$1,PL_Saisie_Estime2!$C184),"")</f>
        <v/>
      </c>
      <c r="AF184" s="204"/>
      <c r="AG184" s="53"/>
      <c r="AH184" s="53"/>
      <c r="AI184" s="53"/>
      <c r="AJ184" s="53"/>
      <c r="AK184" s="53"/>
      <c r="AL184" s="53"/>
      <c r="AM184" s="53"/>
      <c r="AN184" s="53"/>
      <c r="AO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1:53" s="9" customFormat="1" ht="24.75" customHeight="1" x14ac:dyDescent="0.35">
      <c r="A185" s="181"/>
      <c r="B185" s="163"/>
      <c r="C185" s="158"/>
      <c r="E185" s="268"/>
      <c r="F185" s="268"/>
      <c r="G185" s="268"/>
      <c r="H185" s="40"/>
      <c r="I185" s="130"/>
      <c r="J185" s="130"/>
      <c r="K185" s="130"/>
      <c r="L185" s="130"/>
      <c r="M185" s="130"/>
      <c r="N185" s="126"/>
      <c r="O185" s="204"/>
      <c r="P185" s="126"/>
      <c r="Q185" s="124"/>
      <c r="R185" s="192"/>
      <c r="S185" s="126"/>
      <c r="T185" s="200"/>
      <c r="U185" s="200"/>
      <c r="V185" s="200"/>
      <c r="W185" s="200"/>
      <c r="X185" s="200"/>
      <c r="Y185" s="200"/>
      <c r="Z185" s="192" t="str">
        <f ca="1">IF(Flag_Send_Data=1,_xll.DBSW(PL_Saisie_Estime2!Z185,Server&amp;Cube1,PL_Saisie_Estime2!$F$17,PL_Saisie_Estime2!$F$18,PL_Saisie_Estime2!$F$19,PL_Saisie_Estime2!$F$16,PL_Saisie_Estime2!$C$14,PL_Saisie_Estime2!$F$15,PL_Saisie_Estime2!$F$14,PL_Saisie_Estime2!$F$20,PL_Saisie_Estime2!Z$2,PL_Saisie_Estime2!Z$1,PL_Saisie_Estime2!$C185),"")</f>
        <v/>
      </c>
      <c r="AA185" s="192" t="str">
        <f ca="1">IF(Flag_Send_Data=1,_xll.DBSW(PL_Saisie_Estime2!AA185,Server&amp;Cube1,PL_Saisie_Estime2!$F$17,PL_Saisie_Estime2!$F$18,PL_Saisie_Estime2!$F$19,PL_Saisie_Estime2!$F$16,PL_Saisie_Estime2!$C$14,PL_Saisie_Estime2!$F$15,PL_Saisie_Estime2!$F$14,PL_Saisie_Estime2!$F$20,PL_Saisie_Estime2!AA$2,PL_Saisie_Estime2!AA$1,PL_Saisie_Estime2!$C185),"")</f>
        <v/>
      </c>
      <c r="AB185" s="192" t="str">
        <f ca="1">IF(Flag_Send_Data=1,_xll.DBSW(PL_Saisie_Estime2!AB185,Server&amp;Cube1,PL_Saisie_Estime2!$F$17,PL_Saisie_Estime2!$F$18,PL_Saisie_Estime2!$F$19,PL_Saisie_Estime2!$F$16,PL_Saisie_Estime2!$C$14,PL_Saisie_Estime2!$F$15,PL_Saisie_Estime2!$F$14,PL_Saisie_Estime2!$F$20,PL_Saisie_Estime2!AB$2,PL_Saisie_Estime2!AB$1,PL_Saisie_Estime2!$C185),"")</f>
        <v/>
      </c>
      <c r="AC185" s="192" t="str">
        <f ca="1">IF(Flag_Send_Data=1,_xll.DBSW(PL_Saisie_Estime2!AC185,Server&amp;Cube1,PL_Saisie_Estime2!$F$17,PL_Saisie_Estime2!$F$18,PL_Saisie_Estime2!$F$19,PL_Saisie_Estime2!$F$16,PL_Saisie_Estime2!$C$14,PL_Saisie_Estime2!$F$15,PL_Saisie_Estime2!$F$14,PL_Saisie_Estime2!$F$20,PL_Saisie_Estime2!AC$2,PL_Saisie_Estime2!AC$1,PL_Saisie_Estime2!$C185),"")</f>
        <v/>
      </c>
      <c r="AD185" s="192" t="str">
        <f ca="1">IF(Flag_Send_Data=1,_xll.DBSW(PL_Saisie_Estime2!AD185,Server&amp;Cube1,PL_Saisie_Estime2!$F$17,PL_Saisie_Estime2!$F$18,PL_Saisie_Estime2!$F$19,PL_Saisie_Estime2!$F$16,PL_Saisie_Estime2!$C$14,PL_Saisie_Estime2!$F$15,PL_Saisie_Estime2!$F$14,PL_Saisie_Estime2!$F$20,PL_Saisie_Estime2!AD$2,PL_Saisie_Estime2!AD$1,PL_Saisie_Estime2!$C185),"")</f>
        <v/>
      </c>
      <c r="AE185" s="192" t="str">
        <f ca="1">IF(Flag_Send_Data=1,_xll.DBSW(PL_Saisie_Estime2!AE185,Server&amp;Cube1,PL_Saisie_Estime2!$F$17,PL_Saisie_Estime2!$F$18,PL_Saisie_Estime2!$F$19,PL_Saisie_Estime2!$F$16,PL_Saisie_Estime2!$C$14,PL_Saisie_Estime2!$F$15,PL_Saisie_Estime2!$F$14,PL_Saisie_Estime2!$F$20,PL_Saisie_Estime2!AE$2,PL_Saisie_Estime2!AE$1,PL_Saisie_Estime2!$C185),"")</f>
        <v/>
      </c>
      <c r="AF185" s="204"/>
      <c r="AG185" s="53"/>
      <c r="AH185" s="53"/>
      <c r="AI185" s="53"/>
      <c r="AJ185" s="53"/>
      <c r="AK185" s="53"/>
      <c r="AL185" s="53"/>
      <c r="AM185" s="53"/>
      <c r="AN185" s="53"/>
      <c r="AO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1:53" s="9" customFormat="1" ht="24.75" customHeight="1" x14ac:dyDescent="0.35">
      <c r="A186" s="181"/>
      <c r="B186" s="163"/>
      <c r="C186" s="158"/>
      <c r="E186" s="268"/>
      <c r="F186" s="268"/>
      <c r="G186" s="268"/>
      <c r="H186" s="40"/>
      <c r="I186" s="130"/>
      <c r="J186" s="130"/>
      <c r="K186" s="130"/>
      <c r="L186" s="130"/>
      <c r="M186" s="130"/>
      <c r="N186" s="126"/>
      <c r="O186" s="204"/>
      <c r="P186" s="126"/>
      <c r="Q186" s="124"/>
      <c r="R186" s="192"/>
      <c r="S186" s="126"/>
      <c r="T186" s="200"/>
      <c r="U186" s="200"/>
      <c r="V186" s="200"/>
      <c r="W186" s="200"/>
      <c r="X186" s="200"/>
      <c r="Y186" s="200"/>
      <c r="Z186" s="192" t="str">
        <f ca="1">IF(Flag_Send_Data=1,_xll.DBSW(PL_Saisie_Estime2!Z186,Server&amp;Cube1,PL_Saisie_Estime2!$F$17,PL_Saisie_Estime2!$F$18,PL_Saisie_Estime2!$F$19,PL_Saisie_Estime2!$F$16,PL_Saisie_Estime2!$C$14,PL_Saisie_Estime2!$F$15,PL_Saisie_Estime2!$F$14,PL_Saisie_Estime2!$F$20,PL_Saisie_Estime2!Z$2,PL_Saisie_Estime2!Z$1,PL_Saisie_Estime2!$C186),"")</f>
        <v/>
      </c>
      <c r="AA186" s="192" t="str">
        <f ca="1">IF(Flag_Send_Data=1,_xll.DBSW(PL_Saisie_Estime2!AA186,Server&amp;Cube1,PL_Saisie_Estime2!$F$17,PL_Saisie_Estime2!$F$18,PL_Saisie_Estime2!$F$19,PL_Saisie_Estime2!$F$16,PL_Saisie_Estime2!$C$14,PL_Saisie_Estime2!$F$15,PL_Saisie_Estime2!$F$14,PL_Saisie_Estime2!$F$20,PL_Saisie_Estime2!AA$2,PL_Saisie_Estime2!AA$1,PL_Saisie_Estime2!$C186),"")</f>
        <v/>
      </c>
      <c r="AB186" s="192" t="str">
        <f ca="1">IF(Flag_Send_Data=1,_xll.DBSW(PL_Saisie_Estime2!AB186,Server&amp;Cube1,PL_Saisie_Estime2!$F$17,PL_Saisie_Estime2!$F$18,PL_Saisie_Estime2!$F$19,PL_Saisie_Estime2!$F$16,PL_Saisie_Estime2!$C$14,PL_Saisie_Estime2!$F$15,PL_Saisie_Estime2!$F$14,PL_Saisie_Estime2!$F$20,PL_Saisie_Estime2!AB$2,PL_Saisie_Estime2!AB$1,PL_Saisie_Estime2!$C186),"")</f>
        <v/>
      </c>
      <c r="AC186" s="192" t="str">
        <f ca="1">IF(Flag_Send_Data=1,_xll.DBSW(PL_Saisie_Estime2!AC186,Server&amp;Cube1,PL_Saisie_Estime2!$F$17,PL_Saisie_Estime2!$F$18,PL_Saisie_Estime2!$F$19,PL_Saisie_Estime2!$F$16,PL_Saisie_Estime2!$C$14,PL_Saisie_Estime2!$F$15,PL_Saisie_Estime2!$F$14,PL_Saisie_Estime2!$F$20,PL_Saisie_Estime2!AC$2,PL_Saisie_Estime2!AC$1,PL_Saisie_Estime2!$C186),"")</f>
        <v/>
      </c>
      <c r="AD186" s="192" t="str">
        <f ca="1">IF(Flag_Send_Data=1,_xll.DBSW(PL_Saisie_Estime2!AD186,Server&amp;Cube1,PL_Saisie_Estime2!$F$17,PL_Saisie_Estime2!$F$18,PL_Saisie_Estime2!$F$19,PL_Saisie_Estime2!$F$16,PL_Saisie_Estime2!$C$14,PL_Saisie_Estime2!$F$15,PL_Saisie_Estime2!$F$14,PL_Saisie_Estime2!$F$20,PL_Saisie_Estime2!AD$2,PL_Saisie_Estime2!AD$1,PL_Saisie_Estime2!$C186),"")</f>
        <v/>
      </c>
      <c r="AE186" s="192" t="str">
        <f ca="1">IF(Flag_Send_Data=1,_xll.DBSW(PL_Saisie_Estime2!AE186,Server&amp;Cube1,PL_Saisie_Estime2!$F$17,PL_Saisie_Estime2!$F$18,PL_Saisie_Estime2!$F$19,PL_Saisie_Estime2!$F$16,PL_Saisie_Estime2!$C$14,PL_Saisie_Estime2!$F$15,PL_Saisie_Estime2!$F$14,PL_Saisie_Estime2!$F$20,PL_Saisie_Estime2!AE$2,PL_Saisie_Estime2!AE$1,PL_Saisie_Estime2!$C186),"")</f>
        <v/>
      </c>
      <c r="AF186" s="204"/>
      <c r="AG186" s="53"/>
      <c r="AH186" s="53"/>
      <c r="AI186" s="53"/>
      <c r="AJ186" s="53"/>
      <c r="AK186" s="53"/>
      <c r="AL186" s="53"/>
      <c r="AM186" s="53"/>
      <c r="AN186" s="53"/>
      <c r="AO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1:53" s="9" customFormat="1" ht="24.75" customHeight="1" x14ac:dyDescent="0.35">
      <c r="A187" s="181"/>
      <c r="B187" s="163"/>
      <c r="C187" s="158"/>
      <c r="E187" s="268"/>
      <c r="F187" s="268"/>
      <c r="G187" s="268"/>
      <c r="H187" s="40"/>
      <c r="I187" s="130"/>
      <c r="J187" s="130"/>
      <c r="K187" s="130"/>
      <c r="L187" s="130"/>
      <c r="M187" s="130"/>
      <c r="N187" s="126"/>
      <c r="O187" s="204"/>
      <c r="P187" s="126"/>
      <c r="Q187" s="124"/>
      <c r="R187" s="192"/>
      <c r="S187" s="126"/>
      <c r="T187" s="200"/>
      <c r="U187" s="200"/>
      <c r="V187" s="200"/>
      <c r="W187" s="200"/>
      <c r="X187" s="200"/>
      <c r="Y187" s="200"/>
      <c r="Z187" s="192" t="str">
        <f ca="1">IF(Flag_Send_Data=1,_xll.DBSW(PL_Saisie_Estime2!Z187,Server&amp;Cube1,PL_Saisie_Estime2!$F$17,PL_Saisie_Estime2!$F$18,PL_Saisie_Estime2!$F$19,PL_Saisie_Estime2!$F$16,PL_Saisie_Estime2!$C$14,PL_Saisie_Estime2!$F$15,PL_Saisie_Estime2!$F$14,PL_Saisie_Estime2!$F$20,PL_Saisie_Estime2!Z$2,PL_Saisie_Estime2!Z$1,PL_Saisie_Estime2!$C187),"")</f>
        <v/>
      </c>
      <c r="AA187" s="192" t="str">
        <f ca="1">IF(Flag_Send_Data=1,_xll.DBSW(PL_Saisie_Estime2!AA187,Server&amp;Cube1,PL_Saisie_Estime2!$F$17,PL_Saisie_Estime2!$F$18,PL_Saisie_Estime2!$F$19,PL_Saisie_Estime2!$F$16,PL_Saisie_Estime2!$C$14,PL_Saisie_Estime2!$F$15,PL_Saisie_Estime2!$F$14,PL_Saisie_Estime2!$F$20,PL_Saisie_Estime2!AA$2,PL_Saisie_Estime2!AA$1,PL_Saisie_Estime2!$C187),"")</f>
        <v/>
      </c>
      <c r="AB187" s="192" t="str">
        <f ca="1">IF(Flag_Send_Data=1,_xll.DBSW(PL_Saisie_Estime2!AB187,Server&amp;Cube1,PL_Saisie_Estime2!$F$17,PL_Saisie_Estime2!$F$18,PL_Saisie_Estime2!$F$19,PL_Saisie_Estime2!$F$16,PL_Saisie_Estime2!$C$14,PL_Saisie_Estime2!$F$15,PL_Saisie_Estime2!$F$14,PL_Saisie_Estime2!$F$20,PL_Saisie_Estime2!AB$2,PL_Saisie_Estime2!AB$1,PL_Saisie_Estime2!$C187),"")</f>
        <v/>
      </c>
      <c r="AC187" s="192" t="str">
        <f ca="1">IF(Flag_Send_Data=1,_xll.DBSW(PL_Saisie_Estime2!AC187,Server&amp;Cube1,PL_Saisie_Estime2!$F$17,PL_Saisie_Estime2!$F$18,PL_Saisie_Estime2!$F$19,PL_Saisie_Estime2!$F$16,PL_Saisie_Estime2!$C$14,PL_Saisie_Estime2!$F$15,PL_Saisie_Estime2!$F$14,PL_Saisie_Estime2!$F$20,PL_Saisie_Estime2!AC$2,PL_Saisie_Estime2!AC$1,PL_Saisie_Estime2!$C187),"")</f>
        <v/>
      </c>
      <c r="AD187" s="192" t="str">
        <f ca="1">IF(Flag_Send_Data=1,_xll.DBSW(PL_Saisie_Estime2!AD187,Server&amp;Cube1,PL_Saisie_Estime2!$F$17,PL_Saisie_Estime2!$F$18,PL_Saisie_Estime2!$F$19,PL_Saisie_Estime2!$F$16,PL_Saisie_Estime2!$C$14,PL_Saisie_Estime2!$F$15,PL_Saisie_Estime2!$F$14,PL_Saisie_Estime2!$F$20,PL_Saisie_Estime2!AD$2,PL_Saisie_Estime2!AD$1,PL_Saisie_Estime2!$C187),"")</f>
        <v/>
      </c>
      <c r="AE187" s="192" t="str">
        <f ca="1">IF(Flag_Send_Data=1,_xll.DBSW(PL_Saisie_Estime2!AE187,Server&amp;Cube1,PL_Saisie_Estime2!$F$17,PL_Saisie_Estime2!$F$18,PL_Saisie_Estime2!$F$19,PL_Saisie_Estime2!$F$16,PL_Saisie_Estime2!$C$14,PL_Saisie_Estime2!$F$15,PL_Saisie_Estime2!$F$14,PL_Saisie_Estime2!$F$20,PL_Saisie_Estime2!AE$2,PL_Saisie_Estime2!AE$1,PL_Saisie_Estime2!$C187),"")</f>
        <v/>
      </c>
      <c r="AF187" s="204"/>
      <c r="AG187" s="53"/>
      <c r="AH187" s="53"/>
      <c r="AI187" s="53"/>
      <c r="AJ187" s="53"/>
      <c r="AK187" s="53"/>
      <c r="AL187" s="53"/>
      <c r="AM187" s="53"/>
      <c r="AN187" s="53"/>
      <c r="AO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1:53" s="9" customFormat="1" ht="24.75" customHeight="1" x14ac:dyDescent="0.35">
      <c r="A188" s="181"/>
      <c r="B188" s="163"/>
      <c r="C188" s="158"/>
      <c r="E188" s="268"/>
      <c r="F188" s="268"/>
      <c r="G188" s="268"/>
      <c r="H188" s="40"/>
      <c r="I188" s="130"/>
      <c r="J188" s="130"/>
      <c r="K188" s="130"/>
      <c r="L188" s="130"/>
      <c r="M188" s="130"/>
      <c r="N188" s="126"/>
      <c r="O188" s="204"/>
      <c r="P188" s="126"/>
      <c r="Q188" s="124"/>
      <c r="R188" s="192"/>
      <c r="S188" s="126"/>
      <c r="T188" s="200"/>
      <c r="U188" s="200"/>
      <c r="V188" s="200"/>
      <c r="W188" s="200"/>
      <c r="X188" s="200"/>
      <c r="Y188" s="200"/>
      <c r="Z188" s="192" t="str">
        <f ca="1">IF(Flag_Send_Data=1,_xll.DBSW(PL_Saisie_Estime2!Z188,Server&amp;Cube1,PL_Saisie_Estime2!$F$17,PL_Saisie_Estime2!$F$18,PL_Saisie_Estime2!$F$19,PL_Saisie_Estime2!$F$16,PL_Saisie_Estime2!$C$14,PL_Saisie_Estime2!$F$15,PL_Saisie_Estime2!$F$14,PL_Saisie_Estime2!$F$20,PL_Saisie_Estime2!Z$2,PL_Saisie_Estime2!Z$1,PL_Saisie_Estime2!$C188),"")</f>
        <v/>
      </c>
      <c r="AA188" s="192" t="str">
        <f ca="1">IF(Flag_Send_Data=1,_xll.DBSW(PL_Saisie_Estime2!AA188,Server&amp;Cube1,PL_Saisie_Estime2!$F$17,PL_Saisie_Estime2!$F$18,PL_Saisie_Estime2!$F$19,PL_Saisie_Estime2!$F$16,PL_Saisie_Estime2!$C$14,PL_Saisie_Estime2!$F$15,PL_Saisie_Estime2!$F$14,PL_Saisie_Estime2!$F$20,PL_Saisie_Estime2!AA$2,PL_Saisie_Estime2!AA$1,PL_Saisie_Estime2!$C188),"")</f>
        <v/>
      </c>
      <c r="AB188" s="192" t="str">
        <f ca="1">IF(Flag_Send_Data=1,_xll.DBSW(PL_Saisie_Estime2!AB188,Server&amp;Cube1,PL_Saisie_Estime2!$F$17,PL_Saisie_Estime2!$F$18,PL_Saisie_Estime2!$F$19,PL_Saisie_Estime2!$F$16,PL_Saisie_Estime2!$C$14,PL_Saisie_Estime2!$F$15,PL_Saisie_Estime2!$F$14,PL_Saisie_Estime2!$F$20,PL_Saisie_Estime2!AB$2,PL_Saisie_Estime2!AB$1,PL_Saisie_Estime2!$C188),"")</f>
        <v/>
      </c>
      <c r="AC188" s="192" t="str">
        <f ca="1">IF(Flag_Send_Data=1,_xll.DBSW(PL_Saisie_Estime2!AC188,Server&amp;Cube1,PL_Saisie_Estime2!$F$17,PL_Saisie_Estime2!$F$18,PL_Saisie_Estime2!$F$19,PL_Saisie_Estime2!$F$16,PL_Saisie_Estime2!$C$14,PL_Saisie_Estime2!$F$15,PL_Saisie_Estime2!$F$14,PL_Saisie_Estime2!$F$20,PL_Saisie_Estime2!AC$2,PL_Saisie_Estime2!AC$1,PL_Saisie_Estime2!$C188),"")</f>
        <v/>
      </c>
      <c r="AD188" s="192" t="str">
        <f ca="1">IF(Flag_Send_Data=1,_xll.DBSW(PL_Saisie_Estime2!AD188,Server&amp;Cube1,PL_Saisie_Estime2!$F$17,PL_Saisie_Estime2!$F$18,PL_Saisie_Estime2!$F$19,PL_Saisie_Estime2!$F$16,PL_Saisie_Estime2!$C$14,PL_Saisie_Estime2!$F$15,PL_Saisie_Estime2!$F$14,PL_Saisie_Estime2!$F$20,PL_Saisie_Estime2!AD$2,PL_Saisie_Estime2!AD$1,PL_Saisie_Estime2!$C188),"")</f>
        <v/>
      </c>
      <c r="AE188" s="192" t="str">
        <f ca="1">IF(Flag_Send_Data=1,_xll.DBSW(PL_Saisie_Estime2!AE188,Server&amp;Cube1,PL_Saisie_Estime2!$F$17,PL_Saisie_Estime2!$F$18,PL_Saisie_Estime2!$F$19,PL_Saisie_Estime2!$F$16,PL_Saisie_Estime2!$C$14,PL_Saisie_Estime2!$F$15,PL_Saisie_Estime2!$F$14,PL_Saisie_Estime2!$F$20,PL_Saisie_Estime2!AE$2,PL_Saisie_Estime2!AE$1,PL_Saisie_Estime2!$C188),"")</f>
        <v/>
      </c>
      <c r="AF188" s="204"/>
      <c r="AG188" s="53"/>
      <c r="AH188" s="53"/>
      <c r="AI188" s="53"/>
      <c r="AJ188" s="53"/>
      <c r="AK188" s="53"/>
      <c r="AL188" s="53"/>
      <c r="AM188" s="53"/>
      <c r="AN188" s="53"/>
      <c r="AO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1:53" s="9" customFormat="1" ht="24.75" customHeight="1" x14ac:dyDescent="0.35">
      <c r="A189" s="181"/>
      <c r="B189" s="163"/>
      <c r="C189" s="158"/>
      <c r="E189" s="268"/>
      <c r="F189" s="268"/>
      <c r="G189" s="268"/>
      <c r="H189" s="40"/>
      <c r="I189" s="130"/>
      <c r="J189" s="130"/>
      <c r="K189" s="130"/>
      <c r="L189" s="130"/>
      <c r="M189" s="130"/>
      <c r="N189" s="126"/>
      <c r="O189" s="204"/>
      <c r="P189" s="126"/>
      <c r="Q189" s="124"/>
      <c r="R189" s="192"/>
      <c r="S189" s="126"/>
      <c r="T189" s="200"/>
      <c r="U189" s="200"/>
      <c r="V189" s="200"/>
      <c r="W189" s="200"/>
      <c r="X189" s="200"/>
      <c r="Y189" s="200"/>
      <c r="Z189" s="192" t="str">
        <f ca="1">IF(Flag_Send_Data=1,_xll.DBSW(PL_Saisie_Estime2!Z189,Server&amp;Cube1,PL_Saisie_Estime2!$F$17,PL_Saisie_Estime2!$F$18,PL_Saisie_Estime2!$F$19,PL_Saisie_Estime2!$F$16,PL_Saisie_Estime2!$C$14,PL_Saisie_Estime2!$F$15,PL_Saisie_Estime2!$F$14,PL_Saisie_Estime2!$F$20,PL_Saisie_Estime2!Z$2,PL_Saisie_Estime2!Z$1,PL_Saisie_Estime2!$C189),"")</f>
        <v/>
      </c>
      <c r="AA189" s="192" t="str">
        <f ca="1">IF(Flag_Send_Data=1,_xll.DBSW(PL_Saisie_Estime2!AA189,Server&amp;Cube1,PL_Saisie_Estime2!$F$17,PL_Saisie_Estime2!$F$18,PL_Saisie_Estime2!$F$19,PL_Saisie_Estime2!$F$16,PL_Saisie_Estime2!$C$14,PL_Saisie_Estime2!$F$15,PL_Saisie_Estime2!$F$14,PL_Saisie_Estime2!$F$20,PL_Saisie_Estime2!AA$2,PL_Saisie_Estime2!AA$1,PL_Saisie_Estime2!$C189),"")</f>
        <v/>
      </c>
      <c r="AB189" s="192" t="str">
        <f ca="1">IF(Flag_Send_Data=1,_xll.DBSW(PL_Saisie_Estime2!AB189,Server&amp;Cube1,PL_Saisie_Estime2!$F$17,PL_Saisie_Estime2!$F$18,PL_Saisie_Estime2!$F$19,PL_Saisie_Estime2!$F$16,PL_Saisie_Estime2!$C$14,PL_Saisie_Estime2!$F$15,PL_Saisie_Estime2!$F$14,PL_Saisie_Estime2!$F$20,PL_Saisie_Estime2!AB$2,PL_Saisie_Estime2!AB$1,PL_Saisie_Estime2!$C189),"")</f>
        <v/>
      </c>
      <c r="AC189" s="192" t="str">
        <f ca="1">IF(Flag_Send_Data=1,_xll.DBSW(PL_Saisie_Estime2!AC189,Server&amp;Cube1,PL_Saisie_Estime2!$F$17,PL_Saisie_Estime2!$F$18,PL_Saisie_Estime2!$F$19,PL_Saisie_Estime2!$F$16,PL_Saisie_Estime2!$C$14,PL_Saisie_Estime2!$F$15,PL_Saisie_Estime2!$F$14,PL_Saisie_Estime2!$F$20,PL_Saisie_Estime2!AC$2,PL_Saisie_Estime2!AC$1,PL_Saisie_Estime2!$C189),"")</f>
        <v/>
      </c>
      <c r="AD189" s="192" t="str">
        <f ca="1">IF(Flag_Send_Data=1,_xll.DBSW(PL_Saisie_Estime2!AD189,Server&amp;Cube1,PL_Saisie_Estime2!$F$17,PL_Saisie_Estime2!$F$18,PL_Saisie_Estime2!$F$19,PL_Saisie_Estime2!$F$16,PL_Saisie_Estime2!$C$14,PL_Saisie_Estime2!$F$15,PL_Saisie_Estime2!$F$14,PL_Saisie_Estime2!$F$20,PL_Saisie_Estime2!AD$2,PL_Saisie_Estime2!AD$1,PL_Saisie_Estime2!$C189),"")</f>
        <v/>
      </c>
      <c r="AE189" s="192" t="str">
        <f ca="1">IF(Flag_Send_Data=1,_xll.DBSW(PL_Saisie_Estime2!AE189,Server&amp;Cube1,PL_Saisie_Estime2!$F$17,PL_Saisie_Estime2!$F$18,PL_Saisie_Estime2!$F$19,PL_Saisie_Estime2!$F$16,PL_Saisie_Estime2!$C$14,PL_Saisie_Estime2!$F$15,PL_Saisie_Estime2!$F$14,PL_Saisie_Estime2!$F$20,PL_Saisie_Estime2!AE$2,PL_Saisie_Estime2!AE$1,PL_Saisie_Estime2!$C189),"")</f>
        <v/>
      </c>
      <c r="AF189" s="204"/>
      <c r="AG189" s="53"/>
      <c r="AH189" s="53"/>
      <c r="AI189" s="53"/>
      <c r="AJ189" s="53"/>
      <c r="AK189" s="53"/>
      <c r="AL189" s="53"/>
      <c r="AM189" s="53"/>
      <c r="AN189" s="53"/>
      <c r="AO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1:53" s="9" customFormat="1" ht="24.95" customHeight="1" collapsed="1" x14ac:dyDescent="0.35">
      <c r="A190" s="181"/>
      <c r="B190" s="163"/>
      <c r="C190" s="117"/>
      <c r="E190" s="270"/>
      <c r="F190" s="270"/>
      <c r="G190" s="270"/>
      <c r="H190" s="40"/>
      <c r="I190" s="130"/>
      <c r="J190" s="130"/>
      <c r="K190" s="130"/>
      <c r="L190" s="130"/>
      <c r="M190" s="130"/>
      <c r="N190" s="125"/>
      <c r="O190" s="125"/>
      <c r="P190" s="125"/>
      <c r="Q190" s="124"/>
      <c r="R190" s="125"/>
      <c r="S190" s="125"/>
      <c r="T190" s="201"/>
      <c r="U190" s="201"/>
      <c r="V190" s="201"/>
      <c r="W190" s="201"/>
      <c r="X190" s="125"/>
      <c r="Y190" s="125"/>
      <c r="Z190" s="125"/>
      <c r="AA190" s="125"/>
      <c r="AB190" s="125"/>
      <c r="AC190" s="125"/>
      <c r="AD190" s="125"/>
      <c r="AE190" s="125"/>
      <c r="AF190" s="125"/>
      <c r="AG190" s="53"/>
      <c r="AH190" s="53"/>
      <c r="AI190" s="53"/>
      <c r="AJ190" s="53"/>
      <c r="AK190" s="53"/>
      <c r="AL190" s="53"/>
      <c r="AM190" s="53"/>
      <c r="AN190" s="53"/>
      <c r="AO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1:53" s="9" customFormat="1" ht="24.95" customHeight="1" x14ac:dyDescent="0.35">
      <c r="A191" s="181"/>
      <c r="B191" s="163"/>
      <c r="C191" s="158"/>
      <c r="E191" s="268"/>
      <c r="F191" s="268"/>
      <c r="G191" s="268"/>
      <c r="H191" s="40"/>
      <c r="I191" s="130"/>
      <c r="J191" s="130"/>
      <c r="K191" s="130"/>
      <c r="L191" s="130"/>
      <c r="M191" s="130"/>
      <c r="N191" s="126"/>
      <c r="O191" s="204"/>
      <c r="P191" s="126"/>
      <c r="Q191" s="124"/>
      <c r="R191" s="192"/>
      <c r="S191" s="126"/>
      <c r="T191" s="200"/>
      <c r="U191" s="200"/>
      <c r="V191" s="200"/>
      <c r="W191" s="200"/>
      <c r="X191" s="200"/>
      <c r="Y191" s="200"/>
      <c r="Z191" s="192" t="str">
        <f ca="1">IF(Flag_Send_Data=1,_xll.DBSW(PL_Saisie_Estime2!Z191,Server&amp;Cube1,PL_Saisie_Estime2!$F$17,PL_Saisie_Estime2!$F$18,PL_Saisie_Estime2!$F$19,PL_Saisie_Estime2!$F$16,PL_Saisie_Estime2!$C$14,PL_Saisie_Estime2!$F$15,PL_Saisie_Estime2!$F$14,PL_Saisie_Estime2!$F$20,PL_Saisie_Estime2!Z$2,PL_Saisie_Estime2!Z$1,PL_Saisie_Estime2!$C191),"")</f>
        <v/>
      </c>
      <c r="AA191" s="192" t="str">
        <f ca="1">IF(Flag_Send_Data=1,_xll.DBSW(PL_Saisie_Estime2!AA191,Server&amp;Cube1,PL_Saisie_Estime2!$F$17,PL_Saisie_Estime2!$F$18,PL_Saisie_Estime2!$F$19,PL_Saisie_Estime2!$F$16,PL_Saisie_Estime2!$C$14,PL_Saisie_Estime2!$F$15,PL_Saisie_Estime2!$F$14,PL_Saisie_Estime2!$F$20,PL_Saisie_Estime2!AA$2,PL_Saisie_Estime2!AA$1,PL_Saisie_Estime2!$C191),"")</f>
        <v/>
      </c>
      <c r="AB191" s="192" t="str">
        <f ca="1">IF(Flag_Send_Data=1,_xll.DBSW(PL_Saisie_Estime2!AB191,Server&amp;Cube1,PL_Saisie_Estime2!$F$17,PL_Saisie_Estime2!$F$18,PL_Saisie_Estime2!$F$19,PL_Saisie_Estime2!$F$16,PL_Saisie_Estime2!$C$14,PL_Saisie_Estime2!$F$15,PL_Saisie_Estime2!$F$14,PL_Saisie_Estime2!$F$20,PL_Saisie_Estime2!AB$2,PL_Saisie_Estime2!AB$1,PL_Saisie_Estime2!$C191),"")</f>
        <v/>
      </c>
      <c r="AC191" s="192" t="str">
        <f ca="1">IF(Flag_Send_Data=1,_xll.DBSW(PL_Saisie_Estime2!AC191,Server&amp;Cube1,PL_Saisie_Estime2!$F$17,PL_Saisie_Estime2!$F$18,PL_Saisie_Estime2!$F$19,PL_Saisie_Estime2!$F$16,PL_Saisie_Estime2!$C$14,PL_Saisie_Estime2!$F$15,PL_Saisie_Estime2!$F$14,PL_Saisie_Estime2!$F$20,PL_Saisie_Estime2!AC$2,PL_Saisie_Estime2!AC$1,PL_Saisie_Estime2!$C191),"")</f>
        <v/>
      </c>
      <c r="AD191" s="192" t="str">
        <f ca="1">IF(Flag_Send_Data=1,_xll.DBSW(PL_Saisie_Estime2!AD191,Server&amp;Cube1,PL_Saisie_Estime2!$F$17,PL_Saisie_Estime2!$F$18,PL_Saisie_Estime2!$F$19,PL_Saisie_Estime2!$F$16,PL_Saisie_Estime2!$C$14,PL_Saisie_Estime2!$F$15,PL_Saisie_Estime2!$F$14,PL_Saisie_Estime2!$F$20,PL_Saisie_Estime2!AD$2,PL_Saisie_Estime2!AD$1,PL_Saisie_Estime2!$C191),"")</f>
        <v/>
      </c>
      <c r="AE191" s="192" t="str">
        <f ca="1">IF(Flag_Send_Data=1,_xll.DBSW(PL_Saisie_Estime2!AE191,Server&amp;Cube1,PL_Saisie_Estime2!$F$17,PL_Saisie_Estime2!$F$18,PL_Saisie_Estime2!$F$19,PL_Saisie_Estime2!$F$16,PL_Saisie_Estime2!$C$14,PL_Saisie_Estime2!$F$15,PL_Saisie_Estime2!$F$14,PL_Saisie_Estime2!$F$20,PL_Saisie_Estime2!AE$2,PL_Saisie_Estime2!AE$1,PL_Saisie_Estime2!$C191),"")</f>
        <v/>
      </c>
      <c r="AF191" s="204"/>
      <c r="AG191" s="53"/>
      <c r="AH191" s="53"/>
      <c r="AI191" s="53"/>
      <c r="AJ191" s="53"/>
      <c r="AK191" s="53"/>
      <c r="AL191" s="53"/>
      <c r="AM191" s="53"/>
      <c r="AN191" s="53"/>
      <c r="AO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1:53" s="9" customFormat="1" ht="24.95" customHeight="1" x14ac:dyDescent="0.35">
      <c r="A192" s="181"/>
      <c r="B192" s="163"/>
      <c r="C192" s="158"/>
      <c r="E192" s="268"/>
      <c r="F192" s="268"/>
      <c r="G192" s="268"/>
      <c r="H192" s="40"/>
      <c r="I192" s="130"/>
      <c r="J192" s="130"/>
      <c r="K192" s="130"/>
      <c r="L192" s="130"/>
      <c r="M192" s="130"/>
      <c r="N192" s="126"/>
      <c r="O192" s="204"/>
      <c r="P192" s="126"/>
      <c r="Q192" s="124"/>
      <c r="R192" s="192"/>
      <c r="S192" s="126"/>
      <c r="T192" s="200"/>
      <c r="U192" s="200"/>
      <c r="V192" s="200"/>
      <c r="W192" s="200"/>
      <c r="X192" s="200"/>
      <c r="Y192" s="200"/>
      <c r="Z192" s="192" t="str">
        <f ca="1">IF(Flag_Send_Data=1,_xll.DBSW(PL_Saisie_Estime2!Z192,Server&amp;Cube1,PL_Saisie_Estime2!$F$17,PL_Saisie_Estime2!$F$18,PL_Saisie_Estime2!$F$19,PL_Saisie_Estime2!$F$16,PL_Saisie_Estime2!$C$14,PL_Saisie_Estime2!$F$15,PL_Saisie_Estime2!$F$14,PL_Saisie_Estime2!$F$20,PL_Saisie_Estime2!Z$2,PL_Saisie_Estime2!Z$1,PL_Saisie_Estime2!$C192),"")</f>
        <v/>
      </c>
      <c r="AA192" s="192" t="str">
        <f ca="1">IF(Flag_Send_Data=1,_xll.DBSW(PL_Saisie_Estime2!AA192,Server&amp;Cube1,PL_Saisie_Estime2!$F$17,PL_Saisie_Estime2!$F$18,PL_Saisie_Estime2!$F$19,PL_Saisie_Estime2!$F$16,PL_Saisie_Estime2!$C$14,PL_Saisie_Estime2!$F$15,PL_Saisie_Estime2!$F$14,PL_Saisie_Estime2!$F$20,PL_Saisie_Estime2!AA$2,PL_Saisie_Estime2!AA$1,PL_Saisie_Estime2!$C192),"")</f>
        <v/>
      </c>
      <c r="AB192" s="192" t="str">
        <f ca="1">IF(Flag_Send_Data=1,_xll.DBSW(PL_Saisie_Estime2!AB192,Server&amp;Cube1,PL_Saisie_Estime2!$F$17,PL_Saisie_Estime2!$F$18,PL_Saisie_Estime2!$F$19,PL_Saisie_Estime2!$F$16,PL_Saisie_Estime2!$C$14,PL_Saisie_Estime2!$F$15,PL_Saisie_Estime2!$F$14,PL_Saisie_Estime2!$F$20,PL_Saisie_Estime2!AB$2,PL_Saisie_Estime2!AB$1,PL_Saisie_Estime2!$C192),"")</f>
        <v/>
      </c>
      <c r="AC192" s="192" t="str">
        <f ca="1">IF(Flag_Send_Data=1,_xll.DBSW(PL_Saisie_Estime2!AC192,Server&amp;Cube1,PL_Saisie_Estime2!$F$17,PL_Saisie_Estime2!$F$18,PL_Saisie_Estime2!$F$19,PL_Saisie_Estime2!$F$16,PL_Saisie_Estime2!$C$14,PL_Saisie_Estime2!$F$15,PL_Saisie_Estime2!$F$14,PL_Saisie_Estime2!$F$20,PL_Saisie_Estime2!AC$2,PL_Saisie_Estime2!AC$1,PL_Saisie_Estime2!$C192),"")</f>
        <v/>
      </c>
      <c r="AD192" s="192" t="str">
        <f ca="1">IF(Flag_Send_Data=1,_xll.DBSW(PL_Saisie_Estime2!AD192,Server&amp;Cube1,PL_Saisie_Estime2!$F$17,PL_Saisie_Estime2!$F$18,PL_Saisie_Estime2!$F$19,PL_Saisie_Estime2!$F$16,PL_Saisie_Estime2!$C$14,PL_Saisie_Estime2!$F$15,PL_Saisie_Estime2!$F$14,PL_Saisie_Estime2!$F$20,PL_Saisie_Estime2!AD$2,PL_Saisie_Estime2!AD$1,PL_Saisie_Estime2!$C192),"")</f>
        <v/>
      </c>
      <c r="AE192" s="192" t="str">
        <f ca="1">IF(Flag_Send_Data=1,_xll.DBSW(PL_Saisie_Estime2!AE192,Server&amp;Cube1,PL_Saisie_Estime2!$F$17,PL_Saisie_Estime2!$F$18,PL_Saisie_Estime2!$F$19,PL_Saisie_Estime2!$F$16,PL_Saisie_Estime2!$C$14,PL_Saisie_Estime2!$F$15,PL_Saisie_Estime2!$F$14,PL_Saisie_Estime2!$F$20,PL_Saisie_Estime2!AE$2,PL_Saisie_Estime2!AE$1,PL_Saisie_Estime2!$C192),"")</f>
        <v/>
      </c>
      <c r="AF192" s="204"/>
      <c r="AG192" s="53"/>
      <c r="AH192" s="53"/>
      <c r="AI192" s="53"/>
      <c r="AJ192" s="53"/>
      <c r="AK192" s="53"/>
      <c r="AL192" s="53"/>
      <c r="AM192" s="53"/>
      <c r="AN192" s="53"/>
      <c r="AO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1:53" s="9" customFormat="1" ht="24.95" customHeight="1" x14ac:dyDescent="0.35">
      <c r="A193" s="181"/>
      <c r="B193" s="163"/>
      <c r="C193" s="158"/>
      <c r="E193" s="268"/>
      <c r="F193" s="268"/>
      <c r="G193" s="268"/>
      <c r="H193" s="40"/>
      <c r="I193" s="130"/>
      <c r="J193" s="130"/>
      <c r="K193" s="130"/>
      <c r="L193" s="130"/>
      <c r="M193" s="130"/>
      <c r="N193" s="126"/>
      <c r="O193" s="204"/>
      <c r="P193" s="126"/>
      <c r="Q193" s="124"/>
      <c r="R193" s="192"/>
      <c r="S193" s="126"/>
      <c r="T193" s="200"/>
      <c r="U193" s="200"/>
      <c r="V193" s="200"/>
      <c r="W193" s="200"/>
      <c r="X193" s="200"/>
      <c r="Y193" s="200"/>
      <c r="Z193" s="192" t="str">
        <f ca="1">IF(Flag_Send_Data=1,_xll.DBSW(PL_Saisie_Estime2!Z193,Server&amp;Cube1,PL_Saisie_Estime2!$F$17,PL_Saisie_Estime2!$F$18,PL_Saisie_Estime2!$F$19,PL_Saisie_Estime2!$F$16,PL_Saisie_Estime2!$C$14,PL_Saisie_Estime2!$F$15,PL_Saisie_Estime2!$F$14,PL_Saisie_Estime2!$F$20,PL_Saisie_Estime2!Z$2,PL_Saisie_Estime2!Z$1,PL_Saisie_Estime2!$C193),"")</f>
        <v/>
      </c>
      <c r="AA193" s="192" t="str">
        <f ca="1">IF(Flag_Send_Data=1,_xll.DBSW(PL_Saisie_Estime2!AA193,Server&amp;Cube1,PL_Saisie_Estime2!$F$17,PL_Saisie_Estime2!$F$18,PL_Saisie_Estime2!$F$19,PL_Saisie_Estime2!$F$16,PL_Saisie_Estime2!$C$14,PL_Saisie_Estime2!$F$15,PL_Saisie_Estime2!$F$14,PL_Saisie_Estime2!$F$20,PL_Saisie_Estime2!AA$2,PL_Saisie_Estime2!AA$1,PL_Saisie_Estime2!$C193),"")</f>
        <v/>
      </c>
      <c r="AB193" s="192" t="str">
        <f ca="1">IF(Flag_Send_Data=1,_xll.DBSW(PL_Saisie_Estime2!AB193,Server&amp;Cube1,PL_Saisie_Estime2!$F$17,PL_Saisie_Estime2!$F$18,PL_Saisie_Estime2!$F$19,PL_Saisie_Estime2!$F$16,PL_Saisie_Estime2!$C$14,PL_Saisie_Estime2!$F$15,PL_Saisie_Estime2!$F$14,PL_Saisie_Estime2!$F$20,PL_Saisie_Estime2!AB$2,PL_Saisie_Estime2!AB$1,PL_Saisie_Estime2!$C193),"")</f>
        <v/>
      </c>
      <c r="AC193" s="192" t="str">
        <f ca="1">IF(Flag_Send_Data=1,_xll.DBSW(PL_Saisie_Estime2!AC193,Server&amp;Cube1,PL_Saisie_Estime2!$F$17,PL_Saisie_Estime2!$F$18,PL_Saisie_Estime2!$F$19,PL_Saisie_Estime2!$F$16,PL_Saisie_Estime2!$C$14,PL_Saisie_Estime2!$F$15,PL_Saisie_Estime2!$F$14,PL_Saisie_Estime2!$F$20,PL_Saisie_Estime2!AC$2,PL_Saisie_Estime2!AC$1,PL_Saisie_Estime2!$C193),"")</f>
        <v/>
      </c>
      <c r="AD193" s="192" t="str">
        <f ca="1">IF(Flag_Send_Data=1,_xll.DBSW(PL_Saisie_Estime2!AD193,Server&amp;Cube1,PL_Saisie_Estime2!$F$17,PL_Saisie_Estime2!$F$18,PL_Saisie_Estime2!$F$19,PL_Saisie_Estime2!$F$16,PL_Saisie_Estime2!$C$14,PL_Saisie_Estime2!$F$15,PL_Saisie_Estime2!$F$14,PL_Saisie_Estime2!$F$20,PL_Saisie_Estime2!AD$2,PL_Saisie_Estime2!AD$1,PL_Saisie_Estime2!$C193),"")</f>
        <v/>
      </c>
      <c r="AE193" s="192" t="str">
        <f ca="1">IF(Flag_Send_Data=1,_xll.DBSW(PL_Saisie_Estime2!AE193,Server&amp;Cube1,PL_Saisie_Estime2!$F$17,PL_Saisie_Estime2!$F$18,PL_Saisie_Estime2!$F$19,PL_Saisie_Estime2!$F$16,PL_Saisie_Estime2!$C$14,PL_Saisie_Estime2!$F$15,PL_Saisie_Estime2!$F$14,PL_Saisie_Estime2!$F$20,PL_Saisie_Estime2!AE$2,PL_Saisie_Estime2!AE$1,PL_Saisie_Estime2!$C193),"")</f>
        <v/>
      </c>
      <c r="AF193" s="204"/>
      <c r="AG193" s="53"/>
      <c r="AH193" s="53"/>
      <c r="AI193" s="53"/>
      <c r="AJ193" s="53"/>
      <c r="AK193" s="53"/>
      <c r="AL193" s="53"/>
      <c r="AM193" s="53"/>
      <c r="AN193" s="53"/>
      <c r="AO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1:53" s="9" customFormat="1" ht="24.95" customHeight="1" x14ac:dyDescent="0.35">
      <c r="A194" s="181"/>
      <c r="B194" s="163"/>
      <c r="C194" s="158"/>
      <c r="E194" s="268"/>
      <c r="F194" s="268"/>
      <c r="G194" s="268"/>
      <c r="H194" s="40"/>
      <c r="I194" s="130"/>
      <c r="J194" s="130"/>
      <c r="K194" s="130"/>
      <c r="L194" s="130"/>
      <c r="M194" s="130"/>
      <c r="N194" s="126"/>
      <c r="O194" s="204"/>
      <c r="P194" s="126"/>
      <c r="Q194" s="124"/>
      <c r="R194" s="192"/>
      <c r="S194" s="126"/>
      <c r="T194" s="200"/>
      <c r="U194" s="200"/>
      <c r="V194" s="200"/>
      <c r="W194" s="200"/>
      <c r="X194" s="200"/>
      <c r="Y194" s="200"/>
      <c r="Z194" s="192" t="str">
        <f ca="1">IF(Flag_Send_Data=1,_xll.DBSW(PL_Saisie_Estime2!Z194,Server&amp;Cube1,PL_Saisie_Estime2!$F$17,PL_Saisie_Estime2!$F$18,PL_Saisie_Estime2!$F$19,PL_Saisie_Estime2!$F$16,PL_Saisie_Estime2!$C$14,PL_Saisie_Estime2!$F$15,PL_Saisie_Estime2!$F$14,PL_Saisie_Estime2!$F$20,PL_Saisie_Estime2!Z$2,PL_Saisie_Estime2!Z$1,PL_Saisie_Estime2!$C194),"")</f>
        <v/>
      </c>
      <c r="AA194" s="192" t="str">
        <f ca="1">IF(Flag_Send_Data=1,_xll.DBSW(PL_Saisie_Estime2!AA194,Server&amp;Cube1,PL_Saisie_Estime2!$F$17,PL_Saisie_Estime2!$F$18,PL_Saisie_Estime2!$F$19,PL_Saisie_Estime2!$F$16,PL_Saisie_Estime2!$C$14,PL_Saisie_Estime2!$F$15,PL_Saisie_Estime2!$F$14,PL_Saisie_Estime2!$F$20,PL_Saisie_Estime2!AA$2,PL_Saisie_Estime2!AA$1,PL_Saisie_Estime2!$C194),"")</f>
        <v/>
      </c>
      <c r="AB194" s="192" t="str">
        <f ca="1">IF(Flag_Send_Data=1,_xll.DBSW(PL_Saisie_Estime2!AB194,Server&amp;Cube1,PL_Saisie_Estime2!$F$17,PL_Saisie_Estime2!$F$18,PL_Saisie_Estime2!$F$19,PL_Saisie_Estime2!$F$16,PL_Saisie_Estime2!$C$14,PL_Saisie_Estime2!$F$15,PL_Saisie_Estime2!$F$14,PL_Saisie_Estime2!$F$20,PL_Saisie_Estime2!AB$2,PL_Saisie_Estime2!AB$1,PL_Saisie_Estime2!$C194),"")</f>
        <v/>
      </c>
      <c r="AC194" s="192" t="str">
        <f ca="1">IF(Flag_Send_Data=1,_xll.DBSW(PL_Saisie_Estime2!AC194,Server&amp;Cube1,PL_Saisie_Estime2!$F$17,PL_Saisie_Estime2!$F$18,PL_Saisie_Estime2!$F$19,PL_Saisie_Estime2!$F$16,PL_Saisie_Estime2!$C$14,PL_Saisie_Estime2!$F$15,PL_Saisie_Estime2!$F$14,PL_Saisie_Estime2!$F$20,PL_Saisie_Estime2!AC$2,PL_Saisie_Estime2!AC$1,PL_Saisie_Estime2!$C194),"")</f>
        <v/>
      </c>
      <c r="AD194" s="192" t="str">
        <f ca="1">IF(Flag_Send_Data=1,_xll.DBSW(PL_Saisie_Estime2!AD194,Server&amp;Cube1,PL_Saisie_Estime2!$F$17,PL_Saisie_Estime2!$F$18,PL_Saisie_Estime2!$F$19,PL_Saisie_Estime2!$F$16,PL_Saisie_Estime2!$C$14,PL_Saisie_Estime2!$F$15,PL_Saisie_Estime2!$F$14,PL_Saisie_Estime2!$F$20,PL_Saisie_Estime2!AD$2,PL_Saisie_Estime2!AD$1,PL_Saisie_Estime2!$C194),"")</f>
        <v/>
      </c>
      <c r="AE194" s="192" t="str">
        <f ca="1">IF(Flag_Send_Data=1,_xll.DBSW(PL_Saisie_Estime2!AE194,Server&amp;Cube1,PL_Saisie_Estime2!$F$17,PL_Saisie_Estime2!$F$18,PL_Saisie_Estime2!$F$19,PL_Saisie_Estime2!$F$16,PL_Saisie_Estime2!$C$14,PL_Saisie_Estime2!$F$15,PL_Saisie_Estime2!$F$14,PL_Saisie_Estime2!$F$20,PL_Saisie_Estime2!AE$2,PL_Saisie_Estime2!AE$1,PL_Saisie_Estime2!$C194),"")</f>
        <v/>
      </c>
      <c r="AF194" s="204"/>
      <c r="AG194" s="53"/>
      <c r="AH194" s="53"/>
      <c r="AI194" s="53"/>
      <c r="AJ194" s="53"/>
      <c r="AK194" s="53"/>
      <c r="AL194" s="53"/>
      <c r="AM194" s="53"/>
      <c r="AN194" s="53"/>
      <c r="AO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1:53" s="9" customFormat="1" ht="24.95" customHeight="1" x14ac:dyDescent="0.35">
      <c r="A195" s="181"/>
      <c r="B195" s="163"/>
      <c r="C195" s="158"/>
      <c r="E195" s="268"/>
      <c r="F195" s="268"/>
      <c r="G195" s="268"/>
      <c r="H195" s="40"/>
      <c r="I195" s="130"/>
      <c r="J195" s="130"/>
      <c r="K195" s="130"/>
      <c r="L195" s="130"/>
      <c r="M195" s="130"/>
      <c r="N195" s="126"/>
      <c r="O195" s="204"/>
      <c r="P195" s="126"/>
      <c r="Q195" s="124"/>
      <c r="R195" s="192"/>
      <c r="S195" s="126"/>
      <c r="T195" s="200"/>
      <c r="U195" s="200"/>
      <c r="V195" s="200"/>
      <c r="W195" s="200"/>
      <c r="X195" s="200"/>
      <c r="Y195" s="200"/>
      <c r="Z195" s="192" t="str">
        <f ca="1">IF(Flag_Send_Data=1,_xll.DBSW(PL_Saisie_Estime2!Z195,Server&amp;Cube1,PL_Saisie_Estime2!$F$17,PL_Saisie_Estime2!$F$18,PL_Saisie_Estime2!$F$19,PL_Saisie_Estime2!$F$16,PL_Saisie_Estime2!$C$14,PL_Saisie_Estime2!$F$15,PL_Saisie_Estime2!$F$14,PL_Saisie_Estime2!$F$20,PL_Saisie_Estime2!Z$2,PL_Saisie_Estime2!Z$1,PL_Saisie_Estime2!$C195),"")</f>
        <v/>
      </c>
      <c r="AA195" s="192" t="str">
        <f ca="1">IF(Flag_Send_Data=1,_xll.DBSW(PL_Saisie_Estime2!AA195,Server&amp;Cube1,PL_Saisie_Estime2!$F$17,PL_Saisie_Estime2!$F$18,PL_Saisie_Estime2!$F$19,PL_Saisie_Estime2!$F$16,PL_Saisie_Estime2!$C$14,PL_Saisie_Estime2!$F$15,PL_Saisie_Estime2!$F$14,PL_Saisie_Estime2!$F$20,PL_Saisie_Estime2!AA$2,PL_Saisie_Estime2!AA$1,PL_Saisie_Estime2!$C195),"")</f>
        <v/>
      </c>
      <c r="AB195" s="192" t="str">
        <f ca="1">IF(Flag_Send_Data=1,_xll.DBSW(PL_Saisie_Estime2!AB195,Server&amp;Cube1,PL_Saisie_Estime2!$F$17,PL_Saisie_Estime2!$F$18,PL_Saisie_Estime2!$F$19,PL_Saisie_Estime2!$F$16,PL_Saisie_Estime2!$C$14,PL_Saisie_Estime2!$F$15,PL_Saisie_Estime2!$F$14,PL_Saisie_Estime2!$F$20,PL_Saisie_Estime2!AB$2,PL_Saisie_Estime2!AB$1,PL_Saisie_Estime2!$C195),"")</f>
        <v/>
      </c>
      <c r="AC195" s="192" t="str">
        <f ca="1">IF(Flag_Send_Data=1,_xll.DBSW(PL_Saisie_Estime2!AC195,Server&amp;Cube1,PL_Saisie_Estime2!$F$17,PL_Saisie_Estime2!$F$18,PL_Saisie_Estime2!$F$19,PL_Saisie_Estime2!$F$16,PL_Saisie_Estime2!$C$14,PL_Saisie_Estime2!$F$15,PL_Saisie_Estime2!$F$14,PL_Saisie_Estime2!$F$20,PL_Saisie_Estime2!AC$2,PL_Saisie_Estime2!AC$1,PL_Saisie_Estime2!$C195),"")</f>
        <v/>
      </c>
      <c r="AD195" s="192" t="str">
        <f ca="1">IF(Flag_Send_Data=1,_xll.DBSW(PL_Saisie_Estime2!AD195,Server&amp;Cube1,PL_Saisie_Estime2!$F$17,PL_Saisie_Estime2!$F$18,PL_Saisie_Estime2!$F$19,PL_Saisie_Estime2!$F$16,PL_Saisie_Estime2!$C$14,PL_Saisie_Estime2!$F$15,PL_Saisie_Estime2!$F$14,PL_Saisie_Estime2!$F$20,PL_Saisie_Estime2!AD$2,PL_Saisie_Estime2!AD$1,PL_Saisie_Estime2!$C195),"")</f>
        <v/>
      </c>
      <c r="AE195" s="192" t="str">
        <f ca="1">IF(Flag_Send_Data=1,_xll.DBSW(PL_Saisie_Estime2!AE195,Server&amp;Cube1,PL_Saisie_Estime2!$F$17,PL_Saisie_Estime2!$F$18,PL_Saisie_Estime2!$F$19,PL_Saisie_Estime2!$F$16,PL_Saisie_Estime2!$C$14,PL_Saisie_Estime2!$F$15,PL_Saisie_Estime2!$F$14,PL_Saisie_Estime2!$F$20,PL_Saisie_Estime2!AE$2,PL_Saisie_Estime2!AE$1,PL_Saisie_Estime2!$C195),"")</f>
        <v/>
      </c>
      <c r="AF195" s="204"/>
      <c r="AG195" s="53"/>
      <c r="AH195" s="53"/>
      <c r="AI195" s="53"/>
      <c r="AJ195" s="53"/>
      <c r="AK195" s="53"/>
      <c r="AL195" s="53"/>
      <c r="AM195" s="53"/>
      <c r="AN195" s="53"/>
      <c r="AO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1:53" s="9" customFormat="1" ht="24.95" customHeight="1" x14ac:dyDescent="0.35">
      <c r="A196" s="181"/>
      <c r="B196" s="163"/>
      <c r="C196" s="158"/>
      <c r="E196" s="268"/>
      <c r="F196" s="268"/>
      <c r="G196" s="268"/>
      <c r="H196" s="40"/>
      <c r="I196" s="130"/>
      <c r="J196" s="130"/>
      <c r="K196" s="130"/>
      <c r="L196" s="130"/>
      <c r="M196" s="130"/>
      <c r="N196" s="126"/>
      <c r="O196" s="204"/>
      <c r="P196" s="126"/>
      <c r="Q196" s="124"/>
      <c r="R196" s="192"/>
      <c r="S196" s="126"/>
      <c r="T196" s="200"/>
      <c r="U196" s="200"/>
      <c r="V196" s="200"/>
      <c r="W196" s="200"/>
      <c r="X196" s="200"/>
      <c r="Y196" s="200"/>
      <c r="Z196" s="192" t="str">
        <f ca="1">IF(Flag_Send_Data=1,_xll.DBSW(PL_Saisie_Estime2!Z196,Server&amp;Cube1,PL_Saisie_Estime2!$F$17,PL_Saisie_Estime2!$F$18,PL_Saisie_Estime2!$F$19,PL_Saisie_Estime2!$F$16,PL_Saisie_Estime2!$C$14,PL_Saisie_Estime2!$F$15,PL_Saisie_Estime2!$F$14,PL_Saisie_Estime2!$F$20,PL_Saisie_Estime2!Z$2,PL_Saisie_Estime2!Z$1,PL_Saisie_Estime2!$C196),"")</f>
        <v/>
      </c>
      <c r="AA196" s="192" t="str">
        <f ca="1">IF(Flag_Send_Data=1,_xll.DBSW(PL_Saisie_Estime2!AA196,Server&amp;Cube1,PL_Saisie_Estime2!$F$17,PL_Saisie_Estime2!$F$18,PL_Saisie_Estime2!$F$19,PL_Saisie_Estime2!$F$16,PL_Saisie_Estime2!$C$14,PL_Saisie_Estime2!$F$15,PL_Saisie_Estime2!$F$14,PL_Saisie_Estime2!$F$20,PL_Saisie_Estime2!AA$2,PL_Saisie_Estime2!AA$1,PL_Saisie_Estime2!$C196),"")</f>
        <v/>
      </c>
      <c r="AB196" s="192" t="str">
        <f ca="1">IF(Flag_Send_Data=1,_xll.DBSW(PL_Saisie_Estime2!AB196,Server&amp;Cube1,PL_Saisie_Estime2!$F$17,PL_Saisie_Estime2!$F$18,PL_Saisie_Estime2!$F$19,PL_Saisie_Estime2!$F$16,PL_Saisie_Estime2!$C$14,PL_Saisie_Estime2!$F$15,PL_Saisie_Estime2!$F$14,PL_Saisie_Estime2!$F$20,PL_Saisie_Estime2!AB$2,PL_Saisie_Estime2!AB$1,PL_Saisie_Estime2!$C196),"")</f>
        <v/>
      </c>
      <c r="AC196" s="192" t="str">
        <f ca="1">IF(Flag_Send_Data=1,_xll.DBSW(PL_Saisie_Estime2!AC196,Server&amp;Cube1,PL_Saisie_Estime2!$F$17,PL_Saisie_Estime2!$F$18,PL_Saisie_Estime2!$F$19,PL_Saisie_Estime2!$F$16,PL_Saisie_Estime2!$C$14,PL_Saisie_Estime2!$F$15,PL_Saisie_Estime2!$F$14,PL_Saisie_Estime2!$F$20,PL_Saisie_Estime2!AC$2,PL_Saisie_Estime2!AC$1,PL_Saisie_Estime2!$C196),"")</f>
        <v/>
      </c>
      <c r="AD196" s="192" t="str">
        <f ca="1">IF(Flag_Send_Data=1,_xll.DBSW(PL_Saisie_Estime2!AD196,Server&amp;Cube1,PL_Saisie_Estime2!$F$17,PL_Saisie_Estime2!$F$18,PL_Saisie_Estime2!$F$19,PL_Saisie_Estime2!$F$16,PL_Saisie_Estime2!$C$14,PL_Saisie_Estime2!$F$15,PL_Saisie_Estime2!$F$14,PL_Saisie_Estime2!$F$20,PL_Saisie_Estime2!AD$2,PL_Saisie_Estime2!AD$1,PL_Saisie_Estime2!$C196),"")</f>
        <v/>
      </c>
      <c r="AE196" s="192" t="str">
        <f ca="1">IF(Flag_Send_Data=1,_xll.DBSW(PL_Saisie_Estime2!AE196,Server&amp;Cube1,PL_Saisie_Estime2!$F$17,PL_Saisie_Estime2!$F$18,PL_Saisie_Estime2!$F$19,PL_Saisie_Estime2!$F$16,PL_Saisie_Estime2!$C$14,PL_Saisie_Estime2!$F$15,PL_Saisie_Estime2!$F$14,PL_Saisie_Estime2!$F$20,PL_Saisie_Estime2!AE$2,PL_Saisie_Estime2!AE$1,PL_Saisie_Estime2!$C196),"")</f>
        <v/>
      </c>
      <c r="AF196" s="204"/>
      <c r="AG196" s="53"/>
      <c r="AH196" s="53"/>
      <c r="AI196" s="53"/>
      <c r="AJ196" s="53"/>
      <c r="AK196" s="53"/>
      <c r="AL196" s="53"/>
      <c r="AM196" s="53"/>
      <c r="AN196" s="53"/>
      <c r="AO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1:53" s="9" customFormat="1" ht="24.95" customHeight="1" x14ac:dyDescent="0.35">
      <c r="A197" s="181"/>
      <c r="B197" s="163"/>
      <c r="C197" s="158"/>
      <c r="E197" s="268"/>
      <c r="F197" s="268"/>
      <c r="G197" s="268"/>
      <c r="H197" s="40"/>
      <c r="I197" s="130"/>
      <c r="J197" s="130"/>
      <c r="K197" s="130"/>
      <c r="L197" s="130"/>
      <c r="M197" s="130"/>
      <c r="N197" s="126"/>
      <c r="O197" s="204"/>
      <c r="P197" s="126"/>
      <c r="Q197" s="124"/>
      <c r="R197" s="192"/>
      <c r="S197" s="126"/>
      <c r="T197" s="200"/>
      <c r="U197" s="200"/>
      <c r="V197" s="200"/>
      <c r="W197" s="200"/>
      <c r="X197" s="200"/>
      <c r="Y197" s="200"/>
      <c r="Z197" s="192" t="str">
        <f ca="1">IF(Flag_Send_Data=1,_xll.DBSW(PL_Saisie_Estime2!Z197,Server&amp;Cube1,PL_Saisie_Estime2!$F$17,PL_Saisie_Estime2!$F$18,PL_Saisie_Estime2!$F$19,PL_Saisie_Estime2!$F$16,PL_Saisie_Estime2!$C$14,PL_Saisie_Estime2!$F$15,PL_Saisie_Estime2!$F$14,PL_Saisie_Estime2!$F$20,PL_Saisie_Estime2!Z$2,PL_Saisie_Estime2!Z$1,PL_Saisie_Estime2!$C197),"")</f>
        <v/>
      </c>
      <c r="AA197" s="192" t="str">
        <f ca="1">IF(Flag_Send_Data=1,_xll.DBSW(PL_Saisie_Estime2!AA197,Server&amp;Cube1,PL_Saisie_Estime2!$F$17,PL_Saisie_Estime2!$F$18,PL_Saisie_Estime2!$F$19,PL_Saisie_Estime2!$F$16,PL_Saisie_Estime2!$C$14,PL_Saisie_Estime2!$F$15,PL_Saisie_Estime2!$F$14,PL_Saisie_Estime2!$F$20,PL_Saisie_Estime2!AA$2,PL_Saisie_Estime2!AA$1,PL_Saisie_Estime2!$C197),"")</f>
        <v/>
      </c>
      <c r="AB197" s="192" t="str">
        <f ca="1">IF(Flag_Send_Data=1,_xll.DBSW(PL_Saisie_Estime2!AB197,Server&amp;Cube1,PL_Saisie_Estime2!$F$17,PL_Saisie_Estime2!$F$18,PL_Saisie_Estime2!$F$19,PL_Saisie_Estime2!$F$16,PL_Saisie_Estime2!$C$14,PL_Saisie_Estime2!$F$15,PL_Saisie_Estime2!$F$14,PL_Saisie_Estime2!$F$20,PL_Saisie_Estime2!AB$2,PL_Saisie_Estime2!AB$1,PL_Saisie_Estime2!$C197),"")</f>
        <v/>
      </c>
      <c r="AC197" s="192" t="str">
        <f ca="1">IF(Flag_Send_Data=1,_xll.DBSW(PL_Saisie_Estime2!AC197,Server&amp;Cube1,PL_Saisie_Estime2!$F$17,PL_Saisie_Estime2!$F$18,PL_Saisie_Estime2!$F$19,PL_Saisie_Estime2!$F$16,PL_Saisie_Estime2!$C$14,PL_Saisie_Estime2!$F$15,PL_Saisie_Estime2!$F$14,PL_Saisie_Estime2!$F$20,PL_Saisie_Estime2!AC$2,PL_Saisie_Estime2!AC$1,PL_Saisie_Estime2!$C197),"")</f>
        <v/>
      </c>
      <c r="AD197" s="192" t="str">
        <f ca="1">IF(Flag_Send_Data=1,_xll.DBSW(PL_Saisie_Estime2!AD197,Server&amp;Cube1,PL_Saisie_Estime2!$F$17,PL_Saisie_Estime2!$F$18,PL_Saisie_Estime2!$F$19,PL_Saisie_Estime2!$F$16,PL_Saisie_Estime2!$C$14,PL_Saisie_Estime2!$F$15,PL_Saisie_Estime2!$F$14,PL_Saisie_Estime2!$F$20,PL_Saisie_Estime2!AD$2,PL_Saisie_Estime2!AD$1,PL_Saisie_Estime2!$C197),"")</f>
        <v/>
      </c>
      <c r="AE197" s="192" t="str">
        <f ca="1">IF(Flag_Send_Data=1,_xll.DBSW(PL_Saisie_Estime2!AE197,Server&amp;Cube1,PL_Saisie_Estime2!$F$17,PL_Saisie_Estime2!$F$18,PL_Saisie_Estime2!$F$19,PL_Saisie_Estime2!$F$16,PL_Saisie_Estime2!$C$14,PL_Saisie_Estime2!$F$15,PL_Saisie_Estime2!$F$14,PL_Saisie_Estime2!$F$20,PL_Saisie_Estime2!AE$2,PL_Saisie_Estime2!AE$1,PL_Saisie_Estime2!$C197),"")</f>
        <v/>
      </c>
      <c r="AF197" s="204"/>
      <c r="AG197" s="53"/>
      <c r="AH197" s="53"/>
      <c r="AI197" s="53"/>
      <c r="AJ197" s="53"/>
      <c r="AK197" s="53"/>
      <c r="AL197" s="53"/>
      <c r="AM197" s="53"/>
      <c r="AN197" s="53"/>
      <c r="AO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1:53" s="9" customFormat="1" ht="24.95" customHeight="1" x14ac:dyDescent="0.35">
      <c r="A198" s="181"/>
      <c r="B198" s="163"/>
      <c r="C198" s="158"/>
      <c r="E198" s="268"/>
      <c r="F198" s="268"/>
      <c r="G198" s="268"/>
      <c r="H198" s="40"/>
      <c r="I198" s="130"/>
      <c r="J198" s="130"/>
      <c r="K198" s="130"/>
      <c r="L198" s="130"/>
      <c r="M198" s="130"/>
      <c r="N198" s="126"/>
      <c r="O198" s="204"/>
      <c r="P198" s="126"/>
      <c r="Q198" s="124"/>
      <c r="R198" s="192"/>
      <c r="S198" s="126"/>
      <c r="T198" s="200"/>
      <c r="U198" s="200"/>
      <c r="V198" s="200"/>
      <c r="W198" s="200"/>
      <c r="X198" s="200"/>
      <c r="Y198" s="200"/>
      <c r="Z198" s="192" t="str">
        <f ca="1">IF(Flag_Send_Data=1,_xll.DBSW(PL_Saisie_Estime2!Z198,Server&amp;Cube1,PL_Saisie_Estime2!$F$17,PL_Saisie_Estime2!$F$18,PL_Saisie_Estime2!$F$19,PL_Saisie_Estime2!$F$16,PL_Saisie_Estime2!$C$14,PL_Saisie_Estime2!$F$15,PL_Saisie_Estime2!$F$14,PL_Saisie_Estime2!$F$20,PL_Saisie_Estime2!Z$2,PL_Saisie_Estime2!Z$1,PL_Saisie_Estime2!$C198),"")</f>
        <v/>
      </c>
      <c r="AA198" s="192" t="str">
        <f ca="1">IF(Flag_Send_Data=1,_xll.DBSW(PL_Saisie_Estime2!AA198,Server&amp;Cube1,PL_Saisie_Estime2!$F$17,PL_Saisie_Estime2!$F$18,PL_Saisie_Estime2!$F$19,PL_Saisie_Estime2!$F$16,PL_Saisie_Estime2!$C$14,PL_Saisie_Estime2!$F$15,PL_Saisie_Estime2!$F$14,PL_Saisie_Estime2!$F$20,PL_Saisie_Estime2!AA$2,PL_Saisie_Estime2!AA$1,PL_Saisie_Estime2!$C198),"")</f>
        <v/>
      </c>
      <c r="AB198" s="192" t="str">
        <f ca="1">IF(Flag_Send_Data=1,_xll.DBSW(PL_Saisie_Estime2!AB198,Server&amp;Cube1,PL_Saisie_Estime2!$F$17,PL_Saisie_Estime2!$F$18,PL_Saisie_Estime2!$F$19,PL_Saisie_Estime2!$F$16,PL_Saisie_Estime2!$C$14,PL_Saisie_Estime2!$F$15,PL_Saisie_Estime2!$F$14,PL_Saisie_Estime2!$F$20,PL_Saisie_Estime2!AB$2,PL_Saisie_Estime2!AB$1,PL_Saisie_Estime2!$C198),"")</f>
        <v/>
      </c>
      <c r="AC198" s="192" t="str">
        <f ca="1">IF(Flag_Send_Data=1,_xll.DBSW(PL_Saisie_Estime2!AC198,Server&amp;Cube1,PL_Saisie_Estime2!$F$17,PL_Saisie_Estime2!$F$18,PL_Saisie_Estime2!$F$19,PL_Saisie_Estime2!$F$16,PL_Saisie_Estime2!$C$14,PL_Saisie_Estime2!$F$15,PL_Saisie_Estime2!$F$14,PL_Saisie_Estime2!$F$20,PL_Saisie_Estime2!AC$2,PL_Saisie_Estime2!AC$1,PL_Saisie_Estime2!$C198),"")</f>
        <v/>
      </c>
      <c r="AD198" s="192" t="str">
        <f ca="1">IF(Flag_Send_Data=1,_xll.DBSW(PL_Saisie_Estime2!AD198,Server&amp;Cube1,PL_Saisie_Estime2!$F$17,PL_Saisie_Estime2!$F$18,PL_Saisie_Estime2!$F$19,PL_Saisie_Estime2!$F$16,PL_Saisie_Estime2!$C$14,PL_Saisie_Estime2!$F$15,PL_Saisie_Estime2!$F$14,PL_Saisie_Estime2!$F$20,PL_Saisie_Estime2!AD$2,PL_Saisie_Estime2!AD$1,PL_Saisie_Estime2!$C198),"")</f>
        <v/>
      </c>
      <c r="AE198" s="192" t="str">
        <f ca="1">IF(Flag_Send_Data=1,_xll.DBSW(PL_Saisie_Estime2!AE198,Server&amp;Cube1,PL_Saisie_Estime2!$F$17,PL_Saisie_Estime2!$F$18,PL_Saisie_Estime2!$F$19,PL_Saisie_Estime2!$F$16,PL_Saisie_Estime2!$C$14,PL_Saisie_Estime2!$F$15,PL_Saisie_Estime2!$F$14,PL_Saisie_Estime2!$F$20,PL_Saisie_Estime2!AE$2,PL_Saisie_Estime2!AE$1,PL_Saisie_Estime2!$C198),"")</f>
        <v/>
      </c>
      <c r="AF198" s="204"/>
      <c r="AG198" s="53"/>
      <c r="AH198" s="53"/>
      <c r="AI198" s="53"/>
      <c r="AJ198" s="53"/>
      <c r="AK198" s="53"/>
      <c r="AL198" s="53"/>
      <c r="AM198" s="53"/>
      <c r="AN198" s="53"/>
      <c r="AO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1:53" s="9" customFormat="1" ht="24.95" customHeight="1" x14ac:dyDescent="0.35">
      <c r="A199" s="181"/>
      <c r="B199" s="163"/>
      <c r="C199" s="158"/>
      <c r="E199" s="268"/>
      <c r="F199" s="268"/>
      <c r="G199" s="268"/>
      <c r="H199" s="40"/>
      <c r="I199" s="130"/>
      <c r="J199" s="130"/>
      <c r="K199" s="130"/>
      <c r="L199" s="130"/>
      <c r="M199" s="130"/>
      <c r="N199" s="126"/>
      <c r="O199" s="204"/>
      <c r="P199" s="126"/>
      <c r="Q199" s="124"/>
      <c r="R199" s="192"/>
      <c r="S199" s="126"/>
      <c r="T199" s="200"/>
      <c r="U199" s="200"/>
      <c r="V199" s="200"/>
      <c r="W199" s="200"/>
      <c r="X199" s="200"/>
      <c r="Y199" s="200"/>
      <c r="Z199" s="192" t="str">
        <f ca="1">IF(Flag_Send_Data=1,_xll.DBSW(PL_Saisie_Estime2!Z199,Server&amp;Cube1,PL_Saisie_Estime2!$F$17,PL_Saisie_Estime2!$F$18,PL_Saisie_Estime2!$F$19,PL_Saisie_Estime2!$F$16,PL_Saisie_Estime2!$C$14,PL_Saisie_Estime2!$F$15,PL_Saisie_Estime2!$F$14,PL_Saisie_Estime2!$F$20,PL_Saisie_Estime2!Z$2,PL_Saisie_Estime2!Z$1,PL_Saisie_Estime2!$C199),"")</f>
        <v/>
      </c>
      <c r="AA199" s="192" t="str">
        <f ca="1">IF(Flag_Send_Data=1,_xll.DBSW(PL_Saisie_Estime2!AA199,Server&amp;Cube1,PL_Saisie_Estime2!$F$17,PL_Saisie_Estime2!$F$18,PL_Saisie_Estime2!$F$19,PL_Saisie_Estime2!$F$16,PL_Saisie_Estime2!$C$14,PL_Saisie_Estime2!$F$15,PL_Saisie_Estime2!$F$14,PL_Saisie_Estime2!$F$20,PL_Saisie_Estime2!AA$2,PL_Saisie_Estime2!AA$1,PL_Saisie_Estime2!$C199),"")</f>
        <v/>
      </c>
      <c r="AB199" s="192" t="str">
        <f ca="1">IF(Flag_Send_Data=1,_xll.DBSW(PL_Saisie_Estime2!AB199,Server&amp;Cube1,PL_Saisie_Estime2!$F$17,PL_Saisie_Estime2!$F$18,PL_Saisie_Estime2!$F$19,PL_Saisie_Estime2!$F$16,PL_Saisie_Estime2!$C$14,PL_Saisie_Estime2!$F$15,PL_Saisie_Estime2!$F$14,PL_Saisie_Estime2!$F$20,PL_Saisie_Estime2!AB$2,PL_Saisie_Estime2!AB$1,PL_Saisie_Estime2!$C199),"")</f>
        <v/>
      </c>
      <c r="AC199" s="192" t="str">
        <f ca="1">IF(Flag_Send_Data=1,_xll.DBSW(PL_Saisie_Estime2!AC199,Server&amp;Cube1,PL_Saisie_Estime2!$F$17,PL_Saisie_Estime2!$F$18,PL_Saisie_Estime2!$F$19,PL_Saisie_Estime2!$F$16,PL_Saisie_Estime2!$C$14,PL_Saisie_Estime2!$F$15,PL_Saisie_Estime2!$F$14,PL_Saisie_Estime2!$F$20,PL_Saisie_Estime2!AC$2,PL_Saisie_Estime2!AC$1,PL_Saisie_Estime2!$C199),"")</f>
        <v/>
      </c>
      <c r="AD199" s="192" t="str">
        <f ca="1">IF(Flag_Send_Data=1,_xll.DBSW(PL_Saisie_Estime2!AD199,Server&amp;Cube1,PL_Saisie_Estime2!$F$17,PL_Saisie_Estime2!$F$18,PL_Saisie_Estime2!$F$19,PL_Saisie_Estime2!$F$16,PL_Saisie_Estime2!$C$14,PL_Saisie_Estime2!$F$15,PL_Saisie_Estime2!$F$14,PL_Saisie_Estime2!$F$20,PL_Saisie_Estime2!AD$2,PL_Saisie_Estime2!AD$1,PL_Saisie_Estime2!$C199),"")</f>
        <v/>
      </c>
      <c r="AE199" s="192" t="str">
        <f ca="1">IF(Flag_Send_Data=1,_xll.DBSW(PL_Saisie_Estime2!AE199,Server&amp;Cube1,PL_Saisie_Estime2!$F$17,PL_Saisie_Estime2!$F$18,PL_Saisie_Estime2!$F$19,PL_Saisie_Estime2!$F$16,PL_Saisie_Estime2!$C$14,PL_Saisie_Estime2!$F$15,PL_Saisie_Estime2!$F$14,PL_Saisie_Estime2!$F$20,PL_Saisie_Estime2!AE$2,PL_Saisie_Estime2!AE$1,PL_Saisie_Estime2!$C199),"")</f>
        <v/>
      </c>
      <c r="AF199" s="204"/>
      <c r="AG199" s="53"/>
      <c r="AH199" s="53"/>
      <c r="AI199" s="53"/>
      <c r="AJ199" s="53"/>
      <c r="AK199" s="53"/>
      <c r="AL199" s="53"/>
      <c r="AM199" s="53"/>
      <c r="AN199" s="53"/>
      <c r="AO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1:53" s="9" customFormat="1" ht="24.95" customHeight="1" x14ac:dyDescent="0.35">
      <c r="A200" s="181"/>
      <c r="B200" s="163"/>
      <c r="C200" s="158"/>
      <c r="E200" s="268"/>
      <c r="F200" s="268"/>
      <c r="G200" s="268"/>
      <c r="H200" s="40"/>
      <c r="I200" s="130"/>
      <c r="J200" s="130"/>
      <c r="K200" s="130"/>
      <c r="L200" s="130"/>
      <c r="M200" s="130"/>
      <c r="N200" s="126"/>
      <c r="O200" s="204"/>
      <c r="P200" s="126"/>
      <c r="Q200" s="124"/>
      <c r="R200" s="192"/>
      <c r="S200" s="126"/>
      <c r="T200" s="200"/>
      <c r="U200" s="200"/>
      <c r="V200" s="200"/>
      <c r="W200" s="200"/>
      <c r="X200" s="200"/>
      <c r="Y200" s="200"/>
      <c r="Z200" s="192" t="str">
        <f ca="1">IF(Flag_Send_Data=1,_xll.DBSW(PL_Saisie_Estime2!Z200,Server&amp;Cube1,PL_Saisie_Estime2!$F$17,PL_Saisie_Estime2!$F$18,PL_Saisie_Estime2!$F$19,PL_Saisie_Estime2!$F$16,PL_Saisie_Estime2!$C$14,PL_Saisie_Estime2!$F$15,PL_Saisie_Estime2!$F$14,PL_Saisie_Estime2!$F$20,PL_Saisie_Estime2!Z$2,PL_Saisie_Estime2!Z$1,PL_Saisie_Estime2!$C200),"")</f>
        <v/>
      </c>
      <c r="AA200" s="192" t="str">
        <f ca="1">IF(Flag_Send_Data=1,_xll.DBSW(PL_Saisie_Estime2!AA200,Server&amp;Cube1,PL_Saisie_Estime2!$F$17,PL_Saisie_Estime2!$F$18,PL_Saisie_Estime2!$F$19,PL_Saisie_Estime2!$F$16,PL_Saisie_Estime2!$C$14,PL_Saisie_Estime2!$F$15,PL_Saisie_Estime2!$F$14,PL_Saisie_Estime2!$F$20,PL_Saisie_Estime2!AA$2,PL_Saisie_Estime2!AA$1,PL_Saisie_Estime2!$C200),"")</f>
        <v/>
      </c>
      <c r="AB200" s="192" t="str">
        <f ca="1">IF(Flag_Send_Data=1,_xll.DBSW(PL_Saisie_Estime2!AB200,Server&amp;Cube1,PL_Saisie_Estime2!$F$17,PL_Saisie_Estime2!$F$18,PL_Saisie_Estime2!$F$19,PL_Saisie_Estime2!$F$16,PL_Saisie_Estime2!$C$14,PL_Saisie_Estime2!$F$15,PL_Saisie_Estime2!$F$14,PL_Saisie_Estime2!$F$20,PL_Saisie_Estime2!AB$2,PL_Saisie_Estime2!AB$1,PL_Saisie_Estime2!$C200),"")</f>
        <v/>
      </c>
      <c r="AC200" s="192" t="str">
        <f ca="1">IF(Flag_Send_Data=1,_xll.DBSW(PL_Saisie_Estime2!AC200,Server&amp;Cube1,PL_Saisie_Estime2!$F$17,PL_Saisie_Estime2!$F$18,PL_Saisie_Estime2!$F$19,PL_Saisie_Estime2!$F$16,PL_Saisie_Estime2!$C$14,PL_Saisie_Estime2!$F$15,PL_Saisie_Estime2!$F$14,PL_Saisie_Estime2!$F$20,PL_Saisie_Estime2!AC$2,PL_Saisie_Estime2!AC$1,PL_Saisie_Estime2!$C200),"")</f>
        <v/>
      </c>
      <c r="AD200" s="192" t="str">
        <f ca="1">IF(Flag_Send_Data=1,_xll.DBSW(PL_Saisie_Estime2!AD200,Server&amp;Cube1,PL_Saisie_Estime2!$F$17,PL_Saisie_Estime2!$F$18,PL_Saisie_Estime2!$F$19,PL_Saisie_Estime2!$F$16,PL_Saisie_Estime2!$C$14,PL_Saisie_Estime2!$F$15,PL_Saisie_Estime2!$F$14,PL_Saisie_Estime2!$F$20,PL_Saisie_Estime2!AD$2,PL_Saisie_Estime2!AD$1,PL_Saisie_Estime2!$C200),"")</f>
        <v/>
      </c>
      <c r="AE200" s="192" t="str">
        <f ca="1">IF(Flag_Send_Data=1,_xll.DBSW(PL_Saisie_Estime2!AE200,Server&amp;Cube1,PL_Saisie_Estime2!$F$17,PL_Saisie_Estime2!$F$18,PL_Saisie_Estime2!$F$19,PL_Saisie_Estime2!$F$16,PL_Saisie_Estime2!$C$14,PL_Saisie_Estime2!$F$15,PL_Saisie_Estime2!$F$14,PL_Saisie_Estime2!$F$20,PL_Saisie_Estime2!AE$2,PL_Saisie_Estime2!AE$1,PL_Saisie_Estime2!$C200),"")</f>
        <v/>
      </c>
      <c r="AF200" s="204"/>
      <c r="AG200" s="53"/>
      <c r="AH200" s="53"/>
      <c r="AI200" s="53"/>
      <c r="AJ200" s="53"/>
      <c r="AK200" s="53"/>
      <c r="AL200" s="53"/>
      <c r="AM200" s="53"/>
      <c r="AN200" s="53"/>
      <c r="AO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1:53" s="9" customFormat="1" ht="24.95" customHeight="1" x14ac:dyDescent="0.35">
      <c r="A201" s="181"/>
      <c r="B201" s="163"/>
      <c r="C201" s="158"/>
      <c r="E201" s="268"/>
      <c r="F201" s="268"/>
      <c r="G201" s="268"/>
      <c r="H201" s="40"/>
      <c r="I201" s="130"/>
      <c r="J201" s="130"/>
      <c r="K201" s="130"/>
      <c r="L201" s="130"/>
      <c r="M201" s="130"/>
      <c r="N201" s="126"/>
      <c r="O201" s="204"/>
      <c r="P201" s="126"/>
      <c r="Q201" s="124"/>
      <c r="R201" s="192"/>
      <c r="S201" s="126"/>
      <c r="T201" s="200"/>
      <c r="U201" s="200"/>
      <c r="V201" s="200"/>
      <c r="W201" s="200"/>
      <c r="X201" s="200"/>
      <c r="Y201" s="200"/>
      <c r="Z201" s="192" t="str">
        <f ca="1">IF(Flag_Send_Data=1,_xll.DBSW(PL_Saisie_Estime2!Z201,Server&amp;Cube1,PL_Saisie_Estime2!$F$17,PL_Saisie_Estime2!$F$18,PL_Saisie_Estime2!$F$19,PL_Saisie_Estime2!$F$16,PL_Saisie_Estime2!$C$14,PL_Saisie_Estime2!$F$15,PL_Saisie_Estime2!$F$14,PL_Saisie_Estime2!$F$20,PL_Saisie_Estime2!Z$2,PL_Saisie_Estime2!Z$1,PL_Saisie_Estime2!$C201),"")</f>
        <v/>
      </c>
      <c r="AA201" s="192" t="str">
        <f ca="1">IF(Flag_Send_Data=1,_xll.DBSW(PL_Saisie_Estime2!AA201,Server&amp;Cube1,PL_Saisie_Estime2!$F$17,PL_Saisie_Estime2!$F$18,PL_Saisie_Estime2!$F$19,PL_Saisie_Estime2!$F$16,PL_Saisie_Estime2!$C$14,PL_Saisie_Estime2!$F$15,PL_Saisie_Estime2!$F$14,PL_Saisie_Estime2!$F$20,PL_Saisie_Estime2!AA$2,PL_Saisie_Estime2!AA$1,PL_Saisie_Estime2!$C201),"")</f>
        <v/>
      </c>
      <c r="AB201" s="192" t="str">
        <f ca="1">IF(Flag_Send_Data=1,_xll.DBSW(PL_Saisie_Estime2!AB201,Server&amp;Cube1,PL_Saisie_Estime2!$F$17,PL_Saisie_Estime2!$F$18,PL_Saisie_Estime2!$F$19,PL_Saisie_Estime2!$F$16,PL_Saisie_Estime2!$C$14,PL_Saisie_Estime2!$F$15,PL_Saisie_Estime2!$F$14,PL_Saisie_Estime2!$F$20,PL_Saisie_Estime2!AB$2,PL_Saisie_Estime2!AB$1,PL_Saisie_Estime2!$C201),"")</f>
        <v/>
      </c>
      <c r="AC201" s="192" t="str">
        <f ca="1">IF(Flag_Send_Data=1,_xll.DBSW(PL_Saisie_Estime2!AC201,Server&amp;Cube1,PL_Saisie_Estime2!$F$17,PL_Saisie_Estime2!$F$18,PL_Saisie_Estime2!$F$19,PL_Saisie_Estime2!$F$16,PL_Saisie_Estime2!$C$14,PL_Saisie_Estime2!$F$15,PL_Saisie_Estime2!$F$14,PL_Saisie_Estime2!$F$20,PL_Saisie_Estime2!AC$2,PL_Saisie_Estime2!AC$1,PL_Saisie_Estime2!$C201),"")</f>
        <v/>
      </c>
      <c r="AD201" s="192" t="str">
        <f ca="1">IF(Flag_Send_Data=1,_xll.DBSW(PL_Saisie_Estime2!AD201,Server&amp;Cube1,PL_Saisie_Estime2!$F$17,PL_Saisie_Estime2!$F$18,PL_Saisie_Estime2!$F$19,PL_Saisie_Estime2!$F$16,PL_Saisie_Estime2!$C$14,PL_Saisie_Estime2!$F$15,PL_Saisie_Estime2!$F$14,PL_Saisie_Estime2!$F$20,PL_Saisie_Estime2!AD$2,PL_Saisie_Estime2!AD$1,PL_Saisie_Estime2!$C201),"")</f>
        <v/>
      </c>
      <c r="AE201" s="192" t="str">
        <f ca="1">IF(Flag_Send_Data=1,_xll.DBSW(PL_Saisie_Estime2!AE201,Server&amp;Cube1,PL_Saisie_Estime2!$F$17,PL_Saisie_Estime2!$F$18,PL_Saisie_Estime2!$F$19,PL_Saisie_Estime2!$F$16,PL_Saisie_Estime2!$C$14,PL_Saisie_Estime2!$F$15,PL_Saisie_Estime2!$F$14,PL_Saisie_Estime2!$F$20,PL_Saisie_Estime2!AE$2,PL_Saisie_Estime2!AE$1,PL_Saisie_Estime2!$C201),"")</f>
        <v/>
      </c>
      <c r="AF201" s="204"/>
      <c r="AG201" s="53"/>
      <c r="AH201" s="53"/>
      <c r="AI201" s="53"/>
      <c r="AJ201" s="53"/>
      <c r="AK201" s="53"/>
      <c r="AL201" s="53"/>
      <c r="AM201" s="53"/>
      <c r="AN201" s="53"/>
      <c r="AO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1:53" s="9" customFormat="1" ht="24.95" customHeight="1" x14ac:dyDescent="0.35">
      <c r="A202" s="181"/>
      <c r="B202" s="163"/>
      <c r="C202" s="158"/>
      <c r="E202" s="268"/>
      <c r="F202" s="268"/>
      <c r="G202" s="268"/>
      <c r="H202" s="40"/>
      <c r="I202" s="130"/>
      <c r="J202" s="130"/>
      <c r="K202" s="130"/>
      <c r="L202" s="130"/>
      <c r="M202" s="130"/>
      <c r="N202" s="126"/>
      <c r="O202" s="204"/>
      <c r="P202" s="126"/>
      <c r="Q202" s="124"/>
      <c r="R202" s="192"/>
      <c r="S202" s="126"/>
      <c r="T202" s="200"/>
      <c r="U202" s="200"/>
      <c r="V202" s="200"/>
      <c r="W202" s="200"/>
      <c r="X202" s="200"/>
      <c r="Y202" s="200"/>
      <c r="Z202" s="192" t="str">
        <f ca="1">IF(Flag_Send_Data=1,_xll.DBSW(PL_Saisie_Estime2!Z202,Server&amp;Cube1,PL_Saisie_Estime2!$F$17,PL_Saisie_Estime2!$F$18,PL_Saisie_Estime2!$F$19,PL_Saisie_Estime2!$F$16,PL_Saisie_Estime2!$C$14,PL_Saisie_Estime2!$F$15,PL_Saisie_Estime2!$F$14,PL_Saisie_Estime2!$F$20,PL_Saisie_Estime2!Z$2,PL_Saisie_Estime2!Z$1,PL_Saisie_Estime2!$C202),"")</f>
        <v/>
      </c>
      <c r="AA202" s="192" t="str">
        <f ca="1">IF(Flag_Send_Data=1,_xll.DBSW(PL_Saisie_Estime2!AA202,Server&amp;Cube1,PL_Saisie_Estime2!$F$17,PL_Saisie_Estime2!$F$18,PL_Saisie_Estime2!$F$19,PL_Saisie_Estime2!$F$16,PL_Saisie_Estime2!$C$14,PL_Saisie_Estime2!$F$15,PL_Saisie_Estime2!$F$14,PL_Saisie_Estime2!$F$20,PL_Saisie_Estime2!AA$2,PL_Saisie_Estime2!AA$1,PL_Saisie_Estime2!$C202),"")</f>
        <v/>
      </c>
      <c r="AB202" s="192" t="str">
        <f ca="1">IF(Flag_Send_Data=1,_xll.DBSW(PL_Saisie_Estime2!AB202,Server&amp;Cube1,PL_Saisie_Estime2!$F$17,PL_Saisie_Estime2!$F$18,PL_Saisie_Estime2!$F$19,PL_Saisie_Estime2!$F$16,PL_Saisie_Estime2!$C$14,PL_Saisie_Estime2!$F$15,PL_Saisie_Estime2!$F$14,PL_Saisie_Estime2!$F$20,PL_Saisie_Estime2!AB$2,PL_Saisie_Estime2!AB$1,PL_Saisie_Estime2!$C202),"")</f>
        <v/>
      </c>
      <c r="AC202" s="192" t="str">
        <f ca="1">IF(Flag_Send_Data=1,_xll.DBSW(PL_Saisie_Estime2!AC202,Server&amp;Cube1,PL_Saisie_Estime2!$F$17,PL_Saisie_Estime2!$F$18,PL_Saisie_Estime2!$F$19,PL_Saisie_Estime2!$F$16,PL_Saisie_Estime2!$C$14,PL_Saisie_Estime2!$F$15,PL_Saisie_Estime2!$F$14,PL_Saisie_Estime2!$F$20,PL_Saisie_Estime2!AC$2,PL_Saisie_Estime2!AC$1,PL_Saisie_Estime2!$C202),"")</f>
        <v/>
      </c>
      <c r="AD202" s="192" t="str">
        <f ca="1">IF(Flag_Send_Data=1,_xll.DBSW(PL_Saisie_Estime2!AD202,Server&amp;Cube1,PL_Saisie_Estime2!$F$17,PL_Saisie_Estime2!$F$18,PL_Saisie_Estime2!$F$19,PL_Saisie_Estime2!$F$16,PL_Saisie_Estime2!$C$14,PL_Saisie_Estime2!$F$15,PL_Saisie_Estime2!$F$14,PL_Saisie_Estime2!$F$20,PL_Saisie_Estime2!AD$2,PL_Saisie_Estime2!AD$1,PL_Saisie_Estime2!$C202),"")</f>
        <v/>
      </c>
      <c r="AE202" s="192" t="str">
        <f ca="1">IF(Flag_Send_Data=1,_xll.DBSW(PL_Saisie_Estime2!AE202,Server&amp;Cube1,PL_Saisie_Estime2!$F$17,PL_Saisie_Estime2!$F$18,PL_Saisie_Estime2!$F$19,PL_Saisie_Estime2!$F$16,PL_Saisie_Estime2!$C$14,PL_Saisie_Estime2!$F$15,PL_Saisie_Estime2!$F$14,PL_Saisie_Estime2!$F$20,PL_Saisie_Estime2!AE$2,PL_Saisie_Estime2!AE$1,PL_Saisie_Estime2!$C202),"")</f>
        <v/>
      </c>
      <c r="AF202" s="204"/>
      <c r="AG202" s="53"/>
      <c r="AH202" s="53"/>
      <c r="AI202" s="53"/>
      <c r="AJ202" s="53"/>
      <c r="AK202" s="53"/>
      <c r="AL202" s="53"/>
      <c r="AM202" s="53"/>
      <c r="AN202" s="53"/>
      <c r="AO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1:53" s="9" customFormat="1" ht="24.95" customHeight="1" x14ac:dyDescent="0.35">
      <c r="A203" s="181"/>
      <c r="B203" s="163"/>
      <c r="C203" s="158"/>
      <c r="E203" s="268"/>
      <c r="F203" s="268"/>
      <c r="G203" s="268"/>
      <c r="H203" s="40"/>
      <c r="I203" s="130"/>
      <c r="J203" s="130"/>
      <c r="K203" s="130"/>
      <c r="L203" s="130"/>
      <c r="M203" s="130"/>
      <c r="N203" s="126"/>
      <c r="O203" s="204"/>
      <c r="P203" s="126"/>
      <c r="Q203" s="124"/>
      <c r="R203" s="192"/>
      <c r="S203" s="126"/>
      <c r="T203" s="200"/>
      <c r="U203" s="200"/>
      <c r="V203" s="200"/>
      <c r="W203" s="200"/>
      <c r="X203" s="200"/>
      <c r="Y203" s="200"/>
      <c r="Z203" s="192" t="str">
        <f ca="1">IF(Flag_Send_Data=1,_xll.DBSW(PL_Saisie_Estime2!Z203,Server&amp;Cube1,PL_Saisie_Estime2!$F$17,PL_Saisie_Estime2!$F$18,PL_Saisie_Estime2!$F$19,PL_Saisie_Estime2!$F$16,PL_Saisie_Estime2!$C$14,PL_Saisie_Estime2!$F$15,PL_Saisie_Estime2!$F$14,PL_Saisie_Estime2!$F$20,PL_Saisie_Estime2!Z$2,PL_Saisie_Estime2!Z$1,PL_Saisie_Estime2!$C203),"")</f>
        <v/>
      </c>
      <c r="AA203" s="192" t="str">
        <f ca="1">IF(Flag_Send_Data=1,_xll.DBSW(PL_Saisie_Estime2!AA203,Server&amp;Cube1,PL_Saisie_Estime2!$F$17,PL_Saisie_Estime2!$F$18,PL_Saisie_Estime2!$F$19,PL_Saisie_Estime2!$F$16,PL_Saisie_Estime2!$C$14,PL_Saisie_Estime2!$F$15,PL_Saisie_Estime2!$F$14,PL_Saisie_Estime2!$F$20,PL_Saisie_Estime2!AA$2,PL_Saisie_Estime2!AA$1,PL_Saisie_Estime2!$C203),"")</f>
        <v/>
      </c>
      <c r="AB203" s="192" t="str">
        <f ca="1">IF(Flag_Send_Data=1,_xll.DBSW(PL_Saisie_Estime2!AB203,Server&amp;Cube1,PL_Saisie_Estime2!$F$17,PL_Saisie_Estime2!$F$18,PL_Saisie_Estime2!$F$19,PL_Saisie_Estime2!$F$16,PL_Saisie_Estime2!$C$14,PL_Saisie_Estime2!$F$15,PL_Saisie_Estime2!$F$14,PL_Saisie_Estime2!$F$20,PL_Saisie_Estime2!AB$2,PL_Saisie_Estime2!AB$1,PL_Saisie_Estime2!$C203),"")</f>
        <v/>
      </c>
      <c r="AC203" s="192" t="str">
        <f ca="1">IF(Flag_Send_Data=1,_xll.DBSW(PL_Saisie_Estime2!AC203,Server&amp;Cube1,PL_Saisie_Estime2!$F$17,PL_Saisie_Estime2!$F$18,PL_Saisie_Estime2!$F$19,PL_Saisie_Estime2!$F$16,PL_Saisie_Estime2!$C$14,PL_Saisie_Estime2!$F$15,PL_Saisie_Estime2!$F$14,PL_Saisie_Estime2!$F$20,PL_Saisie_Estime2!AC$2,PL_Saisie_Estime2!AC$1,PL_Saisie_Estime2!$C203),"")</f>
        <v/>
      </c>
      <c r="AD203" s="192" t="str">
        <f ca="1">IF(Flag_Send_Data=1,_xll.DBSW(PL_Saisie_Estime2!AD203,Server&amp;Cube1,PL_Saisie_Estime2!$F$17,PL_Saisie_Estime2!$F$18,PL_Saisie_Estime2!$F$19,PL_Saisie_Estime2!$F$16,PL_Saisie_Estime2!$C$14,PL_Saisie_Estime2!$F$15,PL_Saisie_Estime2!$F$14,PL_Saisie_Estime2!$F$20,PL_Saisie_Estime2!AD$2,PL_Saisie_Estime2!AD$1,PL_Saisie_Estime2!$C203),"")</f>
        <v/>
      </c>
      <c r="AE203" s="192" t="str">
        <f ca="1">IF(Flag_Send_Data=1,_xll.DBSW(PL_Saisie_Estime2!AE203,Server&amp;Cube1,PL_Saisie_Estime2!$F$17,PL_Saisie_Estime2!$F$18,PL_Saisie_Estime2!$F$19,PL_Saisie_Estime2!$F$16,PL_Saisie_Estime2!$C$14,PL_Saisie_Estime2!$F$15,PL_Saisie_Estime2!$F$14,PL_Saisie_Estime2!$F$20,PL_Saisie_Estime2!AE$2,PL_Saisie_Estime2!AE$1,PL_Saisie_Estime2!$C203),"")</f>
        <v/>
      </c>
      <c r="AF203" s="204"/>
      <c r="AG203" s="53"/>
      <c r="AH203" s="53"/>
      <c r="AI203" s="53"/>
      <c r="AJ203" s="53"/>
      <c r="AK203" s="53"/>
      <c r="AL203" s="53"/>
      <c r="AM203" s="53"/>
      <c r="AN203" s="53"/>
      <c r="AO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1:53" s="9" customFormat="1" ht="24.95" customHeight="1" collapsed="1" x14ac:dyDescent="0.35">
      <c r="A204" s="181"/>
      <c r="B204" s="163"/>
      <c r="C204" s="117"/>
      <c r="E204" s="270"/>
      <c r="F204" s="270"/>
      <c r="G204" s="270"/>
      <c r="H204" s="40"/>
      <c r="I204" s="130"/>
      <c r="J204" s="130"/>
      <c r="K204" s="130"/>
      <c r="L204" s="130"/>
      <c r="M204" s="130"/>
      <c r="N204" s="125"/>
      <c r="O204" s="125"/>
      <c r="P204" s="125"/>
      <c r="Q204" s="124"/>
      <c r="R204" s="125"/>
      <c r="S204" s="125"/>
      <c r="T204" s="201"/>
      <c r="U204" s="201"/>
      <c r="V204" s="201"/>
      <c r="W204" s="201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53"/>
      <c r="AH204" s="53"/>
      <c r="AI204" s="53"/>
      <c r="AJ204" s="53"/>
      <c r="AK204" s="53"/>
      <c r="AL204" s="53"/>
      <c r="AM204" s="53"/>
      <c r="AN204" s="53"/>
      <c r="AO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1:53" s="9" customFormat="1" ht="24.95" customHeight="1" x14ac:dyDescent="0.35">
      <c r="A205" s="181"/>
      <c r="B205" s="163"/>
      <c r="C205" s="158"/>
      <c r="E205" s="268"/>
      <c r="F205" s="268"/>
      <c r="G205" s="268"/>
      <c r="H205" s="40"/>
      <c r="I205" s="130"/>
      <c r="J205" s="130"/>
      <c r="K205" s="130"/>
      <c r="L205" s="130"/>
      <c r="M205" s="130"/>
      <c r="N205" s="126"/>
      <c r="O205" s="204"/>
      <c r="P205" s="126"/>
      <c r="Q205" s="124"/>
      <c r="R205" s="192"/>
      <c r="S205" s="126"/>
      <c r="T205" s="200"/>
      <c r="U205" s="200"/>
      <c r="V205" s="200"/>
      <c r="W205" s="200"/>
      <c r="X205" s="200"/>
      <c r="Y205" s="200"/>
      <c r="Z205" s="192" t="str">
        <f ca="1">IF(Flag_Send_Data=1,_xll.DBSW(PL_Saisie_Estime2!Z205,Server&amp;Cube1,PL_Saisie_Estime2!$F$17,PL_Saisie_Estime2!$F$18,PL_Saisie_Estime2!$F$19,PL_Saisie_Estime2!$F$16,PL_Saisie_Estime2!$C$14,PL_Saisie_Estime2!$F$15,PL_Saisie_Estime2!$F$14,PL_Saisie_Estime2!$F$20,PL_Saisie_Estime2!Z$2,PL_Saisie_Estime2!Z$1,PL_Saisie_Estime2!$C205),"")</f>
        <v/>
      </c>
      <c r="AA205" s="192" t="str">
        <f ca="1">IF(Flag_Send_Data=1,_xll.DBSW(PL_Saisie_Estime2!AA205,Server&amp;Cube1,PL_Saisie_Estime2!$F$17,PL_Saisie_Estime2!$F$18,PL_Saisie_Estime2!$F$19,PL_Saisie_Estime2!$F$16,PL_Saisie_Estime2!$C$14,PL_Saisie_Estime2!$F$15,PL_Saisie_Estime2!$F$14,PL_Saisie_Estime2!$F$20,PL_Saisie_Estime2!AA$2,PL_Saisie_Estime2!AA$1,PL_Saisie_Estime2!$C205),"")</f>
        <v/>
      </c>
      <c r="AB205" s="192" t="str">
        <f ca="1">IF(Flag_Send_Data=1,_xll.DBSW(PL_Saisie_Estime2!AB205,Server&amp;Cube1,PL_Saisie_Estime2!$F$17,PL_Saisie_Estime2!$F$18,PL_Saisie_Estime2!$F$19,PL_Saisie_Estime2!$F$16,PL_Saisie_Estime2!$C$14,PL_Saisie_Estime2!$F$15,PL_Saisie_Estime2!$F$14,PL_Saisie_Estime2!$F$20,PL_Saisie_Estime2!AB$2,PL_Saisie_Estime2!AB$1,PL_Saisie_Estime2!$C205),"")</f>
        <v/>
      </c>
      <c r="AC205" s="192" t="str">
        <f ca="1">IF(Flag_Send_Data=1,_xll.DBSW(PL_Saisie_Estime2!AC205,Server&amp;Cube1,PL_Saisie_Estime2!$F$17,PL_Saisie_Estime2!$F$18,PL_Saisie_Estime2!$F$19,PL_Saisie_Estime2!$F$16,PL_Saisie_Estime2!$C$14,PL_Saisie_Estime2!$F$15,PL_Saisie_Estime2!$F$14,PL_Saisie_Estime2!$F$20,PL_Saisie_Estime2!AC$2,PL_Saisie_Estime2!AC$1,PL_Saisie_Estime2!$C205),"")</f>
        <v/>
      </c>
      <c r="AD205" s="192" t="str">
        <f ca="1">IF(Flag_Send_Data=1,_xll.DBSW(PL_Saisie_Estime2!AD205,Server&amp;Cube1,PL_Saisie_Estime2!$F$17,PL_Saisie_Estime2!$F$18,PL_Saisie_Estime2!$F$19,PL_Saisie_Estime2!$F$16,PL_Saisie_Estime2!$C$14,PL_Saisie_Estime2!$F$15,PL_Saisie_Estime2!$F$14,PL_Saisie_Estime2!$F$20,PL_Saisie_Estime2!AD$2,PL_Saisie_Estime2!AD$1,PL_Saisie_Estime2!$C205),"")</f>
        <v/>
      </c>
      <c r="AE205" s="192" t="str">
        <f ca="1">IF(Flag_Send_Data=1,_xll.DBSW(PL_Saisie_Estime2!AE205,Server&amp;Cube1,PL_Saisie_Estime2!$F$17,PL_Saisie_Estime2!$F$18,PL_Saisie_Estime2!$F$19,PL_Saisie_Estime2!$F$16,PL_Saisie_Estime2!$C$14,PL_Saisie_Estime2!$F$15,PL_Saisie_Estime2!$F$14,PL_Saisie_Estime2!$F$20,PL_Saisie_Estime2!AE$2,PL_Saisie_Estime2!AE$1,PL_Saisie_Estime2!$C205),"")</f>
        <v/>
      </c>
      <c r="AF205" s="204"/>
      <c r="AG205" s="53"/>
      <c r="AH205" s="53"/>
      <c r="AI205" s="53"/>
      <c r="AJ205" s="53"/>
      <c r="AK205" s="53"/>
      <c r="AL205" s="53"/>
      <c r="AM205" s="53"/>
      <c r="AN205" s="53"/>
      <c r="AO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1:53" s="9" customFormat="1" ht="24.95" customHeight="1" x14ac:dyDescent="0.35">
      <c r="A206" s="181"/>
      <c r="B206" s="163"/>
      <c r="C206" s="158"/>
      <c r="E206" s="268"/>
      <c r="F206" s="268"/>
      <c r="G206" s="268"/>
      <c r="H206" s="40"/>
      <c r="I206" s="130"/>
      <c r="J206" s="130"/>
      <c r="K206" s="130"/>
      <c r="L206" s="130"/>
      <c r="M206" s="130"/>
      <c r="N206" s="126"/>
      <c r="O206" s="204"/>
      <c r="P206" s="126"/>
      <c r="Q206" s="124"/>
      <c r="R206" s="192"/>
      <c r="S206" s="126"/>
      <c r="T206" s="200"/>
      <c r="U206" s="200"/>
      <c r="V206" s="200"/>
      <c r="W206" s="200"/>
      <c r="X206" s="200"/>
      <c r="Y206" s="200"/>
      <c r="Z206" s="192" t="str">
        <f ca="1">IF(Flag_Send_Data=1,_xll.DBSW(PL_Saisie_Estime2!Z206,Server&amp;Cube1,PL_Saisie_Estime2!$F$17,PL_Saisie_Estime2!$F$18,PL_Saisie_Estime2!$F$19,PL_Saisie_Estime2!$F$16,PL_Saisie_Estime2!$C$14,PL_Saisie_Estime2!$F$15,PL_Saisie_Estime2!$F$14,PL_Saisie_Estime2!$F$20,PL_Saisie_Estime2!Z$2,PL_Saisie_Estime2!Z$1,PL_Saisie_Estime2!$C206),"")</f>
        <v/>
      </c>
      <c r="AA206" s="192" t="str">
        <f ca="1">IF(Flag_Send_Data=1,_xll.DBSW(PL_Saisie_Estime2!AA206,Server&amp;Cube1,PL_Saisie_Estime2!$F$17,PL_Saisie_Estime2!$F$18,PL_Saisie_Estime2!$F$19,PL_Saisie_Estime2!$F$16,PL_Saisie_Estime2!$C$14,PL_Saisie_Estime2!$F$15,PL_Saisie_Estime2!$F$14,PL_Saisie_Estime2!$F$20,PL_Saisie_Estime2!AA$2,PL_Saisie_Estime2!AA$1,PL_Saisie_Estime2!$C206),"")</f>
        <v/>
      </c>
      <c r="AB206" s="192" t="str">
        <f ca="1">IF(Flag_Send_Data=1,_xll.DBSW(PL_Saisie_Estime2!AB206,Server&amp;Cube1,PL_Saisie_Estime2!$F$17,PL_Saisie_Estime2!$F$18,PL_Saisie_Estime2!$F$19,PL_Saisie_Estime2!$F$16,PL_Saisie_Estime2!$C$14,PL_Saisie_Estime2!$F$15,PL_Saisie_Estime2!$F$14,PL_Saisie_Estime2!$F$20,PL_Saisie_Estime2!AB$2,PL_Saisie_Estime2!AB$1,PL_Saisie_Estime2!$C206),"")</f>
        <v/>
      </c>
      <c r="AC206" s="192" t="str">
        <f ca="1">IF(Flag_Send_Data=1,_xll.DBSW(PL_Saisie_Estime2!AC206,Server&amp;Cube1,PL_Saisie_Estime2!$F$17,PL_Saisie_Estime2!$F$18,PL_Saisie_Estime2!$F$19,PL_Saisie_Estime2!$F$16,PL_Saisie_Estime2!$C$14,PL_Saisie_Estime2!$F$15,PL_Saisie_Estime2!$F$14,PL_Saisie_Estime2!$F$20,PL_Saisie_Estime2!AC$2,PL_Saisie_Estime2!AC$1,PL_Saisie_Estime2!$C206),"")</f>
        <v/>
      </c>
      <c r="AD206" s="192" t="str">
        <f ca="1">IF(Flag_Send_Data=1,_xll.DBSW(PL_Saisie_Estime2!AD206,Server&amp;Cube1,PL_Saisie_Estime2!$F$17,PL_Saisie_Estime2!$F$18,PL_Saisie_Estime2!$F$19,PL_Saisie_Estime2!$F$16,PL_Saisie_Estime2!$C$14,PL_Saisie_Estime2!$F$15,PL_Saisie_Estime2!$F$14,PL_Saisie_Estime2!$F$20,PL_Saisie_Estime2!AD$2,PL_Saisie_Estime2!AD$1,PL_Saisie_Estime2!$C206),"")</f>
        <v/>
      </c>
      <c r="AE206" s="192" t="str">
        <f ca="1">IF(Flag_Send_Data=1,_xll.DBSW(PL_Saisie_Estime2!AE206,Server&amp;Cube1,PL_Saisie_Estime2!$F$17,PL_Saisie_Estime2!$F$18,PL_Saisie_Estime2!$F$19,PL_Saisie_Estime2!$F$16,PL_Saisie_Estime2!$C$14,PL_Saisie_Estime2!$F$15,PL_Saisie_Estime2!$F$14,PL_Saisie_Estime2!$F$20,PL_Saisie_Estime2!AE$2,PL_Saisie_Estime2!AE$1,PL_Saisie_Estime2!$C206),"")</f>
        <v/>
      </c>
      <c r="AF206" s="204"/>
      <c r="AG206" s="53"/>
      <c r="AH206" s="53"/>
      <c r="AI206" s="53"/>
      <c r="AJ206" s="53"/>
      <c r="AK206" s="53"/>
      <c r="AL206" s="53"/>
      <c r="AM206" s="53"/>
      <c r="AN206" s="53"/>
      <c r="AO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1:53" s="9" customFormat="1" ht="24.95" customHeight="1" x14ac:dyDescent="0.35">
      <c r="A207" s="181"/>
      <c r="B207" s="163"/>
      <c r="C207" s="158"/>
      <c r="E207" s="268"/>
      <c r="F207" s="268"/>
      <c r="G207" s="268"/>
      <c r="H207" s="40"/>
      <c r="I207" s="130"/>
      <c r="J207" s="130"/>
      <c r="K207" s="130"/>
      <c r="L207" s="130"/>
      <c r="M207" s="130"/>
      <c r="N207" s="126"/>
      <c r="O207" s="204"/>
      <c r="P207" s="126"/>
      <c r="Q207" s="124"/>
      <c r="R207" s="192"/>
      <c r="S207" s="126"/>
      <c r="T207" s="200"/>
      <c r="U207" s="200"/>
      <c r="V207" s="200"/>
      <c r="W207" s="200"/>
      <c r="X207" s="200"/>
      <c r="Y207" s="200"/>
      <c r="Z207" s="192" t="str">
        <f ca="1">IF(Flag_Send_Data=1,_xll.DBSW(PL_Saisie_Estime2!Z207,Server&amp;Cube1,PL_Saisie_Estime2!$F$17,PL_Saisie_Estime2!$F$18,PL_Saisie_Estime2!$F$19,PL_Saisie_Estime2!$F$16,PL_Saisie_Estime2!$C$14,PL_Saisie_Estime2!$F$15,PL_Saisie_Estime2!$F$14,PL_Saisie_Estime2!$F$20,PL_Saisie_Estime2!Z$2,PL_Saisie_Estime2!Z$1,PL_Saisie_Estime2!$C207),"")</f>
        <v/>
      </c>
      <c r="AA207" s="192" t="str">
        <f ca="1">IF(Flag_Send_Data=1,_xll.DBSW(PL_Saisie_Estime2!AA207,Server&amp;Cube1,PL_Saisie_Estime2!$F$17,PL_Saisie_Estime2!$F$18,PL_Saisie_Estime2!$F$19,PL_Saisie_Estime2!$F$16,PL_Saisie_Estime2!$C$14,PL_Saisie_Estime2!$F$15,PL_Saisie_Estime2!$F$14,PL_Saisie_Estime2!$F$20,PL_Saisie_Estime2!AA$2,PL_Saisie_Estime2!AA$1,PL_Saisie_Estime2!$C207),"")</f>
        <v/>
      </c>
      <c r="AB207" s="192" t="str">
        <f ca="1">IF(Flag_Send_Data=1,_xll.DBSW(PL_Saisie_Estime2!AB207,Server&amp;Cube1,PL_Saisie_Estime2!$F$17,PL_Saisie_Estime2!$F$18,PL_Saisie_Estime2!$F$19,PL_Saisie_Estime2!$F$16,PL_Saisie_Estime2!$C$14,PL_Saisie_Estime2!$F$15,PL_Saisie_Estime2!$F$14,PL_Saisie_Estime2!$F$20,PL_Saisie_Estime2!AB$2,PL_Saisie_Estime2!AB$1,PL_Saisie_Estime2!$C207),"")</f>
        <v/>
      </c>
      <c r="AC207" s="192" t="str">
        <f ca="1">IF(Flag_Send_Data=1,_xll.DBSW(PL_Saisie_Estime2!AC207,Server&amp;Cube1,PL_Saisie_Estime2!$F$17,PL_Saisie_Estime2!$F$18,PL_Saisie_Estime2!$F$19,PL_Saisie_Estime2!$F$16,PL_Saisie_Estime2!$C$14,PL_Saisie_Estime2!$F$15,PL_Saisie_Estime2!$F$14,PL_Saisie_Estime2!$F$20,PL_Saisie_Estime2!AC$2,PL_Saisie_Estime2!AC$1,PL_Saisie_Estime2!$C207),"")</f>
        <v/>
      </c>
      <c r="AD207" s="192" t="str">
        <f ca="1">IF(Flag_Send_Data=1,_xll.DBSW(PL_Saisie_Estime2!AD207,Server&amp;Cube1,PL_Saisie_Estime2!$F$17,PL_Saisie_Estime2!$F$18,PL_Saisie_Estime2!$F$19,PL_Saisie_Estime2!$F$16,PL_Saisie_Estime2!$C$14,PL_Saisie_Estime2!$F$15,PL_Saisie_Estime2!$F$14,PL_Saisie_Estime2!$F$20,PL_Saisie_Estime2!AD$2,PL_Saisie_Estime2!AD$1,PL_Saisie_Estime2!$C207),"")</f>
        <v/>
      </c>
      <c r="AE207" s="192" t="str">
        <f ca="1">IF(Flag_Send_Data=1,_xll.DBSW(PL_Saisie_Estime2!AE207,Server&amp;Cube1,PL_Saisie_Estime2!$F$17,PL_Saisie_Estime2!$F$18,PL_Saisie_Estime2!$F$19,PL_Saisie_Estime2!$F$16,PL_Saisie_Estime2!$C$14,PL_Saisie_Estime2!$F$15,PL_Saisie_Estime2!$F$14,PL_Saisie_Estime2!$F$20,PL_Saisie_Estime2!AE$2,PL_Saisie_Estime2!AE$1,PL_Saisie_Estime2!$C207),"")</f>
        <v/>
      </c>
      <c r="AF207" s="204"/>
      <c r="AG207" s="53"/>
      <c r="AH207" s="53"/>
      <c r="AI207" s="53"/>
      <c r="AJ207" s="53"/>
      <c r="AK207" s="53"/>
      <c r="AL207" s="53"/>
      <c r="AM207" s="53"/>
      <c r="AN207" s="53"/>
      <c r="AO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1:53" s="9" customFormat="1" ht="24.95" customHeight="1" x14ac:dyDescent="0.35">
      <c r="A208" s="181"/>
      <c r="B208" s="163"/>
      <c r="C208" s="158"/>
      <c r="E208" s="268"/>
      <c r="F208" s="268"/>
      <c r="G208" s="268"/>
      <c r="H208" s="40"/>
      <c r="I208" s="130"/>
      <c r="J208" s="130"/>
      <c r="K208" s="130"/>
      <c r="L208" s="130"/>
      <c r="M208" s="130"/>
      <c r="N208" s="126"/>
      <c r="O208" s="204"/>
      <c r="P208" s="126"/>
      <c r="Q208" s="124"/>
      <c r="R208" s="192"/>
      <c r="S208" s="126"/>
      <c r="T208" s="200"/>
      <c r="U208" s="200"/>
      <c r="V208" s="200"/>
      <c r="W208" s="200"/>
      <c r="X208" s="200"/>
      <c r="Y208" s="200"/>
      <c r="Z208" s="192" t="str">
        <f ca="1">IF(Flag_Send_Data=1,_xll.DBSW(PL_Saisie_Estime2!Z208,Server&amp;Cube1,PL_Saisie_Estime2!$F$17,PL_Saisie_Estime2!$F$18,PL_Saisie_Estime2!$F$19,PL_Saisie_Estime2!$F$16,PL_Saisie_Estime2!$C$14,PL_Saisie_Estime2!$F$15,PL_Saisie_Estime2!$F$14,PL_Saisie_Estime2!$F$20,PL_Saisie_Estime2!Z$2,PL_Saisie_Estime2!Z$1,PL_Saisie_Estime2!$C208),"")</f>
        <v/>
      </c>
      <c r="AA208" s="192" t="str">
        <f ca="1">IF(Flag_Send_Data=1,_xll.DBSW(PL_Saisie_Estime2!AA208,Server&amp;Cube1,PL_Saisie_Estime2!$F$17,PL_Saisie_Estime2!$F$18,PL_Saisie_Estime2!$F$19,PL_Saisie_Estime2!$F$16,PL_Saisie_Estime2!$C$14,PL_Saisie_Estime2!$F$15,PL_Saisie_Estime2!$F$14,PL_Saisie_Estime2!$F$20,PL_Saisie_Estime2!AA$2,PL_Saisie_Estime2!AA$1,PL_Saisie_Estime2!$C208),"")</f>
        <v/>
      </c>
      <c r="AB208" s="192" t="str">
        <f ca="1">IF(Flag_Send_Data=1,_xll.DBSW(PL_Saisie_Estime2!AB208,Server&amp;Cube1,PL_Saisie_Estime2!$F$17,PL_Saisie_Estime2!$F$18,PL_Saisie_Estime2!$F$19,PL_Saisie_Estime2!$F$16,PL_Saisie_Estime2!$C$14,PL_Saisie_Estime2!$F$15,PL_Saisie_Estime2!$F$14,PL_Saisie_Estime2!$F$20,PL_Saisie_Estime2!AB$2,PL_Saisie_Estime2!AB$1,PL_Saisie_Estime2!$C208),"")</f>
        <v/>
      </c>
      <c r="AC208" s="192" t="str">
        <f ca="1">IF(Flag_Send_Data=1,_xll.DBSW(PL_Saisie_Estime2!AC208,Server&amp;Cube1,PL_Saisie_Estime2!$F$17,PL_Saisie_Estime2!$F$18,PL_Saisie_Estime2!$F$19,PL_Saisie_Estime2!$F$16,PL_Saisie_Estime2!$C$14,PL_Saisie_Estime2!$F$15,PL_Saisie_Estime2!$F$14,PL_Saisie_Estime2!$F$20,PL_Saisie_Estime2!AC$2,PL_Saisie_Estime2!AC$1,PL_Saisie_Estime2!$C208),"")</f>
        <v/>
      </c>
      <c r="AD208" s="192" t="str">
        <f ca="1">IF(Flag_Send_Data=1,_xll.DBSW(PL_Saisie_Estime2!AD208,Server&amp;Cube1,PL_Saisie_Estime2!$F$17,PL_Saisie_Estime2!$F$18,PL_Saisie_Estime2!$F$19,PL_Saisie_Estime2!$F$16,PL_Saisie_Estime2!$C$14,PL_Saisie_Estime2!$F$15,PL_Saisie_Estime2!$F$14,PL_Saisie_Estime2!$F$20,PL_Saisie_Estime2!AD$2,PL_Saisie_Estime2!AD$1,PL_Saisie_Estime2!$C208),"")</f>
        <v/>
      </c>
      <c r="AE208" s="192" t="str">
        <f ca="1">IF(Flag_Send_Data=1,_xll.DBSW(PL_Saisie_Estime2!AE208,Server&amp;Cube1,PL_Saisie_Estime2!$F$17,PL_Saisie_Estime2!$F$18,PL_Saisie_Estime2!$F$19,PL_Saisie_Estime2!$F$16,PL_Saisie_Estime2!$C$14,PL_Saisie_Estime2!$F$15,PL_Saisie_Estime2!$F$14,PL_Saisie_Estime2!$F$20,PL_Saisie_Estime2!AE$2,PL_Saisie_Estime2!AE$1,PL_Saisie_Estime2!$C208),"")</f>
        <v/>
      </c>
      <c r="AF208" s="204"/>
      <c r="AG208" s="53"/>
      <c r="AH208" s="53"/>
      <c r="AI208" s="53"/>
      <c r="AJ208" s="53"/>
      <c r="AK208" s="53"/>
      <c r="AL208" s="53"/>
      <c r="AM208" s="53"/>
      <c r="AN208" s="53"/>
      <c r="AO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:53" s="9" customFormat="1" ht="24.95" customHeight="1" x14ac:dyDescent="0.35">
      <c r="A209" s="181"/>
      <c r="B209" s="163"/>
      <c r="C209" s="158"/>
      <c r="E209" s="268"/>
      <c r="F209" s="268"/>
      <c r="G209" s="268"/>
      <c r="H209" s="40"/>
      <c r="I209" s="130"/>
      <c r="J209" s="130"/>
      <c r="K209" s="130"/>
      <c r="L209" s="130"/>
      <c r="M209" s="130"/>
      <c r="N209" s="126"/>
      <c r="O209" s="204"/>
      <c r="P209" s="126"/>
      <c r="Q209" s="124"/>
      <c r="R209" s="192"/>
      <c r="S209" s="126"/>
      <c r="T209" s="200"/>
      <c r="U209" s="200"/>
      <c r="V209" s="200"/>
      <c r="W209" s="200"/>
      <c r="X209" s="200"/>
      <c r="Y209" s="200"/>
      <c r="Z209" s="192" t="str">
        <f ca="1">IF(Flag_Send_Data=1,_xll.DBSW(PL_Saisie_Estime2!Z209,Server&amp;Cube1,PL_Saisie_Estime2!$F$17,PL_Saisie_Estime2!$F$18,PL_Saisie_Estime2!$F$19,PL_Saisie_Estime2!$F$16,PL_Saisie_Estime2!$C$14,PL_Saisie_Estime2!$F$15,PL_Saisie_Estime2!$F$14,PL_Saisie_Estime2!$F$20,PL_Saisie_Estime2!Z$2,PL_Saisie_Estime2!Z$1,PL_Saisie_Estime2!$C209),"")</f>
        <v/>
      </c>
      <c r="AA209" s="192" t="str">
        <f ca="1">IF(Flag_Send_Data=1,_xll.DBSW(PL_Saisie_Estime2!AA209,Server&amp;Cube1,PL_Saisie_Estime2!$F$17,PL_Saisie_Estime2!$F$18,PL_Saisie_Estime2!$F$19,PL_Saisie_Estime2!$F$16,PL_Saisie_Estime2!$C$14,PL_Saisie_Estime2!$F$15,PL_Saisie_Estime2!$F$14,PL_Saisie_Estime2!$F$20,PL_Saisie_Estime2!AA$2,PL_Saisie_Estime2!AA$1,PL_Saisie_Estime2!$C209),"")</f>
        <v/>
      </c>
      <c r="AB209" s="192" t="str">
        <f ca="1">IF(Flag_Send_Data=1,_xll.DBSW(PL_Saisie_Estime2!AB209,Server&amp;Cube1,PL_Saisie_Estime2!$F$17,PL_Saisie_Estime2!$F$18,PL_Saisie_Estime2!$F$19,PL_Saisie_Estime2!$F$16,PL_Saisie_Estime2!$C$14,PL_Saisie_Estime2!$F$15,PL_Saisie_Estime2!$F$14,PL_Saisie_Estime2!$F$20,PL_Saisie_Estime2!AB$2,PL_Saisie_Estime2!AB$1,PL_Saisie_Estime2!$C209),"")</f>
        <v/>
      </c>
      <c r="AC209" s="192" t="str">
        <f ca="1">IF(Flag_Send_Data=1,_xll.DBSW(PL_Saisie_Estime2!AC209,Server&amp;Cube1,PL_Saisie_Estime2!$F$17,PL_Saisie_Estime2!$F$18,PL_Saisie_Estime2!$F$19,PL_Saisie_Estime2!$F$16,PL_Saisie_Estime2!$C$14,PL_Saisie_Estime2!$F$15,PL_Saisie_Estime2!$F$14,PL_Saisie_Estime2!$F$20,PL_Saisie_Estime2!AC$2,PL_Saisie_Estime2!AC$1,PL_Saisie_Estime2!$C209),"")</f>
        <v/>
      </c>
      <c r="AD209" s="192" t="str">
        <f ca="1">IF(Flag_Send_Data=1,_xll.DBSW(PL_Saisie_Estime2!AD209,Server&amp;Cube1,PL_Saisie_Estime2!$F$17,PL_Saisie_Estime2!$F$18,PL_Saisie_Estime2!$F$19,PL_Saisie_Estime2!$F$16,PL_Saisie_Estime2!$C$14,PL_Saisie_Estime2!$F$15,PL_Saisie_Estime2!$F$14,PL_Saisie_Estime2!$F$20,PL_Saisie_Estime2!AD$2,PL_Saisie_Estime2!AD$1,PL_Saisie_Estime2!$C209),"")</f>
        <v/>
      </c>
      <c r="AE209" s="192" t="str">
        <f ca="1">IF(Flag_Send_Data=1,_xll.DBSW(PL_Saisie_Estime2!AE209,Server&amp;Cube1,PL_Saisie_Estime2!$F$17,PL_Saisie_Estime2!$F$18,PL_Saisie_Estime2!$F$19,PL_Saisie_Estime2!$F$16,PL_Saisie_Estime2!$C$14,PL_Saisie_Estime2!$F$15,PL_Saisie_Estime2!$F$14,PL_Saisie_Estime2!$F$20,PL_Saisie_Estime2!AE$2,PL_Saisie_Estime2!AE$1,PL_Saisie_Estime2!$C209),"")</f>
        <v/>
      </c>
      <c r="AF209" s="204"/>
      <c r="AG209" s="53"/>
      <c r="AH209" s="53"/>
      <c r="AI209" s="53"/>
      <c r="AJ209" s="53"/>
      <c r="AK209" s="53"/>
      <c r="AL209" s="53"/>
      <c r="AM209" s="53"/>
      <c r="AN209" s="53"/>
      <c r="AO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:53" s="9" customFormat="1" ht="24.95" customHeight="1" x14ac:dyDescent="0.35">
      <c r="A210" s="181"/>
      <c r="B210" s="163"/>
      <c r="C210" s="158"/>
      <c r="E210" s="268"/>
      <c r="F210" s="268"/>
      <c r="G210" s="268"/>
      <c r="H210" s="40"/>
      <c r="I210" s="130"/>
      <c r="J210" s="130"/>
      <c r="K210" s="130"/>
      <c r="L210" s="130"/>
      <c r="M210" s="130"/>
      <c r="N210" s="126"/>
      <c r="O210" s="204"/>
      <c r="P210" s="126"/>
      <c r="Q210" s="124"/>
      <c r="R210" s="192"/>
      <c r="S210" s="126"/>
      <c r="T210" s="200"/>
      <c r="U210" s="200"/>
      <c r="V210" s="200"/>
      <c r="W210" s="200"/>
      <c r="X210" s="200"/>
      <c r="Y210" s="200"/>
      <c r="Z210" s="192" t="str">
        <f ca="1">IF(Flag_Send_Data=1,_xll.DBSW(PL_Saisie_Estime2!Z210,Server&amp;Cube1,PL_Saisie_Estime2!$F$17,PL_Saisie_Estime2!$F$18,PL_Saisie_Estime2!$F$19,PL_Saisie_Estime2!$F$16,PL_Saisie_Estime2!$C$14,PL_Saisie_Estime2!$F$15,PL_Saisie_Estime2!$F$14,PL_Saisie_Estime2!$F$20,PL_Saisie_Estime2!Z$2,PL_Saisie_Estime2!Z$1,PL_Saisie_Estime2!$C210),"")</f>
        <v/>
      </c>
      <c r="AA210" s="192" t="str">
        <f ca="1">IF(Flag_Send_Data=1,_xll.DBSW(PL_Saisie_Estime2!AA210,Server&amp;Cube1,PL_Saisie_Estime2!$F$17,PL_Saisie_Estime2!$F$18,PL_Saisie_Estime2!$F$19,PL_Saisie_Estime2!$F$16,PL_Saisie_Estime2!$C$14,PL_Saisie_Estime2!$F$15,PL_Saisie_Estime2!$F$14,PL_Saisie_Estime2!$F$20,PL_Saisie_Estime2!AA$2,PL_Saisie_Estime2!AA$1,PL_Saisie_Estime2!$C210),"")</f>
        <v/>
      </c>
      <c r="AB210" s="192" t="str">
        <f ca="1">IF(Flag_Send_Data=1,_xll.DBSW(PL_Saisie_Estime2!AB210,Server&amp;Cube1,PL_Saisie_Estime2!$F$17,PL_Saisie_Estime2!$F$18,PL_Saisie_Estime2!$F$19,PL_Saisie_Estime2!$F$16,PL_Saisie_Estime2!$C$14,PL_Saisie_Estime2!$F$15,PL_Saisie_Estime2!$F$14,PL_Saisie_Estime2!$F$20,PL_Saisie_Estime2!AB$2,PL_Saisie_Estime2!AB$1,PL_Saisie_Estime2!$C210),"")</f>
        <v/>
      </c>
      <c r="AC210" s="192" t="str">
        <f ca="1">IF(Flag_Send_Data=1,_xll.DBSW(PL_Saisie_Estime2!AC210,Server&amp;Cube1,PL_Saisie_Estime2!$F$17,PL_Saisie_Estime2!$F$18,PL_Saisie_Estime2!$F$19,PL_Saisie_Estime2!$F$16,PL_Saisie_Estime2!$C$14,PL_Saisie_Estime2!$F$15,PL_Saisie_Estime2!$F$14,PL_Saisie_Estime2!$F$20,PL_Saisie_Estime2!AC$2,PL_Saisie_Estime2!AC$1,PL_Saisie_Estime2!$C210),"")</f>
        <v/>
      </c>
      <c r="AD210" s="192" t="str">
        <f ca="1">IF(Flag_Send_Data=1,_xll.DBSW(PL_Saisie_Estime2!AD210,Server&amp;Cube1,PL_Saisie_Estime2!$F$17,PL_Saisie_Estime2!$F$18,PL_Saisie_Estime2!$F$19,PL_Saisie_Estime2!$F$16,PL_Saisie_Estime2!$C$14,PL_Saisie_Estime2!$F$15,PL_Saisie_Estime2!$F$14,PL_Saisie_Estime2!$F$20,PL_Saisie_Estime2!AD$2,PL_Saisie_Estime2!AD$1,PL_Saisie_Estime2!$C210),"")</f>
        <v/>
      </c>
      <c r="AE210" s="192" t="str">
        <f ca="1">IF(Flag_Send_Data=1,_xll.DBSW(PL_Saisie_Estime2!AE210,Server&amp;Cube1,PL_Saisie_Estime2!$F$17,PL_Saisie_Estime2!$F$18,PL_Saisie_Estime2!$F$19,PL_Saisie_Estime2!$F$16,PL_Saisie_Estime2!$C$14,PL_Saisie_Estime2!$F$15,PL_Saisie_Estime2!$F$14,PL_Saisie_Estime2!$F$20,PL_Saisie_Estime2!AE$2,PL_Saisie_Estime2!AE$1,PL_Saisie_Estime2!$C210),"")</f>
        <v/>
      </c>
      <c r="AF210" s="204"/>
      <c r="AG210" s="53"/>
      <c r="AH210" s="53"/>
      <c r="AI210" s="53"/>
      <c r="AJ210" s="53"/>
      <c r="AK210" s="53"/>
      <c r="AL210" s="53"/>
      <c r="AM210" s="53"/>
      <c r="AN210" s="53"/>
      <c r="AO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:53" s="9" customFormat="1" ht="24.95" customHeight="1" x14ac:dyDescent="0.35">
      <c r="A211" s="181"/>
      <c r="B211" s="163"/>
      <c r="C211" s="158"/>
      <c r="E211" s="268"/>
      <c r="F211" s="268"/>
      <c r="G211" s="268"/>
      <c r="H211" s="40"/>
      <c r="I211" s="130"/>
      <c r="J211" s="130"/>
      <c r="K211" s="130"/>
      <c r="L211" s="130"/>
      <c r="M211" s="130"/>
      <c r="N211" s="126"/>
      <c r="O211" s="204"/>
      <c r="P211" s="126"/>
      <c r="Q211" s="124"/>
      <c r="R211" s="192"/>
      <c r="S211" s="126"/>
      <c r="T211" s="200"/>
      <c r="U211" s="200"/>
      <c r="V211" s="200"/>
      <c r="W211" s="200"/>
      <c r="X211" s="200"/>
      <c r="Y211" s="200"/>
      <c r="Z211" s="192" t="str">
        <f ca="1">IF(Flag_Send_Data=1,_xll.DBSW(PL_Saisie_Estime2!Z211,Server&amp;Cube1,PL_Saisie_Estime2!$F$17,PL_Saisie_Estime2!$F$18,PL_Saisie_Estime2!$F$19,PL_Saisie_Estime2!$F$16,PL_Saisie_Estime2!$C$14,PL_Saisie_Estime2!$F$15,PL_Saisie_Estime2!$F$14,PL_Saisie_Estime2!$F$20,PL_Saisie_Estime2!Z$2,PL_Saisie_Estime2!Z$1,PL_Saisie_Estime2!$C211),"")</f>
        <v/>
      </c>
      <c r="AA211" s="192" t="str">
        <f ca="1">IF(Flag_Send_Data=1,_xll.DBSW(PL_Saisie_Estime2!AA211,Server&amp;Cube1,PL_Saisie_Estime2!$F$17,PL_Saisie_Estime2!$F$18,PL_Saisie_Estime2!$F$19,PL_Saisie_Estime2!$F$16,PL_Saisie_Estime2!$C$14,PL_Saisie_Estime2!$F$15,PL_Saisie_Estime2!$F$14,PL_Saisie_Estime2!$F$20,PL_Saisie_Estime2!AA$2,PL_Saisie_Estime2!AA$1,PL_Saisie_Estime2!$C211),"")</f>
        <v/>
      </c>
      <c r="AB211" s="192" t="str">
        <f ca="1">IF(Flag_Send_Data=1,_xll.DBSW(PL_Saisie_Estime2!AB211,Server&amp;Cube1,PL_Saisie_Estime2!$F$17,PL_Saisie_Estime2!$F$18,PL_Saisie_Estime2!$F$19,PL_Saisie_Estime2!$F$16,PL_Saisie_Estime2!$C$14,PL_Saisie_Estime2!$F$15,PL_Saisie_Estime2!$F$14,PL_Saisie_Estime2!$F$20,PL_Saisie_Estime2!AB$2,PL_Saisie_Estime2!AB$1,PL_Saisie_Estime2!$C211),"")</f>
        <v/>
      </c>
      <c r="AC211" s="192" t="str">
        <f ca="1">IF(Flag_Send_Data=1,_xll.DBSW(PL_Saisie_Estime2!AC211,Server&amp;Cube1,PL_Saisie_Estime2!$F$17,PL_Saisie_Estime2!$F$18,PL_Saisie_Estime2!$F$19,PL_Saisie_Estime2!$F$16,PL_Saisie_Estime2!$C$14,PL_Saisie_Estime2!$F$15,PL_Saisie_Estime2!$F$14,PL_Saisie_Estime2!$F$20,PL_Saisie_Estime2!AC$2,PL_Saisie_Estime2!AC$1,PL_Saisie_Estime2!$C211),"")</f>
        <v/>
      </c>
      <c r="AD211" s="192" t="str">
        <f ca="1">IF(Flag_Send_Data=1,_xll.DBSW(PL_Saisie_Estime2!AD211,Server&amp;Cube1,PL_Saisie_Estime2!$F$17,PL_Saisie_Estime2!$F$18,PL_Saisie_Estime2!$F$19,PL_Saisie_Estime2!$F$16,PL_Saisie_Estime2!$C$14,PL_Saisie_Estime2!$F$15,PL_Saisie_Estime2!$F$14,PL_Saisie_Estime2!$F$20,PL_Saisie_Estime2!AD$2,PL_Saisie_Estime2!AD$1,PL_Saisie_Estime2!$C211),"")</f>
        <v/>
      </c>
      <c r="AE211" s="192" t="str">
        <f ca="1">IF(Flag_Send_Data=1,_xll.DBSW(PL_Saisie_Estime2!AE211,Server&amp;Cube1,PL_Saisie_Estime2!$F$17,PL_Saisie_Estime2!$F$18,PL_Saisie_Estime2!$F$19,PL_Saisie_Estime2!$F$16,PL_Saisie_Estime2!$C$14,PL_Saisie_Estime2!$F$15,PL_Saisie_Estime2!$F$14,PL_Saisie_Estime2!$F$20,PL_Saisie_Estime2!AE$2,PL_Saisie_Estime2!AE$1,PL_Saisie_Estime2!$C211),"")</f>
        <v/>
      </c>
      <c r="AF211" s="204"/>
      <c r="AG211" s="53"/>
      <c r="AH211" s="53"/>
      <c r="AI211" s="53"/>
      <c r="AJ211" s="53"/>
      <c r="AK211" s="53"/>
      <c r="AL211" s="53"/>
      <c r="AM211" s="53"/>
      <c r="AN211" s="53"/>
      <c r="AO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:53" s="9" customFormat="1" ht="24.95" customHeight="1" x14ac:dyDescent="0.35">
      <c r="A212" s="181"/>
      <c r="B212" s="163"/>
      <c r="C212" s="158"/>
      <c r="E212" s="268"/>
      <c r="F212" s="268"/>
      <c r="G212" s="268"/>
      <c r="H212" s="40"/>
      <c r="I212" s="130"/>
      <c r="J212" s="130"/>
      <c r="K212" s="130"/>
      <c r="L212" s="130"/>
      <c r="M212" s="130"/>
      <c r="N212" s="126"/>
      <c r="O212" s="204"/>
      <c r="P212" s="126"/>
      <c r="Q212" s="124"/>
      <c r="R212" s="192"/>
      <c r="S212" s="126"/>
      <c r="T212" s="200"/>
      <c r="U212" s="200"/>
      <c r="V212" s="200"/>
      <c r="W212" s="200"/>
      <c r="X212" s="200"/>
      <c r="Y212" s="200"/>
      <c r="Z212" s="192" t="str">
        <f ca="1">IF(Flag_Send_Data=1,_xll.DBSW(PL_Saisie_Estime2!Z212,Server&amp;Cube1,PL_Saisie_Estime2!$F$17,PL_Saisie_Estime2!$F$18,PL_Saisie_Estime2!$F$19,PL_Saisie_Estime2!$F$16,PL_Saisie_Estime2!$C$14,PL_Saisie_Estime2!$F$15,PL_Saisie_Estime2!$F$14,PL_Saisie_Estime2!$F$20,PL_Saisie_Estime2!Z$2,PL_Saisie_Estime2!Z$1,PL_Saisie_Estime2!$C212),"")</f>
        <v/>
      </c>
      <c r="AA212" s="192" t="str">
        <f ca="1">IF(Flag_Send_Data=1,_xll.DBSW(PL_Saisie_Estime2!AA212,Server&amp;Cube1,PL_Saisie_Estime2!$F$17,PL_Saisie_Estime2!$F$18,PL_Saisie_Estime2!$F$19,PL_Saisie_Estime2!$F$16,PL_Saisie_Estime2!$C$14,PL_Saisie_Estime2!$F$15,PL_Saisie_Estime2!$F$14,PL_Saisie_Estime2!$F$20,PL_Saisie_Estime2!AA$2,PL_Saisie_Estime2!AA$1,PL_Saisie_Estime2!$C212),"")</f>
        <v/>
      </c>
      <c r="AB212" s="192" t="str">
        <f ca="1">IF(Flag_Send_Data=1,_xll.DBSW(PL_Saisie_Estime2!AB212,Server&amp;Cube1,PL_Saisie_Estime2!$F$17,PL_Saisie_Estime2!$F$18,PL_Saisie_Estime2!$F$19,PL_Saisie_Estime2!$F$16,PL_Saisie_Estime2!$C$14,PL_Saisie_Estime2!$F$15,PL_Saisie_Estime2!$F$14,PL_Saisie_Estime2!$F$20,PL_Saisie_Estime2!AB$2,PL_Saisie_Estime2!AB$1,PL_Saisie_Estime2!$C212),"")</f>
        <v/>
      </c>
      <c r="AC212" s="192" t="str">
        <f ca="1">IF(Flag_Send_Data=1,_xll.DBSW(PL_Saisie_Estime2!AC212,Server&amp;Cube1,PL_Saisie_Estime2!$F$17,PL_Saisie_Estime2!$F$18,PL_Saisie_Estime2!$F$19,PL_Saisie_Estime2!$F$16,PL_Saisie_Estime2!$C$14,PL_Saisie_Estime2!$F$15,PL_Saisie_Estime2!$F$14,PL_Saisie_Estime2!$F$20,PL_Saisie_Estime2!AC$2,PL_Saisie_Estime2!AC$1,PL_Saisie_Estime2!$C212),"")</f>
        <v/>
      </c>
      <c r="AD212" s="192" t="str">
        <f ca="1">IF(Flag_Send_Data=1,_xll.DBSW(PL_Saisie_Estime2!AD212,Server&amp;Cube1,PL_Saisie_Estime2!$F$17,PL_Saisie_Estime2!$F$18,PL_Saisie_Estime2!$F$19,PL_Saisie_Estime2!$F$16,PL_Saisie_Estime2!$C$14,PL_Saisie_Estime2!$F$15,PL_Saisie_Estime2!$F$14,PL_Saisie_Estime2!$F$20,PL_Saisie_Estime2!AD$2,PL_Saisie_Estime2!AD$1,PL_Saisie_Estime2!$C212),"")</f>
        <v/>
      </c>
      <c r="AE212" s="192" t="str">
        <f ca="1">IF(Flag_Send_Data=1,_xll.DBSW(PL_Saisie_Estime2!AE212,Server&amp;Cube1,PL_Saisie_Estime2!$F$17,PL_Saisie_Estime2!$F$18,PL_Saisie_Estime2!$F$19,PL_Saisie_Estime2!$F$16,PL_Saisie_Estime2!$C$14,PL_Saisie_Estime2!$F$15,PL_Saisie_Estime2!$F$14,PL_Saisie_Estime2!$F$20,PL_Saisie_Estime2!AE$2,PL_Saisie_Estime2!AE$1,PL_Saisie_Estime2!$C212),"")</f>
        <v/>
      </c>
      <c r="AF212" s="204"/>
      <c r="AG212" s="53"/>
      <c r="AH212" s="53"/>
      <c r="AI212" s="53"/>
      <c r="AJ212" s="53"/>
      <c r="AK212" s="53"/>
      <c r="AL212" s="53"/>
      <c r="AM212" s="53"/>
      <c r="AN212" s="53"/>
      <c r="AO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:53" s="9" customFormat="1" ht="24.95" customHeight="1" x14ac:dyDescent="0.35">
      <c r="A213" s="181"/>
      <c r="B213" s="163"/>
      <c r="C213" s="158"/>
      <c r="E213" s="268"/>
      <c r="F213" s="268"/>
      <c r="G213" s="268"/>
      <c r="H213" s="40"/>
      <c r="I213" s="130"/>
      <c r="J213" s="130"/>
      <c r="K213" s="130"/>
      <c r="L213" s="130"/>
      <c r="M213" s="130"/>
      <c r="N213" s="126"/>
      <c r="O213" s="204"/>
      <c r="P213" s="126"/>
      <c r="Q213" s="124"/>
      <c r="R213" s="192"/>
      <c r="S213" s="126"/>
      <c r="T213" s="200"/>
      <c r="U213" s="200"/>
      <c r="V213" s="200"/>
      <c r="W213" s="200"/>
      <c r="X213" s="200"/>
      <c r="Y213" s="200"/>
      <c r="Z213" s="192" t="str">
        <f ca="1">IF(Flag_Send_Data=1,_xll.DBSW(PL_Saisie_Estime2!Z213,Server&amp;Cube1,PL_Saisie_Estime2!$F$17,PL_Saisie_Estime2!$F$18,PL_Saisie_Estime2!$F$19,PL_Saisie_Estime2!$F$16,PL_Saisie_Estime2!$C$14,PL_Saisie_Estime2!$F$15,PL_Saisie_Estime2!$F$14,PL_Saisie_Estime2!$F$20,PL_Saisie_Estime2!Z$2,PL_Saisie_Estime2!Z$1,PL_Saisie_Estime2!$C213),"")</f>
        <v/>
      </c>
      <c r="AA213" s="192" t="str">
        <f ca="1">IF(Flag_Send_Data=1,_xll.DBSW(PL_Saisie_Estime2!AA213,Server&amp;Cube1,PL_Saisie_Estime2!$F$17,PL_Saisie_Estime2!$F$18,PL_Saisie_Estime2!$F$19,PL_Saisie_Estime2!$F$16,PL_Saisie_Estime2!$C$14,PL_Saisie_Estime2!$F$15,PL_Saisie_Estime2!$F$14,PL_Saisie_Estime2!$F$20,PL_Saisie_Estime2!AA$2,PL_Saisie_Estime2!AA$1,PL_Saisie_Estime2!$C213),"")</f>
        <v/>
      </c>
      <c r="AB213" s="192" t="str">
        <f ca="1">IF(Flag_Send_Data=1,_xll.DBSW(PL_Saisie_Estime2!AB213,Server&amp;Cube1,PL_Saisie_Estime2!$F$17,PL_Saisie_Estime2!$F$18,PL_Saisie_Estime2!$F$19,PL_Saisie_Estime2!$F$16,PL_Saisie_Estime2!$C$14,PL_Saisie_Estime2!$F$15,PL_Saisie_Estime2!$F$14,PL_Saisie_Estime2!$F$20,PL_Saisie_Estime2!AB$2,PL_Saisie_Estime2!AB$1,PL_Saisie_Estime2!$C213),"")</f>
        <v/>
      </c>
      <c r="AC213" s="192" t="str">
        <f ca="1">IF(Flag_Send_Data=1,_xll.DBSW(PL_Saisie_Estime2!AC213,Server&amp;Cube1,PL_Saisie_Estime2!$F$17,PL_Saisie_Estime2!$F$18,PL_Saisie_Estime2!$F$19,PL_Saisie_Estime2!$F$16,PL_Saisie_Estime2!$C$14,PL_Saisie_Estime2!$F$15,PL_Saisie_Estime2!$F$14,PL_Saisie_Estime2!$F$20,PL_Saisie_Estime2!AC$2,PL_Saisie_Estime2!AC$1,PL_Saisie_Estime2!$C213),"")</f>
        <v/>
      </c>
      <c r="AD213" s="192" t="str">
        <f ca="1">IF(Flag_Send_Data=1,_xll.DBSW(PL_Saisie_Estime2!AD213,Server&amp;Cube1,PL_Saisie_Estime2!$F$17,PL_Saisie_Estime2!$F$18,PL_Saisie_Estime2!$F$19,PL_Saisie_Estime2!$F$16,PL_Saisie_Estime2!$C$14,PL_Saisie_Estime2!$F$15,PL_Saisie_Estime2!$F$14,PL_Saisie_Estime2!$F$20,PL_Saisie_Estime2!AD$2,PL_Saisie_Estime2!AD$1,PL_Saisie_Estime2!$C213),"")</f>
        <v/>
      </c>
      <c r="AE213" s="192" t="str">
        <f ca="1">IF(Flag_Send_Data=1,_xll.DBSW(PL_Saisie_Estime2!AE213,Server&amp;Cube1,PL_Saisie_Estime2!$F$17,PL_Saisie_Estime2!$F$18,PL_Saisie_Estime2!$F$19,PL_Saisie_Estime2!$F$16,PL_Saisie_Estime2!$C$14,PL_Saisie_Estime2!$F$15,PL_Saisie_Estime2!$F$14,PL_Saisie_Estime2!$F$20,PL_Saisie_Estime2!AE$2,PL_Saisie_Estime2!AE$1,PL_Saisie_Estime2!$C213),"")</f>
        <v/>
      </c>
      <c r="AF213" s="204"/>
      <c r="AG213" s="53"/>
      <c r="AH213" s="53"/>
      <c r="AI213" s="53"/>
      <c r="AJ213" s="53"/>
      <c r="AK213" s="53"/>
      <c r="AL213" s="53"/>
      <c r="AM213" s="53"/>
      <c r="AN213" s="53"/>
      <c r="AO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:53" s="9" customFormat="1" ht="24.95" customHeight="1" x14ac:dyDescent="0.35">
      <c r="A214" s="181"/>
      <c r="B214" s="163"/>
      <c r="C214" s="158"/>
      <c r="E214" s="268"/>
      <c r="F214" s="268"/>
      <c r="G214" s="268"/>
      <c r="H214" s="40"/>
      <c r="I214" s="130"/>
      <c r="J214" s="130"/>
      <c r="K214" s="130"/>
      <c r="L214" s="130"/>
      <c r="M214" s="130"/>
      <c r="N214" s="126"/>
      <c r="O214" s="204"/>
      <c r="P214" s="126"/>
      <c r="Q214" s="124"/>
      <c r="R214" s="192"/>
      <c r="S214" s="126"/>
      <c r="T214" s="200"/>
      <c r="U214" s="200"/>
      <c r="V214" s="200"/>
      <c r="W214" s="200"/>
      <c r="X214" s="200"/>
      <c r="Y214" s="200"/>
      <c r="Z214" s="192" t="str">
        <f ca="1">IF(Flag_Send_Data=1,_xll.DBSW(PL_Saisie_Estime2!Z214,Server&amp;Cube1,PL_Saisie_Estime2!$F$17,PL_Saisie_Estime2!$F$18,PL_Saisie_Estime2!$F$19,PL_Saisie_Estime2!$F$16,PL_Saisie_Estime2!$C$14,PL_Saisie_Estime2!$F$15,PL_Saisie_Estime2!$F$14,PL_Saisie_Estime2!$F$20,PL_Saisie_Estime2!Z$2,PL_Saisie_Estime2!Z$1,PL_Saisie_Estime2!$C214),"")</f>
        <v/>
      </c>
      <c r="AA214" s="192" t="str">
        <f ca="1">IF(Flag_Send_Data=1,_xll.DBSW(PL_Saisie_Estime2!AA214,Server&amp;Cube1,PL_Saisie_Estime2!$F$17,PL_Saisie_Estime2!$F$18,PL_Saisie_Estime2!$F$19,PL_Saisie_Estime2!$F$16,PL_Saisie_Estime2!$C$14,PL_Saisie_Estime2!$F$15,PL_Saisie_Estime2!$F$14,PL_Saisie_Estime2!$F$20,PL_Saisie_Estime2!AA$2,PL_Saisie_Estime2!AA$1,PL_Saisie_Estime2!$C214),"")</f>
        <v/>
      </c>
      <c r="AB214" s="192" t="str">
        <f ca="1">IF(Flag_Send_Data=1,_xll.DBSW(PL_Saisie_Estime2!AB214,Server&amp;Cube1,PL_Saisie_Estime2!$F$17,PL_Saisie_Estime2!$F$18,PL_Saisie_Estime2!$F$19,PL_Saisie_Estime2!$F$16,PL_Saisie_Estime2!$C$14,PL_Saisie_Estime2!$F$15,PL_Saisie_Estime2!$F$14,PL_Saisie_Estime2!$F$20,PL_Saisie_Estime2!AB$2,PL_Saisie_Estime2!AB$1,PL_Saisie_Estime2!$C214),"")</f>
        <v/>
      </c>
      <c r="AC214" s="192" t="str">
        <f ca="1">IF(Flag_Send_Data=1,_xll.DBSW(PL_Saisie_Estime2!AC214,Server&amp;Cube1,PL_Saisie_Estime2!$F$17,PL_Saisie_Estime2!$F$18,PL_Saisie_Estime2!$F$19,PL_Saisie_Estime2!$F$16,PL_Saisie_Estime2!$C$14,PL_Saisie_Estime2!$F$15,PL_Saisie_Estime2!$F$14,PL_Saisie_Estime2!$F$20,PL_Saisie_Estime2!AC$2,PL_Saisie_Estime2!AC$1,PL_Saisie_Estime2!$C214),"")</f>
        <v/>
      </c>
      <c r="AD214" s="192" t="str">
        <f ca="1">IF(Flag_Send_Data=1,_xll.DBSW(PL_Saisie_Estime2!AD214,Server&amp;Cube1,PL_Saisie_Estime2!$F$17,PL_Saisie_Estime2!$F$18,PL_Saisie_Estime2!$F$19,PL_Saisie_Estime2!$F$16,PL_Saisie_Estime2!$C$14,PL_Saisie_Estime2!$F$15,PL_Saisie_Estime2!$F$14,PL_Saisie_Estime2!$F$20,PL_Saisie_Estime2!AD$2,PL_Saisie_Estime2!AD$1,PL_Saisie_Estime2!$C214),"")</f>
        <v/>
      </c>
      <c r="AE214" s="192" t="str">
        <f ca="1">IF(Flag_Send_Data=1,_xll.DBSW(PL_Saisie_Estime2!AE214,Server&amp;Cube1,PL_Saisie_Estime2!$F$17,PL_Saisie_Estime2!$F$18,PL_Saisie_Estime2!$F$19,PL_Saisie_Estime2!$F$16,PL_Saisie_Estime2!$C$14,PL_Saisie_Estime2!$F$15,PL_Saisie_Estime2!$F$14,PL_Saisie_Estime2!$F$20,PL_Saisie_Estime2!AE$2,PL_Saisie_Estime2!AE$1,PL_Saisie_Estime2!$C214),"")</f>
        <v/>
      </c>
      <c r="AF214" s="204"/>
      <c r="AG214" s="53"/>
      <c r="AH214" s="53"/>
      <c r="AI214" s="53"/>
      <c r="AJ214" s="53"/>
      <c r="AK214" s="53"/>
      <c r="AL214" s="53"/>
      <c r="AM214" s="53"/>
      <c r="AN214" s="53"/>
      <c r="AO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:53" s="9" customFormat="1" ht="24.95" customHeight="1" x14ac:dyDescent="0.35">
      <c r="A215" s="181"/>
      <c r="B215" s="163"/>
      <c r="C215" s="158"/>
      <c r="E215" s="268"/>
      <c r="F215" s="268"/>
      <c r="G215" s="268"/>
      <c r="H215" s="40"/>
      <c r="I215" s="130"/>
      <c r="J215" s="130"/>
      <c r="K215" s="130"/>
      <c r="L215" s="130"/>
      <c r="M215" s="130"/>
      <c r="N215" s="126"/>
      <c r="O215" s="204"/>
      <c r="P215" s="126"/>
      <c r="Q215" s="124"/>
      <c r="R215" s="192"/>
      <c r="S215" s="126"/>
      <c r="T215" s="200"/>
      <c r="U215" s="200"/>
      <c r="V215" s="200"/>
      <c r="W215" s="200"/>
      <c r="X215" s="200"/>
      <c r="Y215" s="200"/>
      <c r="Z215" s="192" t="str">
        <f ca="1">IF(Flag_Send_Data=1,_xll.DBSW(PL_Saisie_Estime2!Z215,Server&amp;Cube1,PL_Saisie_Estime2!$F$17,PL_Saisie_Estime2!$F$18,PL_Saisie_Estime2!$F$19,PL_Saisie_Estime2!$F$16,PL_Saisie_Estime2!$C$14,PL_Saisie_Estime2!$F$15,PL_Saisie_Estime2!$F$14,PL_Saisie_Estime2!$F$20,PL_Saisie_Estime2!Z$2,PL_Saisie_Estime2!Z$1,PL_Saisie_Estime2!$C215),"")</f>
        <v/>
      </c>
      <c r="AA215" s="192" t="str">
        <f ca="1">IF(Flag_Send_Data=1,_xll.DBSW(PL_Saisie_Estime2!AA215,Server&amp;Cube1,PL_Saisie_Estime2!$F$17,PL_Saisie_Estime2!$F$18,PL_Saisie_Estime2!$F$19,PL_Saisie_Estime2!$F$16,PL_Saisie_Estime2!$C$14,PL_Saisie_Estime2!$F$15,PL_Saisie_Estime2!$F$14,PL_Saisie_Estime2!$F$20,PL_Saisie_Estime2!AA$2,PL_Saisie_Estime2!AA$1,PL_Saisie_Estime2!$C215),"")</f>
        <v/>
      </c>
      <c r="AB215" s="192" t="str">
        <f ca="1">IF(Flag_Send_Data=1,_xll.DBSW(PL_Saisie_Estime2!AB215,Server&amp;Cube1,PL_Saisie_Estime2!$F$17,PL_Saisie_Estime2!$F$18,PL_Saisie_Estime2!$F$19,PL_Saisie_Estime2!$F$16,PL_Saisie_Estime2!$C$14,PL_Saisie_Estime2!$F$15,PL_Saisie_Estime2!$F$14,PL_Saisie_Estime2!$F$20,PL_Saisie_Estime2!AB$2,PL_Saisie_Estime2!AB$1,PL_Saisie_Estime2!$C215),"")</f>
        <v/>
      </c>
      <c r="AC215" s="192" t="str">
        <f ca="1">IF(Flag_Send_Data=1,_xll.DBSW(PL_Saisie_Estime2!AC215,Server&amp;Cube1,PL_Saisie_Estime2!$F$17,PL_Saisie_Estime2!$F$18,PL_Saisie_Estime2!$F$19,PL_Saisie_Estime2!$F$16,PL_Saisie_Estime2!$C$14,PL_Saisie_Estime2!$F$15,PL_Saisie_Estime2!$F$14,PL_Saisie_Estime2!$F$20,PL_Saisie_Estime2!AC$2,PL_Saisie_Estime2!AC$1,PL_Saisie_Estime2!$C215),"")</f>
        <v/>
      </c>
      <c r="AD215" s="192" t="str">
        <f ca="1">IF(Flag_Send_Data=1,_xll.DBSW(PL_Saisie_Estime2!AD215,Server&amp;Cube1,PL_Saisie_Estime2!$F$17,PL_Saisie_Estime2!$F$18,PL_Saisie_Estime2!$F$19,PL_Saisie_Estime2!$F$16,PL_Saisie_Estime2!$C$14,PL_Saisie_Estime2!$F$15,PL_Saisie_Estime2!$F$14,PL_Saisie_Estime2!$F$20,PL_Saisie_Estime2!AD$2,PL_Saisie_Estime2!AD$1,PL_Saisie_Estime2!$C215),"")</f>
        <v/>
      </c>
      <c r="AE215" s="192" t="str">
        <f ca="1">IF(Flag_Send_Data=1,_xll.DBSW(PL_Saisie_Estime2!AE215,Server&amp;Cube1,PL_Saisie_Estime2!$F$17,PL_Saisie_Estime2!$F$18,PL_Saisie_Estime2!$F$19,PL_Saisie_Estime2!$F$16,PL_Saisie_Estime2!$C$14,PL_Saisie_Estime2!$F$15,PL_Saisie_Estime2!$F$14,PL_Saisie_Estime2!$F$20,PL_Saisie_Estime2!AE$2,PL_Saisie_Estime2!AE$1,PL_Saisie_Estime2!$C215),"")</f>
        <v/>
      </c>
      <c r="AF215" s="204"/>
      <c r="AG215" s="53"/>
      <c r="AH215" s="53"/>
      <c r="AI215" s="53"/>
      <c r="AJ215" s="53"/>
      <c r="AK215" s="53"/>
      <c r="AL215" s="53"/>
      <c r="AM215" s="53"/>
      <c r="AN215" s="53"/>
      <c r="AO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:53" s="9" customFormat="1" ht="24.95" customHeight="1" x14ac:dyDescent="0.35">
      <c r="A216" s="181"/>
      <c r="B216" s="163"/>
      <c r="C216" s="158"/>
      <c r="E216" s="268"/>
      <c r="F216" s="268"/>
      <c r="G216" s="268"/>
      <c r="H216" s="40"/>
      <c r="I216" s="130"/>
      <c r="J216" s="130"/>
      <c r="K216" s="130"/>
      <c r="L216" s="130"/>
      <c r="M216" s="130"/>
      <c r="N216" s="126"/>
      <c r="O216" s="204"/>
      <c r="P216" s="126"/>
      <c r="Q216" s="124"/>
      <c r="R216" s="192"/>
      <c r="S216" s="126"/>
      <c r="T216" s="200"/>
      <c r="U216" s="200"/>
      <c r="V216" s="200"/>
      <c r="W216" s="200"/>
      <c r="X216" s="200"/>
      <c r="Y216" s="200"/>
      <c r="Z216" s="192" t="str">
        <f ca="1">IF(Flag_Send_Data=1,_xll.DBSW(PL_Saisie_Estime2!Z216,Server&amp;Cube1,PL_Saisie_Estime2!$F$17,PL_Saisie_Estime2!$F$18,PL_Saisie_Estime2!$F$19,PL_Saisie_Estime2!$F$16,PL_Saisie_Estime2!$C$14,PL_Saisie_Estime2!$F$15,PL_Saisie_Estime2!$F$14,PL_Saisie_Estime2!$F$20,PL_Saisie_Estime2!Z$2,PL_Saisie_Estime2!Z$1,PL_Saisie_Estime2!$C216),"")</f>
        <v/>
      </c>
      <c r="AA216" s="192" t="str">
        <f ca="1">IF(Flag_Send_Data=1,_xll.DBSW(PL_Saisie_Estime2!AA216,Server&amp;Cube1,PL_Saisie_Estime2!$F$17,PL_Saisie_Estime2!$F$18,PL_Saisie_Estime2!$F$19,PL_Saisie_Estime2!$F$16,PL_Saisie_Estime2!$C$14,PL_Saisie_Estime2!$F$15,PL_Saisie_Estime2!$F$14,PL_Saisie_Estime2!$F$20,PL_Saisie_Estime2!AA$2,PL_Saisie_Estime2!AA$1,PL_Saisie_Estime2!$C216),"")</f>
        <v/>
      </c>
      <c r="AB216" s="192" t="str">
        <f ca="1">IF(Flag_Send_Data=1,_xll.DBSW(PL_Saisie_Estime2!AB216,Server&amp;Cube1,PL_Saisie_Estime2!$F$17,PL_Saisie_Estime2!$F$18,PL_Saisie_Estime2!$F$19,PL_Saisie_Estime2!$F$16,PL_Saisie_Estime2!$C$14,PL_Saisie_Estime2!$F$15,PL_Saisie_Estime2!$F$14,PL_Saisie_Estime2!$F$20,PL_Saisie_Estime2!AB$2,PL_Saisie_Estime2!AB$1,PL_Saisie_Estime2!$C216),"")</f>
        <v/>
      </c>
      <c r="AC216" s="192" t="str">
        <f ca="1">IF(Flag_Send_Data=1,_xll.DBSW(PL_Saisie_Estime2!AC216,Server&amp;Cube1,PL_Saisie_Estime2!$F$17,PL_Saisie_Estime2!$F$18,PL_Saisie_Estime2!$F$19,PL_Saisie_Estime2!$F$16,PL_Saisie_Estime2!$C$14,PL_Saisie_Estime2!$F$15,PL_Saisie_Estime2!$F$14,PL_Saisie_Estime2!$F$20,PL_Saisie_Estime2!AC$2,PL_Saisie_Estime2!AC$1,PL_Saisie_Estime2!$C216),"")</f>
        <v/>
      </c>
      <c r="AD216" s="192" t="str">
        <f ca="1">IF(Flag_Send_Data=1,_xll.DBSW(PL_Saisie_Estime2!AD216,Server&amp;Cube1,PL_Saisie_Estime2!$F$17,PL_Saisie_Estime2!$F$18,PL_Saisie_Estime2!$F$19,PL_Saisie_Estime2!$F$16,PL_Saisie_Estime2!$C$14,PL_Saisie_Estime2!$F$15,PL_Saisie_Estime2!$F$14,PL_Saisie_Estime2!$F$20,PL_Saisie_Estime2!AD$2,PL_Saisie_Estime2!AD$1,PL_Saisie_Estime2!$C216),"")</f>
        <v/>
      </c>
      <c r="AE216" s="192" t="str">
        <f ca="1">IF(Flag_Send_Data=1,_xll.DBSW(PL_Saisie_Estime2!AE216,Server&amp;Cube1,PL_Saisie_Estime2!$F$17,PL_Saisie_Estime2!$F$18,PL_Saisie_Estime2!$F$19,PL_Saisie_Estime2!$F$16,PL_Saisie_Estime2!$C$14,PL_Saisie_Estime2!$F$15,PL_Saisie_Estime2!$F$14,PL_Saisie_Estime2!$F$20,PL_Saisie_Estime2!AE$2,PL_Saisie_Estime2!AE$1,PL_Saisie_Estime2!$C216),"")</f>
        <v/>
      </c>
      <c r="AF216" s="204"/>
      <c r="AG216" s="53"/>
      <c r="AH216" s="53"/>
      <c r="AI216" s="53"/>
      <c r="AJ216" s="53"/>
      <c r="AK216" s="53"/>
      <c r="AL216" s="53"/>
      <c r="AM216" s="53"/>
      <c r="AN216" s="53"/>
      <c r="AO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:53" s="9" customFormat="1" ht="24.95" customHeight="1" x14ac:dyDescent="0.35">
      <c r="A217" s="181"/>
      <c r="B217" s="163"/>
      <c r="C217" s="158"/>
      <c r="E217" s="268"/>
      <c r="F217" s="268"/>
      <c r="G217" s="268"/>
      <c r="H217" s="40"/>
      <c r="I217" s="130"/>
      <c r="J217" s="130"/>
      <c r="K217" s="130"/>
      <c r="L217" s="130"/>
      <c r="M217" s="130"/>
      <c r="N217" s="126"/>
      <c r="O217" s="204"/>
      <c r="P217" s="126"/>
      <c r="Q217" s="124"/>
      <c r="R217" s="192"/>
      <c r="S217" s="126"/>
      <c r="T217" s="200"/>
      <c r="U217" s="200"/>
      <c r="V217" s="200"/>
      <c r="W217" s="200"/>
      <c r="X217" s="200"/>
      <c r="Y217" s="200"/>
      <c r="Z217" s="192" t="str">
        <f ca="1">IF(Flag_Send_Data=1,_xll.DBSW(PL_Saisie_Estime2!Z217,Server&amp;Cube1,PL_Saisie_Estime2!$F$17,PL_Saisie_Estime2!$F$18,PL_Saisie_Estime2!$F$19,PL_Saisie_Estime2!$F$16,PL_Saisie_Estime2!$C$14,PL_Saisie_Estime2!$F$15,PL_Saisie_Estime2!$F$14,PL_Saisie_Estime2!$F$20,PL_Saisie_Estime2!Z$2,PL_Saisie_Estime2!Z$1,PL_Saisie_Estime2!$C217),"")</f>
        <v/>
      </c>
      <c r="AA217" s="192" t="str">
        <f ca="1">IF(Flag_Send_Data=1,_xll.DBSW(PL_Saisie_Estime2!AA217,Server&amp;Cube1,PL_Saisie_Estime2!$F$17,PL_Saisie_Estime2!$F$18,PL_Saisie_Estime2!$F$19,PL_Saisie_Estime2!$F$16,PL_Saisie_Estime2!$C$14,PL_Saisie_Estime2!$F$15,PL_Saisie_Estime2!$F$14,PL_Saisie_Estime2!$F$20,PL_Saisie_Estime2!AA$2,PL_Saisie_Estime2!AA$1,PL_Saisie_Estime2!$C217),"")</f>
        <v/>
      </c>
      <c r="AB217" s="192" t="str">
        <f ca="1">IF(Flag_Send_Data=1,_xll.DBSW(PL_Saisie_Estime2!AB217,Server&amp;Cube1,PL_Saisie_Estime2!$F$17,PL_Saisie_Estime2!$F$18,PL_Saisie_Estime2!$F$19,PL_Saisie_Estime2!$F$16,PL_Saisie_Estime2!$C$14,PL_Saisie_Estime2!$F$15,PL_Saisie_Estime2!$F$14,PL_Saisie_Estime2!$F$20,PL_Saisie_Estime2!AB$2,PL_Saisie_Estime2!AB$1,PL_Saisie_Estime2!$C217),"")</f>
        <v/>
      </c>
      <c r="AC217" s="192" t="str">
        <f ca="1">IF(Flag_Send_Data=1,_xll.DBSW(PL_Saisie_Estime2!AC217,Server&amp;Cube1,PL_Saisie_Estime2!$F$17,PL_Saisie_Estime2!$F$18,PL_Saisie_Estime2!$F$19,PL_Saisie_Estime2!$F$16,PL_Saisie_Estime2!$C$14,PL_Saisie_Estime2!$F$15,PL_Saisie_Estime2!$F$14,PL_Saisie_Estime2!$F$20,PL_Saisie_Estime2!AC$2,PL_Saisie_Estime2!AC$1,PL_Saisie_Estime2!$C217),"")</f>
        <v/>
      </c>
      <c r="AD217" s="192" t="str">
        <f ca="1">IF(Flag_Send_Data=1,_xll.DBSW(PL_Saisie_Estime2!AD217,Server&amp;Cube1,PL_Saisie_Estime2!$F$17,PL_Saisie_Estime2!$F$18,PL_Saisie_Estime2!$F$19,PL_Saisie_Estime2!$F$16,PL_Saisie_Estime2!$C$14,PL_Saisie_Estime2!$F$15,PL_Saisie_Estime2!$F$14,PL_Saisie_Estime2!$F$20,PL_Saisie_Estime2!AD$2,PL_Saisie_Estime2!AD$1,PL_Saisie_Estime2!$C217),"")</f>
        <v/>
      </c>
      <c r="AE217" s="192" t="str">
        <f ca="1">IF(Flag_Send_Data=1,_xll.DBSW(PL_Saisie_Estime2!AE217,Server&amp;Cube1,PL_Saisie_Estime2!$F$17,PL_Saisie_Estime2!$F$18,PL_Saisie_Estime2!$F$19,PL_Saisie_Estime2!$F$16,PL_Saisie_Estime2!$C$14,PL_Saisie_Estime2!$F$15,PL_Saisie_Estime2!$F$14,PL_Saisie_Estime2!$F$20,PL_Saisie_Estime2!AE$2,PL_Saisie_Estime2!AE$1,PL_Saisie_Estime2!$C217),"")</f>
        <v/>
      </c>
      <c r="AF217" s="204"/>
      <c r="AG217" s="53"/>
      <c r="AH217" s="53"/>
      <c r="AI217" s="53"/>
      <c r="AJ217" s="53"/>
      <c r="AK217" s="53"/>
      <c r="AL217" s="53"/>
      <c r="AM217" s="53"/>
      <c r="AN217" s="53"/>
      <c r="AO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:53" s="9" customFormat="1" ht="24.95" customHeight="1" collapsed="1" x14ac:dyDescent="0.35">
      <c r="A218" s="181"/>
      <c r="B218" s="163"/>
      <c r="C218" s="117"/>
      <c r="E218" s="270"/>
      <c r="F218" s="270"/>
      <c r="G218" s="270"/>
      <c r="H218" s="40"/>
      <c r="I218" s="130"/>
      <c r="J218" s="130"/>
      <c r="K218" s="130"/>
      <c r="L218" s="130"/>
      <c r="M218" s="130"/>
      <c r="N218" s="125"/>
      <c r="O218" s="125"/>
      <c r="P218" s="125"/>
      <c r="Q218" s="124"/>
      <c r="R218" s="125"/>
      <c r="S218" s="125"/>
      <c r="T218" s="201"/>
      <c r="U218" s="201"/>
      <c r="V218" s="201"/>
      <c r="W218" s="201"/>
      <c r="X218" s="201"/>
      <c r="Y218" s="201"/>
      <c r="Z218" s="125"/>
      <c r="AA218" s="125"/>
      <c r="AB218" s="125"/>
      <c r="AC218" s="125"/>
      <c r="AD218" s="125"/>
      <c r="AE218" s="125"/>
      <c r="AF218" s="125"/>
      <c r="AG218" s="53"/>
      <c r="AH218" s="53"/>
      <c r="AI218" s="53"/>
      <c r="AJ218" s="53"/>
      <c r="AK218" s="53"/>
      <c r="AL218" s="53"/>
      <c r="AM218" s="53"/>
      <c r="AN218" s="53"/>
      <c r="AO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:53" s="9" customFormat="1" ht="24.95" customHeight="1" x14ac:dyDescent="0.35">
      <c r="A219" s="181"/>
      <c r="B219" s="163"/>
      <c r="C219" s="158"/>
      <c r="E219" s="268"/>
      <c r="F219" s="268"/>
      <c r="G219" s="268"/>
      <c r="H219" s="40"/>
      <c r="I219" s="130"/>
      <c r="J219" s="130"/>
      <c r="K219" s="130"/>
      <c r="L219" s="130"/>
      <c r="M219" s="130"/>
      <c r="N219" s="126"/>
      <c r="O219" s="204"/>
      <c r="P219" s="126"/>
      <c r="Q219" s="124"/>
      <c r="R219" s="192"/>
      <c r="S219" s="126"/>
      <c r="T219" s="200"/>
      <c r="U219" s="200"/>
      <c r="V219" s="200"/>
      <c r="W219" s="200"/>
      <c r="X219" s="200"/>
      <c r="Y219" s="200"/>
      <c r="Z219" s="192" t="str">
        <f ca="1">IF(Flag_Send_Data=1,_xll.DBSW(PL_Saisie_Estime2!Z219,Server&amp;Cube1,PL_Saisie_Estime2!$F$17,PL_Saisie_Estime2!$F$18,PL_Saisie_Estime2!$F$19,PL_Saisie_Estime2!$F$16,PL_Saisie_Estime2!$C$14,PL_Saisie_Estime2!$F$15,PL_Saisie_Estime2!$F$14,PL_Saisie_Estime2!$F$20,PL_Saisie_Estime2!Z$2,PL_Saisie_Estime2!Z$1,PL_Saisie_Estime2!$C219),"")</f>
        <v/>
      </c>
      <c r="AA219" s="192" t="str">
        <f ca="1">IF(Flag_Send_Data=1,_xll.DBSW(PL_Saisie_Estime2!AA219,Server&amp;Cube1,PL_Saisie_Estime2!$F$17,PL_Saisie_Estime2!$F$18,PL_Saisie_Estime2!$F$19,PL_Saisie_Estime2!$F$16,PL_Saisie_Estime2!$C$14,PL_Saisie_Estime2!$F$15,PL_Saisie_Estime2!$F$14,PL_Saisie_Estime2!$F$20,PL_Saisie_Estime2!AA$2,PL_Saisie_Estime2!AA$1,PL_Saisie_Estime2!$C219),"")</f>
        <v/>
      </c>
      <c r="AB219" s="192" t="str">
        <f ca="1">IF(Flag_Send_Data=1,_xll.DBSW(PL_Saisie_Estime2!AB219,Server&amp;Cube1,PL_Saisie_Estime2!$F$17,PL_Saisie_Estime2!$F$18,PL_Saisie_Estime2!$F$19,PL_Saisie_Estime2!$F$16,PL_Saisie_Estime2!$C$14,PL_Saisie_Estime2!$F$15,PL_Saisie_Estime2!$F$14,PL_Saisie_Estime2!$F$20,PL_Saisie_Estime2!AB$2,PL_Saisie_Estime2!AB$1,PL_Saisie_Estime2!$C219),"")</f>
        <v/>
      </c>
      <c r="AC219" s="192" t="str">
        <f ca="1">IF(Flag_Send_Data=1,_xll.DBSW(PL_Saisie_Estime2!AC219,Server&amp;Cube1,PL_Saisie_Estime2!$F$17,PL_Saisie_Estime2!$F$18,PL_Saisie_Estime2!$F$19,PL_Saisie_Estime2!$F$16,PL_Saisie_Estime2!$C$14,PL_Saisie_Estime2!$F$15,PL_Saisie_Estime2!$F$14,PL_Saisie_Estime2!$F$20,PL_Saisie_Estime2!AC$2,PL_Saisie_Estime2!AC$1,PL_Saisie_Estime2!$C219),"")</f>
        <v/>
      </c>
      <c r="AD219" s="192" t="str">
        <f ca="1">IF(Flag_Send_Data=1,_xll.DBSW(PL_Saisie_Estime2!AD219,Server&amp;Cube1,PL_Saisie_Estime2!$F$17,PL_Saisie_Estime2!$F$18,PL_Saisie_Estime2!$F$19,PL_Saisie_Estime2!$F$16,PL_Saisie_Estime2!$C$14,PL_Saisie_Estime2!$F$15,PL_Saisie_Estime2!$F$14,PL_Saisie_Estime2!$F$20,PL_Saisie_Estime2!AD$2,PL_Saisie_Estime2!AD$1,PL_Saisie_Estime2!$C219),"")</f>
        <v/>
      </c>
      <c r="AE219" s="192" t="str">
        <f ca="1">IF(Flag_Send_Data=1,_xll.DBSW(PL_Saisie_Estime2!AE219,Server&amp;Cube1,PL_Saisie_Estime2!$F$17,PL_Saisie_Estime2!$F$18,PL_Saisie_Estime2!$F$19,PL_Saisie_Estime2!$F$16,PL_Saisie_Estime2!$C$14,PL_Saisie_Estime2!$F$15,PL_Saisie_Estime2!$F$14,PL_Saisie_Estime2!$F$20,PL_Saisie_Estime2!AE$2,PL_Saisie_Estime2!AE$1,PL_Saisie_Estime2!$C219),"")</f>
        <v/>
      </c>
      <c r="AF219" s="204"/>
      <c r="AG219" s="53"/>
      <c r="AH219" s="53"/>
      <c r="AI219" s="53"/>
      <c r="AJ219" s="53"/>
      <c r="AK219" s="53"/>
      <c r="AL219" s="53"/>
      <c r="AM219" s="53"/>
      <c r="AN219" s="53"/>
      <c r="AO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:53" s="9" customFormat="1" ht="24.95" customHeight="1" collapsed="1" thickBot="1" x14ac:dyDescent="0.4">
      <c r="A220" s="181"/>
      <c r="B220" s="163"/>
      <c r="C220" s="116"/>
      <c r="E220" s="298"/>
      <c r="F220" s="298"/>
      <c r="G220" s="298"/>
      <c r="H220" s="40"/>
      <c r="I220" s="128"/>
      <c r="J220" s="128"/>
      <c r="K220" s="128"/>
      <c r="L220" s="128"/>
      <c r="M220" s="128"/>
      <c r="N220" s="129"/>
      <c r="O220" s="128"/>
      <c r="P220" s="129"/>
      <c r="Q220" s="124"/>
      <c r="R220" s="128"/>
      <c r="S220" s="129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53"/>
      <c r="AH220" s="53"/>
      <c r="AI220" s="53"/>
      <c r="AJ220" s="53"/>
      <c r="AK220" s="53"/>
      <c r="AL220" s="53"/>
      <c r="AM220" s="53"/>
      <c r="AN220" s="53"/>
      <c r="AO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:53" s="9" customFormat="1" ht="24" customHeight="1" x14ac:dyDescent="0.35">
      <c r="A221" s="181"/>
      <c r="B221" s="163"/>
      <c r="C221" s="117"/>
      <c r="E221" s="272"/>
      <c r="F221" s="272"/>
      <c r="G221" s="272"/>
      <c r="H221" s="40"/>
      <c r="I221" s="130"/>
      <c r="J221" s="130"/>
      <c r="K221" s="130"/>
      <c r="L221" s="130"/>
      <c r="M221" s="130"/>
      <c r="N221" s="126"/>
      <c r="O221" s="126"/>
      <c r="P221" s="126"/>
      <c r="Q221" s="124"/>
      <c r="R221" s="126"/>
      <c r="S221" s="126"/>
      <c r="T221" s="203"/>
      <c r="U221" s="203"/>
      <c r="V221" s="203"/>
      <c r="W221" s="203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53"/>
      <c r="AH221" s="53"/>
      <c r="AI221" s="53"/>
      <c r="AJ221" s="53"/>
      <c r="AK221" s="53"/>
      <c r="AL221" s="53"/>
      <c r="AM221" s="53"/>
      <c r="AN221" s="53"/>
      <c r="AO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:53" s="9" customFormat="1" ht="24" customHeight="1" x14ac:dyDescent="0.35">
      <c r="A222" s="181"/>
      <c r="B222" s="163"/>
      <c r="C222" s="158"/>
      <c r="E222" s="270"/>
      <c r="F222" s="270"/>
      <c r="G222" s="270"/>
      <c r="H222" s="40"/>
      <c r="I222" s="130"/>
      <c r="J222" s="130"/>
      <c r="K222" s="130"/>
      <c r="L222" s="130"/>
      <c r="M222" s="130"/>
      <c r="N222" s="126"/>
      <c r="O222" s="204"/>
      <c r="P222" s="126"/>
      <c r="Q222" s="124"/>
      <c r="R222" s="192"/>
      <c r="S222" s="126"/>
      <c r="T222" s="200"/>
      <c r="U222" s="200"/>
      <c r="V222" s="200"/>
      <c r="W222" s="200"/>
      <c r="X222" s="200"/>
      <c r="Y222" s="200"/>
      <c r="Z222" s="192" t="str">
        <f ca="1">IF(Flag_Send_Data=1,_xll.DBSW(PL_Saisie_Estime2!Z222,Server&amp;Cube1,PL_Saisie_Estime2!$F$17,PL_Saisie_Estime2!$F$18,PL_Saisie_Estime2!$F$19,PL_Saisie_Estime2!$F$16,PL_Saisie_Estime2!$C$14,PL_Saisie_Estime2!$F$15,PL_Saisie_Estime2!$F$14,PL_Saisie_Estime2!$F$20,PL_Saisie_Estime2!Z$2,PL_Saisie_Estime2!Z$1,PL_Saisie_Estime2!$C222),"")</f>
        <v/>
      </c>
      <c r="AA222" s="192" t="str">
        <f ca="1">IF(Flag_Send_Data=1,_xll.DBSW(PL_Saisie_Estime2!AA222,Server&amp;Cube1,PL_Saisie_Estime2!$F$17,PL_Saisie_Estime2!$F$18,PL_Saisie_Estime2!$F$19,PL_Saisie_Estime2!$F$16,PL_Saisie_Estime2!$C$14,PL_Saisie_Estime2!$F$15,PL_Saisie_Estime2!$F$14,PL_Saisie_Estime2!$F$20,PL_Saisie_Estime2!AA$2,PL_Saisie_Estime2!AA$1,PL_Saisie_Estime2!$C222),"")</f>
        <v/>
      </c>
      <c r="AB222" s="192" t="str">
        <f ca="1">IF(Flag_Send_Data=1,_xll.DBSW(PL_Saisie_Estime2!AB222,Server&amp;Cube1,PL_Saisie_Estime2!$F$17,PL_Saisie_Estime2!$F$18,PL_Saisie_Estime2!$F$19,PL_Saisie_Estime2!$F$16,PL_Saisie_Estime2!$C$14,PL_Saisie_Estime2!$F$15,PL_Saisie_Estime2!$F$14,PL_Saisie_Estime2!$F$20,PL_Saisie_Estime2!AB$2,PL_Saisie_Estime2!AB$1,PL_Saisie_Estime2!$C222),"")</f>
        <v/>
      </c>
      <c r="AC222" s="192" t="str">
        <f ca="1">IF(Flag_Send_Data=1,_xll.DBSW(PL_Saisie_Estime2!AC222,Server&amp;Cube1,PL_Saisie_Estime2!$F$17,PL_Saisie_Estime2!$F$18,PL_Saisie_Estime2!$F$19,PL_Saisie_Estime2!$F$16,PL_Saisie_Estime2!$C$14,PL_Saisie_Estime2!$F$15,PL_Saisie_Estime2!$F$14,PL_Saisie_Estime2!$F$20,PL_Saisie_Estime2!AC$2,PL_Saisie_Estime2!AC$1,PL_Saisie_Estime2!$C222),"")</f>
        <v/>
      </c>
      <c r="AD222" s="192" t="str">
        <f ca="1">IF(Flag_Send_Data=1,_xll.DBSW(PL_Saisie_Estime2!AD222,Server&amp;Cube1,PL_Saisie_Estime2!$F$17,PL_Saisie_Estime2!$F$18,PL_Saisie_Estime2!$F$19,PL_Saisie_Estime2!$F$16,PL_Saisie_Estime2!$C$14,PL_Saisie_Estime2!$F$15,PL_Saisie_Estime2!$F$14,PL_Saisie_Estime2!$F$20,PL_Saisie_Estime2!AD$2,PL_Saisie_Estime2!AD$1,PL_Saisie_Estime2!$C222),"")</f>
        <v/>
      </c>
      <c r="AE222" s="192" t="str">
        <f ca="1">IF(Flag_Send_Data=1,_xll.DBSW(PL_Saisie_Estime2!AE222,Server&amp;Cube1,PL_Saisie_Estime2!$F$17,PL_Saisie_Estime2!$F$18,PL_Saisie_Estime2!$F$19,PL_Saisie_Estime2!$F$16,PL_Saisie_Estime2!$C$14,PL_Saisie_Estime2!$F$15,PL_Saisie_Estime2!$F$14,PL_Saisie_Estime2!$F$20,PL_Saisie_Estime2!AE$2,PL_Saisie_Estime2!AE$1,PL_Saisie_Estime2!$C222),"")</f>
        <v/>
      </c>
      <c r="AF222" s="204"/>
      <c r="AG222" s="53"/>
      <c r="AH222" s="53"/>
      <c r="AI222" s="53"/>
      <c r="AJ222" s="53"/>
      <c r="AK222" s="53"/>
      <c r="AL222" s="53"/>
      <c r="AM222" s="53"/>
      <c r="AN222" s="53"/>
      <c r="AO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:53" s="9" customFormat="1" ht="24" customHeight="1" collapsed="1" x14ac:dyDescent="0.35">
      <c r="A223" s="181"/>
      <c r="B223" s="163"/>
      <c r="C223" s="117"/>
      <c r="E223" s="270"/>
      <c r="F223" s="270"/>
      <c r="G223" s="270"/>
      <c r="H223" s="40"/>
      <c r="I223" s="130"/>
      <c r="J223" s="130"/>
      <c r="K223" s="130"/>
      <c r="L223" s="130"/>
      <c r="M223" s="130"/>
      <c r="N223" s="126"/>
      <c r="O223" s="126"/>
      <c r="P223" s="126"/>
      <c r="Q223" s="124"/>
      <c r="R223" s="126"/>
      <c r="S223" s="126"/>
      <c r="T223" s="203"/>
      <c r="U223" s="203"/>
      <c r="V223" s="203"/>
      <c r="W223" s="203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53"/>
      <c r="AH223" s="53"/>
      <c r="AI223" s="53"/>
      <c r="AJ223" s="53"/>
      <c r="AK223" s="53"/>
      <c r="AL223" s="53"/>
      <c r="AM223" s="53"/>
      <c r="AN223" s="53"/>
      <c r="AO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:53" s="9" customFormat="1" ht="24" customHeight="1" x14ac:dyDescent="0.35">
      <c r="A224" s="181"/>
      <c r="B224" s="163"/>
      <c r="C224" s="158"/>
      <c r="E224" s="268"/>
      <c r="F224" s="268"/>
      <c r="G224" s="268"/>
      <c r="H224" s="40"/>
      <c r="I224" s="130"/>
      <c r="J224" s="130"/>
      <c r="K224" s="130"/>
      <c r="L224" s="130"/>
      <c r="M224" s="130"/>
      <c r="N224" s="126"/>
      <c r="O224" s="204"/>
      <c r="P224" s="126"/>
      <c r="Q224" s="124"/>
      <c r="R224" s="192"/>
      <c r="S224" s="126"/>
      <c r="T224" s="200"/>
      <c r="U224" s="200"/>
      <c r="V224" s="200"/>
      <c r="W224" s="200"/>
      <c r="X224" s="200"/>
      <c r="Y224" s="200"/>
      <c r="Z224" s="192" t="str">
        <f ca="1">IF(Flag_Send_Data=1,_xll.DBSW(PL_Saisie_Estime2!Z224,Server&amp;Cube1,PL_Saisie_Estime2!$F$17,PL_Saisie_Estime2!$F$18,PL_Saisie_Estime2!$F$19,PL_Saisie_Estime2!$F$16,PL_Saisie_Estime2!$C$14,PL_Saisie_Estime2!$F$15,PL_Saisie_Estime2!$F$14,PL_Saisie_Estime2!$F$20,PL_Saisie_Estime2!Z$2,PL_Saisie_Estime2!Z$1,PL_Saisie_Estime2!$C224),"")</f>
        <v/>
      </c>
      <c r="AA224" s="192" t="str">
        <f ca="1">IF(Flag_Send_Data=1,_xll.DBSW(PL_Saisie_Estime2!AA224,Server&amp;Cube1,PL_Saisie_Estime2!$F$17,PL_Saisie_Estime2!$F$18,PL_Saisie_Estime2!$F$19,PL_Saisie_Estime2!$F$16,PL_Saisie_Estime2!$C$14,PL_Saisie_Estime2!$F$15,PL_Saisie_Estime2!$F$14,PL_Saisie_Estime2!$F$20,PL_Saisie_Estime2!AA$2,PL_Saisie_Estime2!AA$1,PL_Saisie_Estime2!$C224),"")</f>
        <v/>
      </c>
      <c r="AB224" s="192" t="str">
        <f ca="1">IF(Flag_Send_Data=1,_xll.DBSW(PL_Saisie_Estime2!AB224,Server&amp;Cube1,PL_Saisie_Estime2!$F$17,PL_Saisie_Estime2!$F$18,PL_Saisie_Estime2!$F$19,PL_Saisie_Estime2!$F$16,PL_Saisie_Estime2!$C$14,PL_Saisie_Estime2!$F$15,PL_Saisie_Estime2!$F$14,PL_Saisie_Estime2!$F$20,PL_Saisie_Estime2!AB$2,PL_Saisie_Estime2!AB$1,PL_Saisie_Estime2!$C224),"")</f>
        <v/>
      </c>
      <c r="AC224" s="192" t="str">
        <f ca="1">IF(Flag_Send_Data=1,_xll.DBSW(PL_Saisie_Estime2!AC224,Server&amp;Cube1,PL_Saisie_Estime2!$F$17,PL_Saisie_Estime2!$F$18,PL_Saisie_Estime2!$F$19,PL_Saisie_Estime2!$F$16,PL_Saisie_Estime2!$C$14,PL_Saisie_Estime2!$F$15,PL_Saisie_Estime2!$F$14,PL_Saisie_Estime2!$F$20,PL_Saisie_Estime2!AC$2,PL_Saisie_Estime2!AC$1,PL_Saisie_Estime2!$C224),"")</f>
        <v/>
      </c>
      <c r="AD224" s="192" t="str">
        <f ca="1">IF(Flag_Send_Data=1,_xll.DBSW(PL_Saisie_Estime2!AD224,Server&amp;Cube1,PL_Saisie_Estime2!$F$17,PL_Saisie_Estime2!$F$18,PL_Saisie_Estime2!$F$19,PL_Saisie_Estime2!$F$16,PL_Saisie_Estime2!$C$14,PL_Saisie_Estime2!$F$15,PL_Saisie_Estime2!$F$14,PL_Saisie_Estime2!$F$20,PL_Saisie_Estime2!AD$2,PL_Saisie_Estime2!AD$1,PL_Saisie_Estime2!$C224),"")</f>
        <v/>
      </c>
      <c r="AE224" s="192" t="str">
        <f ca="1">IF(Flag_Send_Data=1,_xll.DBSW(PL_Saisie_Estime2!AE224,Server&amp;Cube1,PL_Saisie_Estime2!$F$17,PL_Saisie_Estime2!$F$18,PL_Saisie_Estime2!$F$19,PL_Saisie_Estime2!$F$16,PL_Saisie_Estime2!$C$14,PL_Saisie_Estime2!$F$15,PL_Saisie_Estime2!$F$14,PL_Saisie_Estime2!$F$20,PL_Saisie_Estime2!AE$2,PL_Saisie_Estime2!AE$1,PL_Saisie_Estime2!$C224),"")</f>
        <v/>
      </c>
      <c r="AF224" s="204"/>
      <c r="AG224" s="53"/>
      <c r="AH224" s="53"/>
      <c r="AI224" s="53"/>
      <c r="AJ224" s="53"/>
      <c r="AK224" s="53"/>
      <c r="AL224" s="53"/>
      <c r="AM224" s="53"/>
      <c r="AN224" s="53"/>
      <c r="AO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:53" s="9" customFormat="1" ht="24" customHeight="1" collapsed="1" x14ac:dyDescent="0.35">
      <c r="A225" s="181"/>
      <c r="B225" s="163"/>
      <c r="C225" s="117"/>
      <c r="E225" s="270"/>
      <c r="F225" s="270"/>
      <c r="G225" s="270"/>
      <c r="H225" s="40"/>
      <c r="I225" s="130"/>
      <c r="J225" s="130"/>
      <c r="K225" s="130"/>
      <c r="L225" s="130"/>
      <c r="M225" s="130"/>
      <c r="N225" s="126"/>
      <c r="O225" s="126"/>
      <c r="P225" s="126"/>
      <c r="Q225" s="124"/>
      <c r="R225" s="126"/>
      <c r="S225" s="126"/>
      <c r="T225" s="203"/>
      <c r="U225" s="203"/>
      <c r="V225" s="203"/>
      <c r="W225" s="203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53"/>
      <c r="AH225" s="53"/>
      <c r="AI225" s="53"/>
      <c r="AJ225" s="53"/>
      <c r="AK225" s="53"/>
      <c r="AL225" s="53"/>
      <c r="AM225" s="53"/>
      <c r="AN225" s="53"/>
      <c r="AO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:53" s="9" customFormat="1" ht="24" customHeight="1" x14ac:dyDescent="0.35">
      <c r="A226" s="181"/>
      <c r="B226" s="163"/>
      <c r="C226" s="158"/>
      <c r="E226" s="268"/>
      <c r="F226" s="268"/>
      <c r="G226" s="268"/>
      <c r="H226" s="40"/>
      <c r="I226" s="130"/>
      <c r="J226" s="130"/>
      <c r="K226" s="130"/>
      <c r="L226" s="130"/>
      <c r="M226" s="130"/>
      <c r="N226" s="126"/>
      <c r="O226" s="204"/>
      <c r="P226" s="126"/>
      <c r="Q226" s="124"/>
      <c r="R226" s="192"/>
      <c r="S226" s="126"/>
      <c r="T226" s="200"/>
      <c r="U226" s="200"/>
      <c r="V226" s="200"/>
      <c r="W226" s="200"/>
      <c r="X226" s="200"/>
      <c r="Y226" s="200"/>
      <c r="Z226" s="192" t="str">
        <f ca="1">IF(Flag_Send_Data=1,_xll.DBSW(PL_Saisie_Estime2!Z226,Server&amp;Cube1,PL_Saisie_Estime2!$F$17,PL_Saisie_Estime2!$F$18,PL_Saisie_Estime2!$F$19,PL_Saisie_Estime2!$F$16,PL_Saisie_Estime2!$C$14,PL_Saisie_Estime2!$F$15,PL_Saisie_Estime2!$F$14,PL_Saisie_Estime2!$F$20,PL_Saisie_Estime2!Z$2,PL_Saisie_Estime2!Z$1,PL_Saisie_Estime2!$C226),"")</f>
        <v/>
      </c>
      <c r="AA226" s="192" t="str">
        <f ca="1">IF(Flag_Send_Data=1,_xll.DBSW(PL_Saisie_Estime2!AA226,Server&amp;Cube1,PL_Saisie_Estime2!$F$17,PL_Saisie_Estime2!$F$18,PL_Saisie_Estime2!$F$19,PL_Saisie_Estime2!$F$16,PL_Saisie_Estime2!$C$14,PL_Saisie_Estime2!$F$15,PL_Saisie_Estime2!$F$14,PL_Saisie_Estime2!$F$20,PL_Saisie_Estime2!AA$2,PL_Saisie_Estime2!AA$1,PL_Saisie_Estime2!$C226),"")</f>
        <v/>
      </c>
      <c r="AB226" s="192" t="str">
        <f ca="1">IF(Flag_Send_Data=1,_xll.DBSW(PL_Saisie_Estime2!AB226,Server&amp;Cube1,PL_Saisie_Estime2!$F$17,PL_Saisie_Estime2!$F$18,PL_Saisie_Estime2!$F$19,PL_Saisie_Estime2!$F$16,PL_Saisie_Estime2!$C$14,PL_Saisie_Estime2!$F$15,PL_Saisie_Estime2!$F$14,PL_Saisie_Estime2!$F$20,PL_Saisie_Estime2!AB$2,PL_Saisie_Estime2!AB$1,PL_Saisie_Estime2!$C226),"")</f>
        <v/>
      </c>
      <c r="AC226" s="192" t="str">
        <f ca="1">IF(Flag_Send_Data=1,_xll.DBSW(PL_Saisie_Estime2!AC226,Server&amp;Cube1,PL_Saisie_Estime2!$F$17,PL_Saisie_Estime2!$F$18,PL_Saisie_Estime2!$F$19,PL_Saisie_Estime2!$F$16,PL_Saisie_Estime2!$C$14,PL_Saisie_Estime2!$F$15,PL_Saisie_Estime2!$F$14,PL_Saisie_Estime2!$F$20,PL_Saisie_Estime2!AC$2,PL_Saisie_Estime2!AC$1,PL_Saisie_Estime2!$C226),"")</f>
        <v/>
      </c>
      <c r="AD226" s="192" t="str">
        <f ca="1">IF(Flag_Send_Data=1,_xll.DBSW(PL_Saisie_Estime2!AD226,Server&amp;Cube1,PL_Saisie_Estime2!$F$17,PL_Saisie_Estime2!$F$18,PL_Saisie_Estime2!$F$19,PL_Saisie_Estime2!$F$16,PL_Saisie_Estime2!$C$14,PL_Saisie_Estime2!$F$15,PL_Saisie_Estime2!$F$14,PL_Saisie_Estime2!$F$20,PL_Saisie_Estime2!AD$2,PL_Saisie_Estime2!AD$1,PL_Saisie_Estime2!$C226),"")</f>
        <v/>
      </c>
      <c r="AE226" s="192" t="str">
        <f ca="1">IF(Flag_Send_Data=1,_xll.DBSW(PL_Saisie_Estime2!AE226,Server&amp;Cube1,PL_Saisie_Estime2!$F$17,PL_Saisie_Estime2!$F$18,PL_Saisie_Estime2!$F$19,PL_Saisie_Estime2!$F$16,PL_Saisie_Estime2!$C$14,PL_Saisie_Estime2!$F$15,PL_Saisie_Estime2!$F$14,PL_Saisie_Estime2!$F$20,PL_Saisie_Estime2!AE$2,PL_Saisie_Estime2!AE$1,PL_Saisie_Estime2!$C226),"")</f>
        <v/>
      </c>
      <c r="AF226" s="204"/>
      <c r="AG226" s="53"/>
      <c r="AH226" s="53"/>
      <c r="AI226" s="53"/>
      <c r="AJ226" s="53"/>
      <c r="AK226" s="53"/>
      <c r="AL226" s="53"/>
      <c r="AM226" s="53"/>
      <c r="AN226" s="53"/>
      <c r="AO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:53" s="9" customFormat="1" ht="24" customHeight="1" x14ac:dyDescent="0.35">
      <c r="A227" s="181"/>
      <c r="B227" s="163"/>
      <c r="C227" s="158"/>
      <c r="E227" s="268"/>
      <c r="F227" s="268"/>
      <c r="G227" s="268"/>
      <c r="H227" s="40"/>
      <c r="I227" s="130"/>
      <c r="J227" s="130"/>
      <c r="K227" s="130"/>
      <c r="L227" s="130"/>
      <c r="M227" s="130"/>
      <c r="N227" s="126"/>
      <c r="O227" s="204"/>
      <c r="P227" s="126"/>
      <c r="Q227" s="124"/>
      <c r="R227" s="192"/>
      <c r="S227" s="126"/>
      <c r="T227" s="200"/>
      <c r="U227" s="200"/>
      <c r="V227" s="200"/>
      <c r="W227" s="200"/>
      <c r="X227" s="200"/>
      <c r="Y227" s="200"/>
      <c r="Z227" s="192" t="str">
        <f ca="1">IF(Flag_Send_Data=1,_xll.DBSW(PL_Saisie_Estime2!Z227,Server&amp;Cube1,PL_Saisie_Estime2!$F$17,PL_Saisie_Estime2!$F$18,PL_Saisie_Estime2!$F$19,PL_Saisie_Estime2!$F$16,PL_Saisie_Estime2!$C$14,PL_Saisie_Estime2!$F$15,PL_Saisie_Estime2!$F$14,PL_Saisie_Estime2!$F$20,PL_Saisie_Estime2!Z$2,PL_Saisie_Estime2!Z$1,PL_Saisie_Estime2!$C227),"")</f>
        <v/>
      </c>
      <c r="AA227" s="192" t="str">
        <f ca="1">IF(Flag_Send_Data=1,_xll.DBSW(PL_Saisie_Estime2!AA227,Server&amp;Cube1,PL_Saisie_Estime2!$F$17,PL_Saisie_Estime2!$F$18,PL_Saisie_Estime2!$F$19,PL_Saisie_Estime2!$F$16,PL_Saisie_Estime2!$C$14,PL_Saisie_Estime2!$F$15,PL_Saisie_Estime2!$F$14,PL_Saisie_Estime2!$F$20,PL_Saisie_Estime2!AA$2,PL_Saisie_Estime2!AA$1,PL_Saisie_Estime2!$C227),"")</f>
        <v/>
      </c>
      <c r="AB227" s="192" t="str">
        <f ca="1">IF(Flag_Send_Data=1,_xll.DBSW(PL_Saisie_Estime2!AB227,Server&amp;Cube1,PL_Saisie_Estime2!$F$17,PL_Saisie_Estime2!$F$18,PL_Saisie_Estime2!$F$19,PL_Saisie_Estime2!$F$16,PL_Saisie_Estime2!$C$14,PL_Saisie_Estime2!$F$15,PL_Saisie_Estime2!$F$14,PL_Saisie_Estime2!$F$20,PL_Saisie_Estime2!AB$2,PL_Saisie_Estime2!AB$1,PL_Saisie_Estime2!$C227),"")</f>
        <v/>
      </c>
      <c r="AC227" s="192" t="str">
        <f ca="1">IF(Flag_Send_Data=1,_xll.DBSW(PL_Saisie_Estime2!AC227,Server&amp;Cube1,PL_Saisie_Estime2!$F$17,PL_Saisie_Estime2!$F$18,PL_Saisie_Estime2!$F$19,PL_Saisie_Estime2!$F$16,PL_Saisie_Estime2!$C$14,PL_Saisie_Estime2!$F$15,PL_Saisie_Estime2!$F$14,PL_Saisie_Estime2!$F$20,PL_Saisie_Estime2!AC$2,PL_Saisie_Estime2!AC$1,PL_Saisie_Estime2!$C227),"")</f>
        <v/>
      </c>
      <c r="AD227" s="192" t="str">
        <f ca="1">IF(Flag_Send_Data=1,_xll.DBSW(PL_Saisie_Estime2!AD227,Server&amp;Cube1,PL_Saisie_Estime2!$F$17,PL_Saisie_Estime2!$F$18,PL_Saisie_Estime2!$F$19,PL_Saisie_Estime2!$F$16,PL_Saisie_Estime2!$C$14,PL_Saisie_Estime2!$F$15,PL_Saisie_Estime2!$F$14,PL_Saisie_Estime2!$F$20,PL_Saisie_Estime2!AD$2,PL_Saisie_Estime2!AD$1,PL_Saisie_Estime2!$C227),"")</f>
        <v/>
      </c>
      <c r="AE227" s="192" t="str">
        <f ca="1">IF(Flag_Send_Data=1,_xll.DBSW(PL_Saisie_Estime2!AE227,Server&amp;Cube1,PL_Saisie_Estime2!$F$17,PL_Saisie_Estime2!$F$18,PL_Saisie_Estime2!$F$19,PL_Saisie_Estime2!$F$16,PL_Saisie_Estime2!$C$14,PL_Saisie_Estime2!$F$15,PL_Saisie_Estime2!$F$14,PL_Saisie_Estime2!$F$20,PL_Saisie_Estime2!AE$2,PL_Saisie_Estime2!AE$1,PL_Saisie_Estime2!$C227),"")</f>
        <v/>
      </c>
      <c r="AF227" s="204"/>
      <c r="AG227" s="53"/>
      <c r="AH227" s="53"/>
      <c r="AI227" s="53"/>
      <c r="AJ227" s="53"/>
      <c r="AK227" s="53"/>
      <c r="AL227" s="53"/>
      <c r="AM227" s="53"/>
      <c r="AN227" s="53"/>
      <c r="AO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:53" s="9" customFormat="1" ht="24" customHeight="1" x14ac:dyDescent="0.35">
      <c r="A228" s="181"/>
      <c r="B228" s="163"/>
      <c r="C228" s="158"/>
      <c r="E228" s="268"/>
      <c r="F228" s="268"/>
      <c r="G228" s="268"/>
      <c r="H228" s="40"/>
      <c r="I228" s="130"/>
      <c r="J228" s="130"/>
      <c r="K228" s="130"/>
      <c r="L228" s="130"/>
      <c r="M228" s="130"/>
      <c r="N228" s="126"/>
      <c r="O228" s="204"/>
      <c r="P228" s="126"/>
      <c r="Q228" s="124"/>
      <c r="R228" s="192"/>
      <c r="S228" s="126"/>
      <c r="T228" s="200"/>
      <c r="U228" s="200"/>
      <c r="V228" s="200"/>
      <c r="W228" s="200"/>
      <c r="X228" s="200"/>
      <c r="Y228" s="200"/>
      <c r="Z228" s="192" t="str">
        <f ca="1">IF(Flag_Send_Data=1,_xll.DBSW(PL_Saisie_Estime2!Z228,Server&amp;Cube1,PL_Saisie_Estime2!$F$17,PL_Saisie_Estime2!$F$18,PL_Saisie_Estime2!$F$19,PL_Saisie_Estime2!$F$16,PL_Saisie_Estime2!$C$14,PL_Saisie_Estime2!$F$15,PL_Saisie_Estime2!$F$14,PL_Saisie_Estime2!$F$20,PL_Saisie_Estime2!Z$2,PL_Saisie_Estime2!Z$1,PL_Saisie_Estime2!$C228),"")</f>
        <v/>
      </c>
      <c r="AA228" s="192" t="str">
        <f ca="1">IF(Flag_Send_Data=1,_xll.DBSW(PL_Saisie_Estime2!AA228,Server&amp;Cube1,PL_Saisie_Estime2!$F$17,PL_Saisie_Estime2!$F$18,PL_Saisie_Estime2!$F$19,PL_Saisie_Estime2!$F$16,PL_Saisie_Estime2!$C$14,PL_Saisie_Estime2!$F$15,PL_Saisie_Estime2!$F$14,PL_Saisie_Estime2!$F$20,PL_Saisie_Estime2!AA$2,PL_Saisie_Estime2!AA$1,PL_Saisie_Estime2!$C228),"")</f>
        <v/>
      </c>
      <c r="AB228" s="192" t="str">
        <f ca="1">IF(Flag_Send_Data=1,_xll.DBSW(PL_Saisie_Estime2!AB228,Server&amp;Cube1,PL_Saisie_Estime2!$F$17,PL_Saisie_Estime2!$F$18,PL_Saisie_Estime2!$F$19,PL_Saisie_Estime2!$F$16,PL_Saisie_Estime2!$C$14,PL_Saisie_Estime2!$F$15,PL_Saisie_Estime2!$F$14,PL_Saisie_Estime2!$F$20,PL_Saisie_Estime2!AB$2,PL_Saisie_Estime2!AB$1,PL_Saisie_Estime2!$C228),"")</f>
        <v/>
      </c>
      <c r="AC228" s="192" t="str">
        <f ca="1">IF(Flag_Send_Data=1,_xll.DBSW(PL_Saisie_Estime2!AC228,Server&amp;Cube1,PL_Saisie_Estime2!$F$17,PL_Saisie_Estime2!$F$18,PL_Saisie_Estime2!$F$19,PL_Saisie_Estime2!$F$16,PL_Saisie_Estime2!$C$14,PL_Saisie_Estime2!$F$15,PL_Saisie_Estime2!$F$14,PL_Saisie_Estime2!$F$20,PL_Saisie_Estime2!AC$2,PL_Saisie_Estime2!AC$1,PL_Saisie_Estime2!$C228),"")</f>
        <v/>
      </c>
      <c r="AD228" s="192" t="str">
        <f ca="1">IF(Flag_Send_Data=1,_xll.DBSW(PL_Saisie_Estime2!AD228,Server&amp;Cube1,PL_Saisie_Estime2!$F$17,PL_Saisie_Estime2!$F$18,PL_Saisie_Estime2!$F$19,PL_Saisie_Estime2!$F$16,PL_Saisie_Estime2!$C$14,PL_Saisie_Estime2!$F$15,PL_Saisie_Estime2!$F$14,PL_Saisie_Estime2!$F$20,PL_Saisie_Estime2!AD$2,PL_Saisie_Estime2!AD$1,PL_Saisie_Estime2!$C228),"")</f>
        <v/>
      </c>
      <c r="AE228" s="192" t="str">
        <f ca="1">IF(Flag_Send_Data=1,_xll.DBSW(PL_Saisie_Estime2!AE228,Server&amp;Cube1,PL_Saisie_Estime2!$F$17,PL_Saisie_Estime2!$F$18,PL_Saisie_Estime2!$F$19,PL_Saisie_Estime2!$F$16,PL_Saisie_Estime2!$C$14,PL_Saisie_Estime2!$F$15,PL_Saisie_Estime2!$F$14,PL_Saisie_Estime2!$F$20,PL_Saisie_Estime2!AE$2,PL_Saisie_Estime2!AE$1,PL_Saisie_Estime2!$C228),"")</f>
        <v/>
      </c>
      <c r="AF228" s="204"/>
      <c r="AG228" s="53"/>
      <c r="AH228" s="53"/>
      <c r="AI228" s="53"/>
      <c r="AJ228" s="53"/>
      <c r="AK228" s="53"/>
      <c r="AL228" s="53"/>
      <c r="AM228" s="53"/>
      <c r="AN228" s="53"/>
      <c r="AO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:53" s="9" customFormat="1" ht="24" customHeight="1" x14ac:dyDescent="0.35">
      <c r="A229" s="181"/>
      <c r="B229" s="163"/>
      <c r="C229" s="158"/>
      <c r="E229" s="268"/>
      <c r="F229" s="268"/>
      <c r="G229" s="268"/>
      <c r="H229" s="40"/>
      <c r="I229" s="130"/>
      <c r="J229" s="130"/>
      <c r="K229" s="130"/>
      <c r="L229" s="130"/>
      <c r="M229" s="130"/>
      <c r="N229" s="126"/>
      <c r="O229" s="204"/>
      <c r="P229" s="126"/>
      <c r="Q229" s="124"/>
      <c r="R229" s="192"/>
      <c r="S229" s="126"/>
      <c r="T229" s="200"/>
      <c r="U229" s="200"/>
      <c r="V229" s="200"/>
      <c r="W229" s="200"/>
      <c r="X229" s="200"/>
      <c r="Y229" s="200"/>
      <c r="Z229" s="192" t="str">
        <f ca="1">IF(Flag_Send_Data=1,_xll.DBSW(PL_Saisie_Estime2!Z229,Server&amp;Cube1,PL_Saisie_Estime2!$F$17,PL_Saisie_Estime2!$F$18,PL_Saisie_Estime2!$F$19,PL_Saisie_Estime2!$F$16,PL_Saisie_Estime2!$C$14,PL_Saisie_Estime2!$F$15,PL_Saisie_Estime2!$F$14,PL_Saisie_Estime2!$F$20,PL_Saisie_Estime2!Z$2,PL_Saisie_Estime2!Z$1,PL_Saisie_Estime2!$C229),"")</f>
        <v/>
      </c>
      <c r="AA229" s="192" t="str">
        <f ca="1">IF(Flag_Send_Data=1,_xll.DBSW(PL_Saisie_Estime2!AA229,Server&amp;Cube1,PL_Saisie_Estime2!$F$17,PL_Saisie_Estime2!$F$18,PL_Saisie_Estime2!$F$19,PL_Saisie_Estime2!$F$16,PL_Saisie_Estime2!$C$14,PL_Saisie_Estime2!$F$15,PL_Saisie_Estime2!$F$14,PL_Saisie_Estime2!$F$20,PL_Saisie_Estime2!AA$2,PL_Saisie_Estime2!AA$1,PL_Saisie_Estime2!$C229),"")</f>
        <v/>
      </c>
      <c r="AB229" s="192" t="str">
        <f ca="1">IF(Flag_Send_Data=1,_xll.DBSW(PL_Saisie_Estime2!AB229,Server&amp;Cube1,PL_Saisie_Estime2!$F$17,PL_Saisie_Estime2!$F$18,PL_Saisie_Estime2!$F$19,PL_Saisie_Estime2!$F$16,PL_Saisie_Estime2!$C$14,PL_Saisie_Estime2!$F$15,PL_Saisie_Estime2!$F$14,PL_Saisie_Estime2!$F$20,PL_Saisie_Estime2!AB$2,PL_Saisie_Estime2!AB$1,PL_Saisie_Estime2!$C229),"")</f>
        <v/>
      </c>
      <c r="AC229" s="192" t="str">
        <f ca="1">IF(Flag_Send_Data=1,_xll.DBSW(PL_Saisie_Estime2!AC229,Server&amp;Cube1,PL_Saisie_Estime2!$F$17,PL_Saisie_Estime2!$F$18,PL_Saisie_Estime2!$F$19,PL_Saisie_Estime2!$F$16,PL_Saisie_Estime2!$C$14,PL_Saisie_Estime2!$F$15,PL_Saisie_Estime2!$F$14,PL_Saisie_Estime2!$F$20,PL_Saisie_Estime2!AC$2,PL_Saisie_Estime2!AC$1,PL_Saisie_Estime2!$C229),"")</f>
        <v/>
      </c>
      <c r="AD229" s="192" t="str">
        <f ca="1">IF(Flag_Send_Data=1,_xll.DBSW(PL_Saisie_Estime2!AD229,Server&amp;Cube1,PL_Saisie_Estime2!$F$17,PL_Saisie_Estime2!$F$18,PL_Saisie_Estime2!$F$19,PL_Saisie_Estime2!$F$16,PL_Saisie_Estime2!$C$14,PL_Saisie_Estime2!$F$15,PL_Saisie_Estime2!$F$14,PL_Saisie_Estime2!$F$20,PL_Saisie_Estime2!AD$2,PL_Saisie_Estime2!AD$1,PL_Saisie_Estime2!$C229),"")</f>
        <v/>
      </c>
      <c r="AE229" s="192" t="str">
        <f ca="1">IF(Flag_Send_Data=1,_xll.DBSW(PL_Saisie_Estime2!AE229,Server&amp;Cube1,PL_Saisie_Estime2!$F$17,PL_Saisie_Estime2!$F$18,PL_Saisie_Estime2!$F$19,PL_Saisie_Estime2!$F$16,PL_Saisie_Estime2!$C$14,PL_Saisie_Estime2!$F$15,PL_Saisie_Estime2!$F$14,PL_Saisie_Estime2!$F$20,PL_Saisie_Estime2!AE$2,PL_Saisie_Estime2!AE$1,PL_Saisie_Estime2!$C229),"")</f>
        <v/>
      </c>
      <c r="AF229" s="204"/>
      <c r="AG229" s="53"/>
      <c r="AH229" s="53"/>
      <c r="AI229" s="53"/>
      <c r="AJ229" s="53"/>
      <c r="AK229" s="53"/>
      <c r="AL229" s="53"/>
      <c r="AM229" s="53"/>
      <c r="AN229" s="53"/>
      <c r="AO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:53" s="9" customFormat="1" ht="24" customHeight="1" x14ac:dyDescent="0.35">
      <c r="A230" s="181"/>
      <c r="B230" s="163"/>
      <c r="C230" s="158"/>
      <c r="E230" s="268"/>
      <c r="F230" s="268"/>
      <c r="G230" s="268"/>
      <c r="H230" s="40"/>
      <c r="I230" s="130"/>
      <c r="J230" s="130"/>
      <c r="K230" s="130"/>
      <c r="L230" s="130"/>
      <c r="M230" s="130"/>
      <c r="N230" s="126"/>
      <c r="O230" s="204"/>
      <c r="P230" s="126"/>
      <c r="Q230" s="124"/>
      <c r="R230" s="192"/>
      <c r="S230" s="126"/>
      <c r="T230" s="200"/>
      <c r="U230" s="200"/>
      <c r="V230" s="200"/>
      <c r="W230" s="200"/>
      <c r="X230" s="200"/>
      <c r="Y230" s="200"/>
      <c r="Z230" s="192" t="str">
        <f ca="1">IF(Flag_Send_Data=1,_xll.DBSW(PL_Saisie_Estime2!Z230,Server&amp;Cube1,PL_Saisie_Estime2!$F$17,PL_Saisie_Estime2!$F$18,PL_Saisie_Estime2!$F$19,PL_Saisie_Estime2!$F$16,PL_Saisie_Estime2!$C$14,PL_Saisie_Estime2!$F$15,PL_Saisie_Estime2!$F$14,PL_Saisie_Estime2!$F$20,PL_Saisie_Estime2!Z$2,PL_Saisie_Estime2!Z$1,PL_Saisie_Estime2!$C230),"")</f>
        <v/>
      </c>
      <c r="AA230" s="192" t="str">
        <f ca="1">IF(Flag_Send_Data=1,_xll.DBSW(PL_Saisie_Estime2!AA230,Server&amp;Cube1,PL_Saisie_Estime2!$F$17,PL_Saisie_Estime2!$F$18,PL_Saisie_Estime2!$F$19,PL_Saisie_Estime2!$F$16,PL_Saisie_Estime2!$C$14,PL_Saisie_Estime2!$F$15,PL_Saisie_Estime2!$F$14,PL_Saisie_Estime2!$F$20,PL_Saisie_Estime2!AA$2,PL_Saisie_Estime2!AA$1,PL_Saisie_Estime2!$C230),"")</f>
        <v/>
      </c>
      <c r="AB230" s="192" t="str">
        <f ca="1">IF(Flag_Send_Data=1,_xll.DBSW(PL_Saisie_Estime2!AB230,Server&amp;Cube1,PL_Saisie_Estime2!$F$17,PL_Saisie_Estime2!$F$18,PL_Saisie_Estime2!$F$19,PL_Saisie_Estime2!$F$16,PL_Saisie_Estime2!$C$14,PL_Saisie_Estime2!$F$15,PL_Saisie_Estime2!$F$14,PL_Saisie_Estime2!$F$20,PL_Saisie_Estime2!AB$2,PL_Saisie_Estime2!AB$1,PL_Saisie_Estime2!$C230),"")</f>
        <v/>
      </c>
      <c r="AC230" s="192" t="str">
        <f ca="1">IF(Flag_Send_Data=1,_xll.DBSW(PL_Saisie_Estime2!AC230,Server&amp;Cube1,PL_Saisie_Estime2!$F$17,PL_Saisie_Estime2!$F$18,PL_Saisie_Estime2!$F$19,PL_Saisie_Estime2!$F$16,PL_Saisie_Estime2!$C$14,PL_Saisie_Estime2!$F$15,PL_Saisie_Estime2!$F$14,PL_Saisie_Estime2!$F$20,PL_Saisie_Estime2!AC$2,PL_Saisie_Estime2!AC$1,PL_Saisie_Estime2!$C230),"")</f>
        <v/>
      </c>
      <c r="AD230" s="192" t="str">
        <f ca="1">IF(Flag_Send_Data=1,_xll.DBSW(PL_Saisie_Estime2!AD230,Server&amp;Cube1,PL_Saisie_Estime2!$F$17,PL_Saisie_Estime2!$F$18,PL_Saisie_Estime2!$F$19,PL_Saisie_Estime2!$F$16,PL_Saisie_Estime2!$C$14,PL_Saisie_Estime2!$F$15,PL_Saisie_Estime2!$F$14,PL_Saisie_Estime2!$F$20,PL_Saisie_Estime2!AD$2,PL_Saisie_Estime2!AD$1,PL_Saisie_Estime2!$C230),"")</f>
        <v/>
      </c>
      <c r="AE230" s="192" t="str">
        <f ca="1">IF(Flag_Send_Data=1,_xll.DBSW(PL_Saisie_Estime2!AE230,Server&amp;Cube1,PL_Saisie_Estime2!$F$17,PL_Saisie_Estime2!$F$18,PL_Saisie_Estime2!$F$19,PL_Saisie_Estime2!$F$16,PL_Saisie_Estime2!$C$14,PL_Saisie_Estime2!$F$15,PL_Saisie_Estime2!$F$14,PL_Saisie_Estime2!$F$20,PL_Saisie_Estime2!AE$2,PL_Saisie_Estime2!AE$1,PL_Saisie_Estime2!$C230),"")</f>
        <v/>
      </c>
      <c r="AF230" s="204"/>
      <c r="AG230" s="53"/>
      <c r="AH230" s="53"/>
      <c r="AI230" s="53"/>
      <c r="AJ230" s="53"/>
      <c r="AK230" s="53"/>
      <c r="AL230" s="53"/>
      <c r="AM230" s="53"/>
      <c r="AN230" s="53"/>
      <c r="AO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:53" s="9" customFormat="1" ht="24" customHeight="1" x14ac:dyDescent="0.35">
      <c r="A231" s="181"/>
      <c r="B231" s="163"/>
      <c r="C231" s="158"/>
      <c r="E231" s="268"/>
      <c r="F231" s="268"/>
      <c r="G231" s="268"/>
      <c r="H231" s="40"/>
      <c r="I231" s="130"/>
      <c r="J231" s="130"/>
      <c r="K231" s="130"/>
      <c r="L231" s="130"/>
      <c r="M231" s="130"/>
      <c r="N231" s="126"/>
      <c r="O231" s="204"/>
      <c r="P231" s="126"/>
      <c r="Q231" s="124"/>
      <c r="R231" s="192"/>
      <c r="S231" s="126"/>
      <c r="T231" s="200"/>
      <c r="U231" s="200"/>
      <c r="V231" s="200"/>
      <c r="W231" s="200"/>
      <c r="X231" s="200"/>
      <c r="Y231" s="200"/>
      <c r="Z231" s="192" t="str">
        <f ca="1">IF(Flag_Send_Data=1,_xll.DBSW(PL_Saisie_Estime2!Z231,Server&amp;Cube1,PL_Saisie_Estime2!$F$17,PL_Saisie_Estime2!$F$18,PL_Saisie_Estime2!$F$19,PL_Saisie_Estime2!$F$16,PL_Saisie_Estime2!$C$14,PL_Saisie_Estime2!$F$15,PL_Saisie_Estime2!$F$14,PL_Saisie_Estime2!$F$20,PL_Saisie_Estime2!Z$2,PL_Saisie_Estime2!Z$1,PL_Saisie_Estime2!$C231),"")</f>
        <v/>
      </c>
      <c r="AA231" s="192" t="str">
        <f ca="1">IF(Flag_Send_Data=1,_xll.DBSW(PL_Saisie_Estime2!AA231,Server&amp;Cube1,PL_Saisie_Estime2!$F$17,PL_Saisie_Estime2!$F$18,PL_Saisie_Estime2!$F$19,PL_Saisie_Estime2!$F$16,PL_Saisie_Estime2!$C$14,PL_Saisie_Estime2!$F$15,PL_Saisie_Estime2!$F$14,PL_Saisie_Estime2!$F$20,PL_Saisie_Estime2!AA$2,PL_Saisie_Estime2!AA$1,PL_Saisie_Estime2!$C231),"")</f>
        <v/>
      </c>
      <c r="AB231" s="192" t="str">
        <f ca="1">IF(Flag_Send_Data=1,_xll.DBSW(PL_Saisie_Estime2!AB231,Server&amp;Cube1,PL_Saisie_Estime2!$F$17,PL_Saisie_Estime2!$F$18,PL_Saisie_Estime2!$F$19,PL_Saisie_Estime2!$F$16,PL_Saisie_Estime2!$C$14,PL_Saisie_Estime2!$F$15,PL_Saisie_Estime2!$F$14,PL_Saisie_Estime2!$F$20,PL_Saisie_Estime2!AB$2,PL_Saisie_Estime2!AB$1,PL_Saisie_Estime2!$C231),"")</f>
        <v/>
      </c>
      <c r="AC231" s="192" t="str">
        <f ca="1">IF(Flag_Send_Data=1,_xll.DBSW(PL_Saisie_Estime2!AC231,Server&amp;Cube1,PL_Saisie_Estime2!$F$17,PL_Saisie_Estime2!$F$18,PL_Saisie_Estime2!$F$19,PL_Saisie_Estime2!$F$16,PL_Saisie_Estime2!$C$14,PL_Saisie_Estime2!$F$15,PL_Saisie_Estime2!$F$14,PL_Saisie_Estime2!$F$20,PL_Saisie_Estime2!AC$2,PL_Saisie_Estime2!AC$1,PL_Saisie_Estime2!$C231),"")</f>
        <v/>
      </c>
      <c r="AD231" s="192" t="str">
        <f ca="1">IF(Flag_Send_Data=1,_xll.DBSW(PL_Saisie_Estime2!AD231,Server&amp;Cube1,PL_Saisie_Estime2!$F$17,PL_Saisie_Estime2!$F$18,PL_Saisie_Estime2!$F$19,PL_Saisie_Estime2!$F$16,PL_Saisie_Estime2!$C$14,PL_Saisie_Estime2!$F$15,PL_Saisie_Estime2!$F$14,PL_Saisie_Estime2!$F$20,PL_Saisie_Estime2!AD$2,PL_Saisie_Estime2!AD$1,PL_Saisie_Estime2!$C231),"")</f>
        <v/>
      </c>
      <c r="AE231" s="192" t="str">
        <f ca="1">IF(Flag_Send_Data=1,_xll.DBSW(PL_Saisie_Estime2!AE231,Server&amp;Cube1,PL_Saisie_Estime2!$F$17,PL_Saisie_Estime2!$F$18,PL_Saisie_Estime2!$F$19,PL_Saisie_Estime2!$F$16,PL_Saisie_Estime2!$C$14,PL_Saisie_Estime2!$F$15,PL_Saisie_Estime2!$F$14,PL_Saisie_Estime2!$F$20,PL_Saisie_Estime2!AE$2,PL_Saisie_Estime2!AE$1,PL_Saisie_Estime2!$C231),"")</f>
        <v/>
      </c>
      <c r="AF231" s="204"/>
      <c r="AG231" s="53"/>
      <c r="AH231" s="53"/>
      <c r="AI231" s="53"/>
      <c r="AJ231" s="53"/>
      <c r="AK231" s="53"/>
      <c r="AL231" s="53"/>
      <c r="AM231" s="53"/>
      <c r="AN231" s="53"/>
      <c r="AO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:53" s="9" customFormat="1" ht="24" customHeight="1" x14ac:dyDescent="0.35">
      <c r="A232" s="181"/>
      <c r="B232" s="163"/>
      <c r="C232" s="158"/>
      <c r="E232" s="268"/>
      <c r="F232" s="268"/>
      <c r="G232" s="268"/>
      <c r="H232" s="40"/>
      <c r="I232" s="130"/>
      <c r="J232" s="130"/>
      <c r="K232" s="130"/>
      <c r="L232" s="130"/>
      <c r="M232" s="130"/>
      <c r="N232" s="126"/>
      <c r="O232" s="204"/>
      <c r="P232" s="126"/>
      <c r="Q232" s="124"/>
      <c r="R232" s="192"/>
      <c r="S232" s="126"/>
      <c r="T232" s="200"/>
      <c r="U232" s="200"/>
      <c r="V232" s="200"/>
      <c r="W232" s="200"/>
      <c r="X232" s="200"/>
      <c r="Y232" s="200"/>
      <c r="Z232" s="192" t="str">
        <f ca="1">IF(Flag_Send_Data=1,_xll.DBSW(PL_Saisie_Estime2!Z232,Server&amp;Cube1,PL_Saisie_Estime2!$F$17,PL_Saisie_Estime2!$F$18,PL_Saisie_Estime2!$F$19,PL_Saisie_Estime2!$F$16,PL_Saisie_Estime2!$C$14,PL_Saisie_Estime2!$F$15,PL_Saisie_Estime2!$F$14,PL_Saisie_Estime2!$F$20,PL_Saisie_Estime2!Z$2,PL_Saisie_Estime2!Z$1,PL_Saisie_Estime2!$C232),"")</f>
        <v/>
      </c>
      <c r="AA232" s="192" t="str">
        <f ca="1">IF(Flag_Send_Data=1,_xll.DBSW(PL_Saisie_Estime2!AA232,Server&amp;Cube1,PL_Saisie_Estime2!$F$17,PL_Saisie_Estime2!$F$18,PL_Saisie_Estime2!$F$19,PL_Saisie_Estime2!$F$16,PL_Saisie_Estime2!$C$14,PL_Saisie_Estime2!$F$15,PL_Saisie_Estime2!$F$14,PL_Saisie_Estime2!$F$20,PL_Saisie_Estime2!AA$2,PL_Saisie_Estime2!AA$1,PL_Saisie_Estime2!$C232),"")</f>
        <v/>
      </c>
      <c r="AB232" s="192" t="str">
        <f ca="1">IF(Flag_Send_Data=1,_xll.DBSW(PL_Saisie_Estime2!AB232,Server&amp;Cube1,PL_Saisie_Estime2!$F$17,PL_Saisie_Estime2!$F$18,PL_Saisie_Estime2!$F$19,PL_Saisie_Estime2!$F$16,PL_Saisie_Estime2!$C$14,PL_Saisie_Estime2!$F$15,PL_Saisie_Estime2!$F$14,PL_Saisie_Estime2!$F$20,PL_Saisie_Estime2!AB$2,PL_Saisie_Estime2!AB$1,PL_Saisie_Estime2!$C232),"")</f>
        <v/>
      </c>
      <c r="AC232" s="192" t="str">
        <f ca="1">IF(Flag_Send_Data=1,_xll.DBSW(PL_Saisie_Estime2!AC232,Server&amp;Cube1,PL_Saisie_Estime2!$F$17,PL_Saisie_Estime2!$F$18,PL_Saisie_Estime2!$F$19,PL_Saisie_Estime2!$F$16,PL_Saisie_Estime2!$C$14,PL_Saisie_Estime2!$F$15,PL_Saisie_Estime2!$F$14,PL_Saisie_Estime2!$F$20,PL_Saisie_Estime2!AC$2,PL_Saisie_Estime2!AC$1,PL_Saisie_Estime2!$C232),"")</f>
        <v/>
      </c>
      <c r="AD232" s="192" t="str">
        <f ca="1">IF(Flag_Send_Data=1,_xll.DBSW(PL_Saisie_Estime2!AD232,Server&amp;Cube1,PL_Saisie_Estime2!$F$17,PL_Saisie_Estime2!$F$18,PL_Saisie_Estime2!$F$19,PL_Saisie_Estime2!$F$16,PL_Saisie_Estime2!$C$14,PL_Saisie_Estime2!$F$15,PL_Saisie_Estime2!$F$14,PL_Saisie_Estime2!$F$20,PL_Saisie_Estime2!AD$2,PL_Saisie_Estime2!AD$1,PL_Saisie_Estime2!$C232),"")</f>
        <v/>
      </c>
      <c r="AE232" s="192" t="str">
        <f ca="1">IF(Flag_Send_Data=1,_xll.DBSW(PL_Saisie_Estime2!AE232,Server&amp;Cube1,PL_Saisie_Estime2!$F$17,PL_Saisie_Estime2!$F$18,PL_Saisie_Estime2!$F$19,PL_Saisie_Estime2!$F$16,PL_Saisie_Estime2!$C$14,PL_Saisie_Estime2!$F$15,PL_Saisie_Estime2!$F$14,PL_Saisie_Estime2!$F$20,PL_Saisie_Estime2!AE$2,PL_Saisie_Estime2!AE$1,PL_Saisie_Estime2!$C232),"")</f>
        <v/>
      </c>
      <c r="AF232" s="204"/>
      <c r="AG232" s="53"/>
      <c r="AH232" s="53"/>
      <c r="AI232" s="53"/>
      <c r="AJ232" s="53"/>
      <c r="AK232" s="53"/>
      <c r="AL232" s="53"/>
      <c r="AM232" s="53"/>
      <c r="AN232" s="53"/>
      <c r="AO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:53" s="9" customFormat="1" ht="24" customHeight="1" x14ac:dyDescent="0.35">
      <c r="A233" s="181"/>
      <c r="B233" s="163"/>
      <c r="C233" s="158"/>
      <c r="E233" s="268"/>
      <c r="F233" s="268"/>
      <c r="G233" s="268"/>
      <c r="H233" s="40"/>
      <c r="I233" s="130"/>
      <c r="J233" s="130"/>
      <c r="K233" s="130"/>
      <c r="L233" s="130"/>
      <c r="M233" s="130"/>
      <c r="N233" s="126"/>
      <c r="O233" s="204"/>
      <c r="P233" s="126"/>
      <c r="Q233" s="124"/>
      <c r="R233" s="192"/>
      <c r="S233" s="126"/>
      <c r="T233" s="200"/>
      <c r="U233" s="200"/>
      <c r="V233" s="200"/>
      <c r="W233" s="200"/>
      <c r="X233" s="200"/>
      <c r="Y233" s="200"/>
      <c r="Z233" s="192" t="str">
        <f ca="1">IF(Flag_Send_Data=1,_xll.DBSW(PL_Saisie_Estime2!Z233,Server&amp;Cube1,PL_Saisie_Estime2!$F$17,PL_Saisie_Estime2!$F$18,PL_Saisie_Estime2!$F$19,PL_Saisie_Estime2!$F$16,PL_Saisie_Estime2!$C$14,PL_Saisie_Estime2!$F$15,PL_Saisie_Estime2!$F$14,PL_Saisie_Estime2!$F$20,PL_Saisie_Estime2!Z$2,PL_Saisie_Estime2!Z$1,PL_Saisie_Estime2!$C233),"")</f>
        <v/>
      </c>
      <c r="AA233" s="192" t="str">
        <f ca="1">IF(Flag_Send_Data=1,_xll.DBSW(PL_Saisie_Estime2!AA233,Server&amp;Cube1,PL_Saisie_Estime2!$F$17,PL_Saisie_Estime2!$F$18,PL_Saisie_Estime2!$F$19,PL_Saisie_Estime2!$F$16,PL_Saisie_Estime2!$C$14,PL_Saisie_Estime2!$F$15,PL_Saisie_Estime2!$F$14,PL_Saisie_Estime2!$F$20,PL_Saisie_Estime2!AA$2,PL_Saisie_Estime2!AA$1,PL_Saisie_Estime2!$C233),"")</f>
        <v/>
      </c>
      <c r="AB233" s="192" t="str">
        <f ca="1">IF(Flag_Send_Data=1,_xll.DBSW(PL_Saisie_Estime2!AB233,Server&amp;Cube1,PL_Saisie_Estime2!$F$17,PL_Saisie_Estime2!$F$18,PL_Saisie_Estime2!$F$19,PL_Saisie_Estime2!$F$16,PL_Saisie_Estime2!$C$14,PL_Saisie_Estime2!$F$15,PL_Saisie_Estime2!$F$14,PL_Saisie_Estime2!$F$20,PL_Saisie_Estime2!AB$2,PL_Saisie_Estime2!AB$1,PL_Saisie_Estime2!$C233),"")</f>
        <v/>
      </c>
      <c r="AC233" s="192" t="str">
        <f ca="1">IF(Flag_Send_Data=1,_xll.DBSW(PL_Saisie_Estime2!AC233,Server&amp;Cube1,PL_Saisie_Estime2!$F$17,PL_Saisie_Estime2!$F$18,PL_Saisie_Estime2!$F$19,PL_Saisie_Estime2!$F$16,PL_Saisie_Estime2!$C$14,PL_Saisie_Estime2!$F$15,PL_Saisie_Estime2!$F$14,PL_Saisie_Estime2!$F$20,PL_Saisie_Estime2!AC$2,PL_Saisie_Estime2!AC$1,PL_Saisie_Estime2!$C233),"")</f>
        <v/>
      </c>
      <c r="AD233" s="192" t="str">
        <f ca="1">IF(Flag_Send_Data=1,_xll.DBSW(PL_Saisie_Estime2!AD233,Server&amp;Cube1,PL_Saisie_Estime2!$F$17,PL_Saisie_Estime2!$F$18,PL_Saisie_Estime2!$F$19,PL_Saisie_Estime2!$F$16,PL_Saisie_Estime2!$C$14,PL_Saisie_Estime2!$F$15,PL_Saisie_Estime2!$F$14,PL_Saisie_Estime2!$F$20,PL_Saisie_Estime2!AD$2,PL_Saisie_Estime2!AD$1,PL_Saisie_Estime2!$C233),"")</f>
        <v/>
      </c>
      <c r="AE233" s="192" t="str">
        <f ca="1">IF(Flag_Send_Data=1,_xll.DBSW(PL_Saisie_Estime2!AE233,Server&amp;Cube1,PL_Saisie_Estime2!$F$17,PL_Saisie_Estime2!$F$18,PL_Saisie_Estime2!$F$19,PL_Saisie_Estime2!$F$16,PL_Saisie_Estime2!$C$14,PL_Saisie_Estime2!$F$15,PL_Saisie_Estime2!$F$14,PL_Saisie_Estime2!$F$20,PL_Saisie_Estime2!AE$2,PL_Saisie_Estime2!AE$1,PL_Saisie_Estime2!$C233),"")</f>
        <v/>
      </c>
      <c r="AF233" s="204"/>
      <c r="AG233" s="53"/>
      <c r="AH233" s="53"/>
      <c r="AI233" s="53"/>
      <c r="AJ233" s="53"/>
      <c r="AK233" s="53"/>
      <c r="AL233" s="53"/>
      <c r="AM233" s="53"/>
      <c r="AN233" s="53"/>
      <c r="AO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:53" s="9" customFormat="1" ht="24" customHeight="1" x14ac:dyDescent="0.35">
      <c r="A234" s="181"/>
      <c r="B234" s="163"/>
      <c r="C234" s="158"/>
      <c r="E234" s="268"/>
      <c r="F234" s="268"/>
      <c r="G234" s="268"/>
      <c r="H234" s="40"/>
      <c r="I234" s="130"/>
      <c r="J234" s="130"/>
      <c r="K234" s="130"/>
      <c r="L234" s="130"/>
      <c r="M234" s="130"/>
      <c r="N234" s="126"/>
      <c r="O234" s="204"/>
      <c r="P234" s="126"/>
      <c r="Q234" s="124"/>
      <c r="R234" s="192"/>
      <c r="S234" s="126"/>
      <c r="T234" s="200"/>
      <c r="U234" s="200"/>
      <c r="V234" s="200"/>
      <c r="W234" s="200"/>
      <c r="X234" s="200"/>
      <c r="Y234" s="200"/>
      <c r="Z234" s="192" t="str">
        <f ca="1">IF(Flag_Send_Data=1,_xll.DBSW(PL_Saisie_Estime2!Z234,Server&amp;Cube1,PL_Saisie_Estime2!$F$17,PL_Saisie_Estime2!$F$18,PL_Saisie_Estime2!$F$19,PL_Saisie_Estime2!$F$16,PL_Saisie_Estime2!$C$14,PL_Saisie_Estime2!$F$15,PL_Saisie_Estime2!$F$14,PL_Saisie_Estime2!$F$20,PL_Saisie_Estime2!Z$2,PL_Saisie_Estime2!Z$1,PL_Saisie_Estime2!$C234),"")</f>
        <v/>
      </c>
      <c r="AA234" s="192" t="str">
        <f ca="1">IF(Flag_Send_Data=1,_xll.DBSW(PL_Saisie_Estime2!AA234,Server&amp;Cube1,PL_Saisie_Estime2!$F$17,PL_Saisie_Estime2!$F$18,PL_Saisie_Estime2!$F$19,PL_Saisie_Estime2!$F$16,PL_Saisie_Estime2!$C$14,PL_Saisie_Estime2!$F$15,PL_Saisie_Estime2!$F$14,PL_Saisie_Estime2!$F$20,PL_Saisie_Estime2!AA$2,PL_Saisie_Estime2!AA$1,PL_Saisie_Estime2!$C234),"")</f>
        <v/>
      </c>
      <c r="AB234" s="192" t="str">
        <f ca="1">IF(Flag_Send_Data=1,_xll.DBSW(PL_Saisie_Estime2!AB234,Server&amp;Cube1,PL_Saisie_Estime2!$F$17,PL_Saisie_Estime2!$F$18,PL_Saisie_Estime2!$F$19,PL_Saisie_Estime2!$F$16,PL_Saisie_Estime2!$C$14,PL_Saisie_Estime2!$F$15,PL_Saisie_Estime2!$F$14,PL_Saisie_Estime2!$F$20,PL_Saisie_Estime2!AB$2,PL_Saisie_Estime2!AB$1,PL_Saisie_Estime2!$C234),"")</f>
        <v/>
      </c>
      <c r="AC234" s="192" t="str">
        <f ca="1">IF(Flag_Send_Data=1,_xll.DBSW(PL_Saisie_Estime2!AC234,Server&amp;Cube1,PL_Saisie_Estime2!$F$17,PL_Saisie_Estime2!$F$18,PL_Saisie_Estime2!$F$19,PL_Saisie_Estime2!$F$16,PL_Saisie_Estime2!$C$14,PL_Saisie_Estime2!$F$15,PL_Saisie_Estime2!$F$14,PL_Saisie_Estime2!$F$20,PL_Saisie_Estime2!AC$2,PL_Saisie_Estime2!AC$1,PL_Saisie_Estime2!$C234),"")</f>
        <v/>
      </c>
      <c r="AD234" s="192" t="str">
        <f ca="1">IF(Flag_Send_Data=1,_xll.DBSW(PL_Saisie_Estime2!AD234,Server&amp;Cube1,PL_Saisie_Estime2!$F$17,PL_Saisie_Estime2!$F$18,PL_Saisie_Estime2!$F$19,PL_Saisie_Estime2!$F$16,PL_Saisie_Estime2!$C$14,PL_Saisie_Estime2!$F$15,PL_Saisie_Estime2!$F$14,PL_Saisie_Estime2!$F$20,PL_Saisie_Estime2!AD$2,PL_Saisie_Estime2!AD$1,PL_Saisie_Estime2!$C234),"")</f>
        <v/>
      </c>
      <c r="AE234" s="192" t="str">
        <f ca="1">IF(Flag_Send_Data=1,_xll.DBSW(PL_Saisie_Estime2!AE234,Server&amp;Cube1,PL_Saisie_Estime2!$F$17,PL_Saisie_Estime2!$F$18,PL_Saisie_Estime2!$F$19,PL_Saisie_Estime2!$F$16,PL_Saisie_Estime2!$C$14,PL_Saisie_Estime2!$F$15,PL_Saisie_Estime2!$F$14,PL_Saisie_Estime2!$F$20,PL_Saisie_Estime2!AE$2,PL_Saisie_Estime2!AE$1,PL_Saisie_Estime2!$C234),"")</f>
        <v/>
      </c>
      <c r="AF234" s="204"/>
      <c r="AG234" s="53"/>
      <c r="AH234" s="53"/>
      <c r="AI234" s="53"/>
      <c r="AJ234" s="53"/>
      <c r="AK234" s="53"/>
      <c r="AL234" s="53"/>
      <c r="AM234" s="53"/>
      <c r="AN234" s="53"/>
      <c r="AO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:53" s="9" customFormat="1" ht="24" customHeight="1" x14ac:dyDescent="0.35">
      <c r="A235" s="181"/>
      <c r="B235" s="163"/>
      <c r="C235" s="158"/>
      <c r="E235" s="268"/>
      <c r="F235" s="268"/>
      <c r="G235" s="268"/>
      <c r="H235" s="40"/>
      <c r="I235" s="130"/>
      <c r="J235" s="130"/>
      <c r="K235" s="130"/>
      <c r="L235" s="130"/>
      <c r="M235" s="130"/>
      <c r="N235" s="126"/>
      <c r="O235" s="204"/>
      <c r="P235" s="126"/>
      <c r="Q235" s="124"/>
      <c r="R235" s="192"/>
      <c r="S235" s="126"/>
      <c r="T235" s="200"/>
      <c r="U235" s="200"/>
      <c r="V235" s="200"/>
      <c r="W235" s="200"/>
      <c r="X235" s="200"/>
      <c r="Y235" s="200"/>
      <c r="Z235" s="192" t="str">
        <f ca="1">IF(Flag_Send_Data=1,_xll.DBSW(PL_Saisie_Estime2!Z235,Server&amp;Cube1,PL_Saisie_Estime2!$F$17,PL_Saisie_Estime2!$F$18,PL_Saisie_Estime2!$F$19,PL_Saisie_Estime2!$F$16,PL_Saisie_Estime2!$C$14,PL_Saisie_Estime2!$F$15,PL_Saisie_Estime2!$F$14,PL_Saisie_Estime2!$F$20,PL_Saisie_Estime2!Z$2,PL_Saisie_Estime2!Z$1,PL_Saisie_Estime2!$C235),"")</f>
        <v/>
      </c>
      <c r="AA235" s="192" t="str">
        <f ca="1">IF(Flag_Send_Data=1,_xll.DBSW(PL_Saisie_Estime2!AA235,Server&amp;Cube1,PL_Saisie_Estime2!$F$17,PL_Saisie_Estime2!$F$18,PL_Saisie_Estime2!$F$19,PL_Saisie_Estime2!$F$16,PL_Saisie_Estime2!$C$14,PL_Saisie_Estime2!$F$15,PL_Saisie_Estime2!$F$14,PL_Saisie_Estime2!$F$20,PL_Saisie_Estime2!AA$2,PL_Saisie_Estime2!AA$1,PL_Saisie_Estime2!$C235),"")</f>
        <v/>
      </c>
      <c r="AB235" s="192" t="str">
        <f ca="1">IF(Flag_Send_Data=1,_xll.DBSW(PL_Saisie_Estime2!AB235,Server&amp;Cube1,PL_Saisie_Estime2!$F$17,PL_Saisie_Estime2!$F$18,PL_Saisie_Estime2!$F$19,PL_Saisie_Estime2!$F$16,PL_Saisie_Estime2!$C$14,PL_Saisie_Estime2!$F$15,PL_Saisie_Estime2!$F$14,PL_Saisie_Estime2!$F$20,PL_Saisie_Estime2!AB$2,PL_Saisie_Estime2!AB$1,PL_Saisie_Estime2!$C235),"")</f>
        <v/>
      </c>
      <c r="AC235" s="192" t="str">
        <f ca="1">IF(Flag_Send_Data=1,_xll.DBSW(PL_Saisie_Estime2!AC235,Server&amp;Cube1,PL_Saisie_Estime2!$F$17,PL_Saisie_Estime2!$F$18,PL_Saisie_Estime2!$F$19,PL_Saisie_Estime2!$F$16,PL_Saisie_Estime2!$C$14,PL_Saisie_Estime2!$F$15,PL_Saisie_Estime2!$F$14,PL_Saisie_Estime2!$F$20,PL_Saisie_Estime2!AC$2,PL_Saisie_Estime2!AC$1,PL_Saisie_Estime2!$C235),"")</f>
        <v/>
      </c>
      <c r="AD235" s="192" t="str">
        <f ca="1">IF(Flag_Send_Data=1,_xll.DBSW(PL_Saisie_Estime2!AD235,Server&amp;Cube1,PL_Saisie_Estime2!$F$17,PL_Saisie_Estime2!$F$18,PL_Saisie_Estime2!$F$19,PL_Saisie_Estime2!$F$16,PL_Saisie_Estime2!$C$14,PL_Saisie_Estime2!$F$15,PL_Saisie_Estime2!$F$14,PL_Saisie_Estime2!$F$20,PL_Saisie_Estime2!AD$2,PL_Saisie_Estime2!AD$1,PL_Saisie_Estime2!$C235),"")</f>
        <v/>
      </c>
      <c r="AE235" s="192" t="str">
        <f ca="1">IF(Flag_Send_Data=1,_xll.DBSW(PL_Saisie_Estime2!AE235,Server&amp;Cube1,PL_Saisie_Estime2!$F$17,PL_Saisie_Estime2!$F$18,PL_Saisie_Estime2!$F$19,PL_Saisie_Estime2!$F$16,PL_Saisie_Estime2!$C$14,PL_Saisie_Estime2!$F$15,PL_Saisie_Estime2!$F$14,PL_Saisie_Estime2!$F$20,PL_Saisie_Estime2!AE$2,PL_Saisie_Estime2!AE$1,PL_Saisie_Estime2!$C235),"")</f>
        <v/>
      </c>
      <c r="AF235" s="204"/>
      <c r="AG235" s="53"/>
      <c r="AH235" s="53"/>
      <c r="AI235" s="53"/>
      <c r="AJ235" s="53"/>
      <c r="AK235" s="53"/>
      <c r="AL235" s="53"/>
      <c r="AM235" s="53"/>
      <c r="AN235" s="53"/>
      <c r="AO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:53" s="9" customFormat="1" ht="24" customHeight="1" x14ac:dyDescent="0.35">
      <c r="A236" s="181"/>
      <c r="B236" s="163"/>
      <c r="C236" s="158"/>
      <c r="E236" s="268"/>
      <c r="F236" s="268"/>
      <c r="G236" s="268"/>
      <c r="H236" s="40"/>
      <c r="I236" s="130"/>
      <c r="J236" s="130"/>
      <c r="K236" s="130"/>
      <c r="L236" s="130"/>
      <c r="M236" s="130"/>
      <c r="N236" s="126"/>
      <c r="O236" s="204"/>
      <c r="P236" s="126"/>
      <c r="Q236" s="124"/>
      <c r="R236" s="192"/>
      <c r="S236" s="126"/>
      <c r="T236" s="200"/>
      <c r="U236" s="200"/>
      <c r="V236" s="200"/>
      <c r="W236" s="200"/>
      <c r="X236" s="200"/>
      <c r="Y236" s="200"/>
      <c r="Z236" s="192" t="str">
        <f ca="1">IF(Flag_Send_Data=1,_xll.DBSW(PL_Saisie_Estime2!Z236,Server&amp;Cube1,PL_Saisie_Estime2!$F$17,PL_Saisie_Estime2!$F$18,PL_Saisie_Estime2!$F$19,PL_Saisie_Estime2!$F$16,PL_Saisie_Estime2!$C$14,PL_Saisie_Estime2!$F$15,PL_Saisie_Estime2!$F$14,PL_Saisie_Estime2!$F$20,PL_Saisie_Estime2!Z$2,PL_Saisie_Estime2!Z$1,PL_Saisie_Estime2!$C236),"")</f>
        <v/>
      </c>
      <c r="AA236" s="192" t="str">
        <f ca="1">IF(Flag_Send_Data=1,_xll.DBSW(PL_Saisie_Estime2!AA236,Server&amp;Cube1,PL_Saisie_Estime2!$F$17,PL_Saisie_Estime2!$F$18,PL_Saisie_Estime2!$F$19,PL_Saisie_Estime2!$F$16,PL_Saisie_Estime2!$C$14,PL_Saisie_Estime2!$F$15,PL_Saisie_Estime2!$F$14,PL_Saisie_Estime2!$F$20,PL_Saisie_Estime2!AA$2,PL_Saisie_Estime2!AA$1,PL_Saisie_Estime2!$C236),"")</f>
        <v/>
      </c>
      <c r="AB236" s="192" t="str">
        <f ca="1">IF(Flag_Send_Data=1,_xll.DBSW(PL_Saisie_Estime2!AB236,Server&amp;Cube1,PL_Saisie_Estime2!$F$17,PL_Saisie_Estime2!$F$18,PL_Saisie_Estime2!$F$19,PL_Saisie_Estime2!$F$16,PL_Saisie_Estime2!$C$14,PL_Saisie_Estime2!$F$15,PL_Saisie_Estime2!$F$14,PL_Saisie_Estime2!$F$20,PL_Saisie_Estime2!AB$2,PL_Saisie_Estime2!AB$1,PL_Saisie_Estime2!$C236),"")</f>
        <v/>
      </c>
      <c r="AC236" s="192" t="str">
        <f ca="1">IF(Flag_Send_Data=1,_xll.DBSW(PL_Saisie_Estime2!AC236,Server&amp;Cube1,PL_Saisie_Estime2!$F$17,PL_Saisie_Estime2!$F$18,PL_Saisie_Estime2!$F$19,PL_Saisie_Estime2!$F$16,PL_Saisie_Estime2!$C$14,PL_Saisie_Estime2!$F$15,PL_Saisie_Estime2!$F$14,PL_Saisie_Estime2!$F$20,PL_Saisie_Estime2!AC$2,PL_Saisie_Estime2!AC$1,PL_Saisie_Estime2!$C236),"")</f>
        <v/>
      </c>
      <c r="AD236" s="192" t="str">
        <f ca="1">IF(Flag_Send_Data=1,_xll.DBSW(PL_Saisie_Estime2!AD236,Server&amp;Cube1,PL_Saisie_Estime2!$F$17,PL_Saisie_Estime2!$F$18,PL_Saisie_Estime2!$F$19,PL_Saisie_Estime2!$F$16,PL_Saisie_Estime2!$C$14,PL_Saisie_Estime2!$F$15,PL_Saisie_Estime2!$F$14,PL_Saisie_Estime2!$F$20,PL_Saisie_Estime2!AD$2,PL_Saisie_Estime2!AD$1,PL_Saisie_Estime2!$C236),"")</f>
        <v/>
      </c>
      <c r="AE236" s="192" t="str">
        <f ca="1">IF(Flag_Send_Data=1,_xll.DBSW(PL_Saisie_Estime2!AE236,Server&amp;Cube1,PL_Saisie_Estime2!$F$17,PL_Saisie_Estime2!$F$18,PL_Saisie_Estime2!$F$19,PL_Saisie_Estime2!$F$16,PL_Saisie_Estime2!$C$14,PL_Saisie_Estime2!$F$15,PL_Saisie_Estime2!$F$14,PL_Saisie_Estime2!$F$20,PL_Saisie_Estime2!AE$2,PL_Saisie_Estime2!AE$1,PL_Saisie_Estime2!$C236),"")</f>
        <v/>
      </c>
      <c r="AF236" s="204"/>
      <c r="AG236" s="53"/>
      <c r="AH236" s="53"/>
      <c r="AI236" s="53"/>
      <c r="AJ236" s="53"/>
      <c r="AK236" s="53"/>
      <c r="AL236" s="53"/>
      <c r="AM236" s="53"/>
      <c r="AN236" s="53"/>
      <c r="AO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:53" s="9" customFormat="1" ht="24" customHeight="1" x14ac:dyDescent="0.35">
      <c r="A237" s="181"/>
      <c r="B237" s="163"/>
      <c r="C237" s="117"/>
      <c r="E237" s="272"/>
      <c r="F237" s="272"/>
      <c r="G237" s="272"/>
      <c r="H237" s="40"/>
      <c r="I237" s="130"/>
      <c r="J237" s="130"/>
      <c r="K237" s="130"/>
      <c r="L237" s="130"/>
      <c r="M237" s="130"/>
      <c r="N237" s="126"/>
      <c r="O237" s="126"/>
      <c r="P237" s="126"/>
      <c r="Q237" s="124"/>
      <c r="R237" s="126"/>
      <c r="S237" s="126"/>
      <c r="T237" s="203"/>
      <c r="U237" s="203"/>
      <c r="V237" s="203"/>
      <c r="W237" s="203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53"/>
      <c r="AH237" s="53"/>
      <c r="AI237" s="53"/>
      <c r="AJ237" s="53"/>
      <c r="AK237" s="53"/>
      <c r="AL237" s="53"/>
      <c r="AM237" s="53"/>
      <c r="AN237" s="53"/>
      <c r="AO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:53" s="9" customFormat="1" ht="24" customHeight="1" x14ac:dyDescent="0.35">
      <c r="A238" s="181"/>
      <c r="B238" s="163"/>
      <c r="C238" s="158"/>
      <c r="E238" s="270"/>
      <c r="F238" s="270"/>
      <c r="G238" s="270"/>
      <c r="H238" s="40"/>
      <c r="I238" s="130"/>
      <c r="J238" s="130"/>
      <c r="K238" s="130"/>
      <c r="L238" s="130"/>
      <c r="M238" s="130"/>
      <c r="N238" s="126"/>
      <c r="O238" s="204"/>
      <c r="P238" s="126"/>
      <c r="Q238" s="124"/>
      <c r="R238" s="192"/>
      <c r="S238" s="126"/>
      <c r="T238" s="200"/>
      <c r="U238" s="200"/>
      <c r="V238" s="200"/>
      <c r="W238" s="200"/>
      <c r="X238" s="200"/>
      <c r="Y238" s="200"/>
      <c r="Z238" s="192" t="str">
        <f ca="1">IF(Flag_Send_Data=1,_xll.DBSW(PL_Saisie_Estime2!Z238,Server&amp;Cube1,PL_Saisie_Estime2!$F$17,PL_Saisie_Estime2!$F$18,PL_Saisie_Estime2!$F$19,PL_Saisie_Estime2!$F$16,PL_Saisie_Estime2!$C$14,PL_Saisie_Estime2!$F$15,PL_Saisie_Estime2!$F$14,PL_Saisie_Estime2!$F$20,PL_Saisie_Estime2!Z$2,PL_Saisie_Estime2!Z$1,PL_Saisie_Estime2!$C238),"")</f>
        <v/>
      </c>
      <c r="AA238" s="192" t="str">
        <f ca="1">IF(Flag_Send_Data=1,_xll.DBSW(PL_Saisie_Estime2!AA238,Server&amp;Cube1,PL_Saisie_Estime2!$F$17,PL_Saisie_Estime2!$F$18,PL_Saisie_Estime2!$F$19,PL_Saisie_Estime2!$F$16,PL_Saisie_Estime2!$C$14,PL_Saisie_Estime2!$F$15,PL_Saisie_Estime2!$F$14,PL_Saisie_Estime2!$F$20,PL_Saisie_Estime2!AA$2,PL_Saisie_Estime2!AA$1,PL_Saisie_Estime2!$C238),"")</f>
        <v/>
      </c>
      <c r="AB238" s="192" t="str">
        <f ca="1">IF(Flag_Send_Data=1,_xll.DBSW(PL_Saisie_Estime2!AB238,Server&amp;Cube1,PL_Saisie_Estime2!$F$17,PL_Saisie_Estime2!$F$18,PL_Saisie_Estime2!$F$19,PL_Saisie_Estime2!$F$16,PL_Saisie_Estime2!$C$14,PL_Saisie_Estime2!$F$15,PL_Saisie_Estime2!$F$14,PL_Saisie_Estime2!$F$20,PL_Saisie_Estime2!AB$2,PL_Saisie_Estime2!AB$1,PL_Saisie_Estime2!$C238),"")</f>
        <v/>
      </c>
      <c r="AC238" s="192" t="str">
        <f ca="1">IF(Flag_Send_Data=1,_xll.DBSW(PL_Saisie_Estime2!AC238,Server&amp;Cube1,PL_Saisie_Estime2!$F$17,PL_Saisie_Estime2!$F$18,PL_Saisie_Estime2!$F$19,PL_Saisie_Estime2!$F$16,PL_Saisie_Estime2!$C$14,PL_Saisie_Estime2!$F$15,PL_Saisie_Estime2!$F$14,PL_Saisie_Estime2!$F$20,PL_Saisie_Estime2!AC$2,PL_Saisie_Estime2!AC$1,PL_Saisie_Estime2!$C238),"")</f>
        <v/>
      </c>
      <c r="AD238" s="192" t="str">
        <f ca="1">IF(Flag_Send_Data=1,_xll.DBSW(PL_Saisie_Estime2!AD238,Server&amp;Cube1,PL_Saisie_Estime2!$F$17,PL_Saisie_Estime2!$F$18,PL_Saisie_Estime2!$F$19,PL_Saisie_Estime2!$F$16,PL_Saisie_Estime2!$C$14,PL_Saisie_Estime2!$F$15,PL_Saisie_Estime2!$F$14,PL_Saisie_Estime2!$F$20,PL_Saisie_Estime2!AD$2,PL_Saisie_Estime2!AD$1,PL_Saisie_Estime2!$C238),"")</f>
        <v/>
      </c>
      <c r="AE238" s="192" t="str">
        <f ca="1">IF(Flag_Send_Data=1,_xll.DBSW(PL_Saisie_Estime2!AE238,Server&amp;Cube1,PL_Saisie_Estime2!$F$17,PL_Saisie_Estime2!$F$18,PL_Saisie_Estime2!$F$19,PL_Saisie_Estime2!$F$16,PL_Saisie_Estime2!$C$14,PL_Saisie_Estime2!$F$15,PL_Saisie_Estime2!$F$14,PL_Saisie_Estime2!$F$20,PL_Saisie_Estime2!AE$2,PL_Saisie_Estime2!AE$1,PL_Saisie_Estime2!$C238),"")</f>
        <v/>
      </c>
      <c r="AF238" s="204"/>
      <c r="AG238" s="53"/>
      <c r="AH238" s="53"/>
      <c r="AI238" s="53"/>
      <c r="AJ238" s="53"/>
      <c r="AK238" s="53"/>
      <c r="AL238" s="53"/>
      <c r="AM238" s="53"/>
      <c r="AN238" s="53"/>
      <c r="AO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:53" s="9" customFormat="1" ht="24" customHeight="1" x14ac:dyDescent="0.35">
      <c r="A239" s="181"/>
      <c r="B239" s="163"/>
      <c r="C239" s="158"/>
      <c r="E239" s="270"/>
      <c r="F239" s="270"/>
      <c r="G239" s="270"/>
      <c r="H239" s="40"/>
      <c r="I239" s="130"/>
      <c r="J239" s="130"/>
      <c r="K239" s="130"/>
      <c r="L239" s="130"/>
      <c r="M239" s="130"/>
      <c r="N239" s="126"/>
      <c r="O239" s="204"/>
      <c r="P239" s="126"/>
      <c r="Q239" s="124"/>
      <c r="R239" s="192"/>
      <c r="S239" s="126"/>
      <c r="T239" s="200"/>
      <c r="U239" s="200"/>
      <c r="V239" s="200"/>
      <c r="W239" s="200"/>
      <c r="X239" s="200"/>
      <c r="Y239" s="200"/>
      <c r="Z239" s="192" t="str">
        <f ca="1">IF(Flag_Send_Data=1,_xll.DBSW(PL_Saisie_Estime2!Z239,Server&amp;Cube1,PL_Saisie_Estime2!$F$17,PL_Saisie_Estime2!$F$18,PL_Saisie_Estime2!$F$19,PL_Saisie_Estime2!$F$16,PL_Saisie_Estime2!$C$14,PL_Saisie_Estime2!$F$15,PL_Saisie_Estime2!$F$14,PL_Saisie_Estime2!$F$20,PL_Saisie_Estime2!Z$2,PL_Saisie_Estime2!Z$1,PL_Saisie_Estime2!$C239),"")</f>
        <v/>
      </c>
      <c r="AA239" s="192" t="str">
        <f ca="1">IF(Flag_Send_Data=1,_xll.DBSW(PL_Saisie_Estime2!AA239,Server&amp;Cube1,PL_Saisie_Estime2!$F$17,PL_Saisie_Estime2!$F$18,PL_Saisie_Estime2!$F$19,PL_Saisie_Estime2!$F$16,PL_Saisie_Estime2!$C$14,PL_Saisie_Estime2!$F$15,PL_Saisie_Estime2!$F$14,PL_Saisie_Estime2!$F$20,PL_Saisie_Estime2!AA$2,PL_Saisie_Estime2!AA$1,PL_Saisie_Estime2!$C239),"")</f>
        <v/>
      </c>
      <c r="AB239" s="192" t="str">
        <f ca="1">IF(Flag_Send_Data=1,_xll.DBSW(PL_Saisie_Estime2!AB239,Server&amp;Cube1,PL_Saisie_Estime2!$F$17,PL_Saisie_Estime2!$F$18,PL_Saisie_Estime2!$F$19,PL_Saisie_Estime2!$F$16,PL_Saisie_Estime2!$C$14,PL_Saisie_Estime2!$F$15,PL_Saisie_Estime2!$F$14,PL_Saisie_Estime2!$F$20,PL_Saisie_Estime2!AB$2,PL_Saisie_Estime2!AB$1,PL_Saisie_Estime2!$C239),"")</f>
        <v/>
      </c>
      <c r="AC239" s="192" t="str">
        <f ca="1">IF(Flag_Send_Data=1,_xll.DBSW(PL_Saisie_Estime2!AC239,Server&amp;Cube1,PL_Saisie_Estime2!$F$17,PL_Saisie_Estime2!$F$18,PL_Saisie_Estime2!$F$19,PL_Saisie_Estime2!$F$16,PL_Saisie_Estime2!$C$14,PL_Saisie_Estime2!$F$15,PL_Saisie_Estime2!$F$14,PL_Saisie_Estime2!$F$20,PL_Saisie_Estime2!AC$2,PL_Saisie_Estime2!AC$1,PL_Saisie_Estime2!$C239),"")</f>
        <v/>
      </c>
      <c r="AD239" s="192" t="str">
        <f ca="1">IF(Flag_Send_Data=1,_xll.DBSW(PL_Saisie_Estime2!AD239,Server&amp;Cube1,PL_Saisie_Estime2!$F$17,PL_Saisie_Estime2!$F$18,PL_Saisie_Estime2!$F$19,PL_Saisie_Estime2!$F$16,PL_Saisie_Estime2!$C$14,PL_Saisie_Estime2!$F$15,PL_Saisie_Estime2!$F$14,PL_Saisie_Estime2!$F$20,PL_Saisie_Estime2!AD$2,PL_Saisie_Estime2!AD$1,PL_Saisie_Estime2!$C239),"")</f>
        <v/>
      </c>
      <c r="AE239" s="192" t="str">
        <f ca="1">IF(Flag_Send_Data=1,_xll.DBSW(PL_Saisie_Estime2!AE239,Server&amp;Cube1,PL_Saisie_Estime2!$F$17,PL_Saisie_Estime2!$F$18,PL_Saisie_Estime2!$F$19,PL_Saisie_Estime2!$F$16,PL_Saisie_Estime2!$C$14,PL_Saisie_Estime2!$F$15,PL_Saisie_Estime2!$F$14,PL_Saisie_Estime2!$F$20,PL_Saisie_Estime2!AE$2,PL_Saisie_Estime2!AE$1,PL_Saisie_Estime2!$C239),"")</f>
        <v/>
      </c>
      <c r="AF239" s="204"/>
      <c r="AG239" s="53"/>
      <c r="AH239" s="53"/>
      <c r="AI239" s="53"/>
      <c r="AJ239" s="53"/>
      <c r="AK239" s="53"/>
      <c r="AL239" s="53"/>
      <c r="AM239" s="53"/>
      <c r="AN239" s="53"/>
      <c r="AO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:53" s="9" customFormat="1" ht="24" customHeight="1" x14ac:dyDescent="0.35">
      <c r="A240" s="181"/>
      <c r="B240" s="163"/>
      <c r="C240" s="158"/>
      <c r="E240" s="270"/>
      <c r="F240" s="270"/>
      <c r="G240" s="270"/>
      <c r="H240" s="40"/>
      <c r="I240" s="130"/>
      <c r="J240" s="130"/>
      <c r="K240" s="130"/>
      <c r="L240" s="130"/>
      <c r="M240" s="130"/>
      <c r="N240" s="126"/>
      <c r="O240" s="204"/>
      <c r="P240" s="126"/>
      <c r="Q240" s="124"/>
      <c r="R240" s="192"/>
      <c r="S240" s="126"/>
      <c r="T240" s="200"/>
      <c r="U240" s="200"/>
      <c r="V240" s="200"/>
      <c r="W240" s="200"/>
      <c r="X240" s="200"/>
      <c r="Y240" s="200"/>
      <c r="Z240" s="192" t="str">
        <f ca="1">IF(Flag_Send_Data=1,_xll.DBSW(PL_Saisie_Estime2!Z240,Server&amp;Cube1,PL_Saisie_Estime2!$F$17,PL_Saisie_Estime2!$F$18,PL_Saisie_Estime2!$F$19,PL_Saisie_Estime2!$F$16,PL_Saisie_Estime2!$C$14,PL_Saisie_Estime2!$F$15,PL_Saisie_Estime2!$F$14,PL_Saisie_Estime2!$F$20,PL_Saisie_Estime2!Z$2,PL_Saisie_Estime2!Z$1,PL_Saisie_Estime2!$C240),"")</f>
        <v/>
      </c>
      <c r="AA240" s="192" t="str">
        <f ca="1">IF(Flag_Send_Data=1,_xll.DBSW(PL_Saisie_Estime2!AA240,Server&amp;Cube1,PL_Saisie_Estime2!$F$17,PL_Saisie_Estime2!$F$18,PL_Saisie_Estime2!$F$19,PL_Saisie_Estime2!$F$16,PL_Saisie_Estime2!$C$14,PL_Saisie_Estime2!$F$15,PL_Saisie_Estime2!$F$14,PL_Saisie_Estime2!$F$20,PL_Saisie_Estime2!AA$2,PL_Saisie_Estime2!AA$1,PL_Saisie_Estime2!$C240),"")</f>
        <v/>
      </c>
      <c r="AB240" s="192" t="str">
        <f ca="1">IF(Flag_Send_Data=1,_xll.DBSW(PL_Saisie_Estime2!AB240,Server&amp;Cube1,PL_Saisie_Estime2!$F$17,PL_Saisie_Estime2!$F$18,PL_Saisie_Estime2!$F$19,PL_Saisie_Estime2!$F$16,PL_Saisie_Estime2!$C$14,PL_Saisie_Estime2!$F$15,PL_Saisie_Estime2!$F$14,PL_Saisie_Estime2!$F$20,PL_Saisie_Estime2!AB$2,PL_Saisie_Estime2!AB$1,PL_Saisie_Estime2!$C240),"")</f>
        <v/>
      </c>
      <c r="AC240" s="192" t="str">
        <f ca="1">IF(Flag_Send_Data=1,_xll.DBSW(PL_Saisie_Estime2!AC240,Server&amp;Cube1,PL_Saisie_Estime2!$F$17,PL_Saisie_Estime2!$F$18,PL_Saisie_Estime2!$F$19,PL_Saisie_Estime2!$F$16,PL_Saisie_Estime2!$C$14,PL_Saisie_Estime2!$F$15,PL_Saisie_Estime2!$F$14,PL_Saisie_Estime2!$F$20,PL_Saisie_Estime2!AC$2,PL_Saisie_Estime2!AC$1,PL_Saisie_Estime2!$C240),"")</f>
        <v/>
      </c>
      <c r="AD240" s="192" t="str">
        <f ca="1">IF(Flag_Send_Data=1,_xll.DBSW(PL_Saisie_Estime2!AD240,Server&amp;Cube1,PL_Saisie_Estime2!$F$17,PL_Saisie_Estime2!$F$18,PL_Saisie_Estime2!$F$19,PL_Saisie_Estime2!$F$16,PL_Saisie_Estime2!$C$14,PL_Saisie_Estime2!$F$15,PL_Saisie_Estime2!$F$14,PL_Saisie_Estime2!$F$20,PL_Saisie_Estime2!AD$2,PL_Saisie_Estime2!AD$1,PL_Saisie_Estime2!$C240),"")</f>
        <v/>
      </c>
      <c r="AE240" s="192" t="str">
        <f ca="1">IF(Flag_Send_Data=1,_xll.DBSW(PL_Saisie_Estime2!AE240,Server&amp;Cube1,PL_Saisie_Estime2!$F$17,PL_Saisie_Estime2!$F$18,PL_Saisie_Estime2!$F$19,PL_Saisie_Estime2!$F$16,PL_Saisie_Estime2!$C$14,PL_Saisie_Estime2!$F$15,PL_Saisie_Estime2!$F$14,PL_Saisie_Estime2!$F$20,PL_Saisie_Estime2!AE$2,PL_Saisie_Estime2!AE$1,PL_Saisie_Estime2!$C240),"")</f>
        <v/>
      </c>
      <c r="AF240" s="204"/>
      <c r="AG240" s="53"/>
      <c r="AH240" s="53"/>
      <c r="AI240" s="53"/>
      <c r="AJ240" s="53"/>
      <c r="AK240" s="53"/>
      <c r="AL240" s="53"/>
      <c r="AM240" s="53"/>
      <c r="AN240" s="53"/>
      <c r="AO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:53" s="9" customFormat="1" ht="24" customHeight="1" x14ac:dyDescent="0.35">
      <c r="A241" s="181"/>
      <c r="B241" s="163"/>
      <c r="C241" s="158"/>
      <c r="E241" s="270"/>
      <c r="F241" s="270"/>
      <c r="G241" s="270"/>
      <c r="H241" s="40"/>
      <c r="I241" s="130"/>
      <c r="J241" s="130"/>
      <c r="K241" s="130"/>
      <c r="L241" s="130"/>
      <c r="M241" s="130"/>
      <c r="N241" s="126"/>
      <c r="O241" s="204"/>
      <c r="P241" s="126"/>
      <c r="Q241" s="124"/>
      <c r="R241" s="192"/>
      <c r="S241" s="126"/>
      <c r="T241" s="200"/>
      <c r="U241" s="200"/>
      <c r="V241" s="200"/>
      <c r="W241" s="200"/>
      <c r="X241" s="200"/>
      <c r="Y241" s="200"/>
      <c r="Z241" s="192" t="str">
        <f ca="1">IF(Flag_Send_Data=1,_xll.DBSW(PL_Saisie_Estime2!Z241,Server&amp;Cube1,PL_Saisie_Estime2!$F$17,PL_Saisie_Estime2!$F$18,PL_Saisie_Estime2!$F$19,PL_Saisie_Estime2!$F$16,PL_Saisie_Estime2!$C$14,PL_Saisie_Estime2!$F$15,PL_Saisie_Estime2!$F$14,PL_Saisie_Estime2!$F$20,PL_Saisie_Estime2!Z$2,PL_Saisie_Estime2!Z$1,PL_Saisie_Estime2!$C241),"")</f>
        <v/>
      </c>
      <c r="AA241" s="192" t="str">
        <f ca="1">IF(Flag_Send_Data=1,_xll.DBSW(PL_Saisie_Estime2!AA241,Server&amp;Cube1,PL_Saisie_Estime2!$F$17,PL_Saisie_Estime2!$F$18,PL_Saisie_Estime2!$F$19,PL_Saisie_Estime2!$F$16,PL_Saisie_Estime2!$C$14,PL_Saisie_Estime2!$F$15,PL_Saisie_Estime2!$F$14,PL_Saisie_Estime2!$F$20,PL_Saisie_Estime2!AA$2,PL_Saisie_Estime2!AA$1,PL_Saisie_Estime2!$C241),"")</f>
        <v/>
      </c>
      <c r="AB241" s="192" t="str">
        <f ca="1">IF(Flag_Send_Data=1,_xll.DBSW(PL_Saisie_Estime2!AB241,Server&amp;Cube1,PL_Saisie_Estime2!$F$17,PL_Saisie_Estime2!$F$18,PL_Saisie_Estime2!$F$19,PL_Saisie_Estime2!$F$16,PL_Saisie_Estime2!$C$14,PL_Saisie_Estime2!$F$15,PL_Saisie_Estime2!$F$14,PL_Saisie_Estime2!$F$20,PL_Saisie_Estime2!AB$2,PL_Saisie_Estime2!AB$1,PL_Saisie_Estime2!$C241),"")</f>
        <v/>
      </c>
      <c r="AC241" s="192" t="str">
        <f ca="1">IF(Flag_Send_Data=1,_xll.DBSW(PL_Saisie_Estime2!AC241,Server&amp;Cube1,PL_Saisie_Estime2!$F$17,PL_Saisie_Estime2!$F$18,PL_Saisie_Estime2!$F$19,PL_Saisie_Estime2!$F$16,PL_Saisie_Estime2!$C$14,PL_Saisie_Estime2!$F$15,PL_Saisie_Estime2!$F$14,PL_Saisie_Estime2!$F$20,PL_Saisie_Estime2!AC$2,PL_Saisie_Estime2!AC$1,PL_Saisie_Estime2!$C241),"")</f>
        <v/>
      </c>
      <c r="AD241" s="192" t="str">
        <f ca="1">IF(Flag_Send_Data=1,_xll.DBSW(PL_Saisie_Estime2!AD241,Server&amp;Cube1,PL_Saisie_Estime2!$F$17,PL_Saisie_Estime2!$F$18,PL_Saisie_Estime2!$F$19,PL_Saisie_Estime2!$F$16,PL_Saisie_Estime2!$C$14,PL_Saisie_Estime2!$F$15,PL_Saisie_Estime2!$F$14,PL_Saisie_Estime2!$F$20,PL_Saisie_Estime2!AD$2,PL_Saisie_Estime2!AD$1,PL_Saisie_Estime2!$C241),"")</f>
        <v/>
      </c>
      <c r="AE241" s="192" t="str">
        <f ca="1">IF(Flag_Send_Data=1,_xll.DBSW(PL_Saisie_Estime2!AE241,Server&amp;Cube1,PL_Saisie_Estime2!$F$17,PL_Saisie_Estime2!$F$18,PL_Saisie_Estime2!$F$19,PL_Saisie_Estime2!$F$16,PL_Saisie_Estime2!$C$14,PL_Saisie_Estime2!$F$15,PL_Saisie_Estime2!$F$14,PL_Saisie_Estime2!$F$20,PL_Saisie_Estime2!AE$2,PL_Saisie_Estime2!AE$1,PL_Saisie_Estime2!$C241),"")</f>
        <v/>
      </c>
      <c r="AF241" s="204"/>
      <c r="AG241" s="53"/>
      <c r="AH241" s="53"/>
      <c r="AI241" s="53"/>
      <c r="AJ241" s="53"/>
      <c r="AK241" s="53"/>
      <c r="AL241" s="53"/>
      <c r="AM241" s="53"/>
      <c r="AN241" s="53"/>
      <c r="AO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:53" s="9" customFormat="1" ht="24" customHeight="1" x14ac:dyDescent="0.35">
      <c r="A242" s="181"/>
      <c r="B242" s="163"/>
      <c r="C242" s="158"/>
      <c r="E242" s="270"/>
      <c r="F242" s="270"/>
      <c r="G242" s="270"/>
      <c r="H242" s="40"/>
      <c r="I242" s="130"/>
      <c r="J242" s="130"/>
      <c r="K242" s="130"/>
      <c r="L242" s="130"/>
      <c r="M242" s="130"/>
      <c r="N242" s="126"/>
      <c r="O242" s="204"/>
      <c r="P242" s="126"/>
      <c r="Q242" s="124"/>
      <c r="R242" s="192"/>
      <c r="S242" s="126"/>
      <c r="T242" s="200"/>
      <c r="U242" s="200"/>
      <c r="V242" s="200"/>
      <c r="W242" s="200"/>
      <c r="X242" s="200"/>
      <c r="Y242" s="200"/>
      <c r="Z242" s="192" t="str">
        <f ca="1">IF(Flag_Send_Data=1,_xll.DBSW(PL_Saisie_Estime2!Z242,Server&amp;Cube1,PL_Saisie_Estime2!$F$17,PL_Saisie_Estime2!$F$18,PL_Saisie_Estime2!$F$19,PL_Saisie_Estime2!$F$16,PL_Saisie_Estime2!$C$14,PL_Saisie_Estime2!$F$15,PL_Saisie_Estime2!$F$14,PL_Saisie_Estime2!$F$20,PL_Saisie_Estime2!Z$2,PL_Saisie_Estime2!Z$1,PL_Saisie_Estime2!$C242),"")</f>
        <v/>
      </c>
      <c r="AA242" s="192" t="str">
        <f ca="1">IF(Flag_Send_Data=1,_xll.DBSW(PL_Saisie_Estime2!AA242,Server&amp;Cube1,PL_Saisie_Estime2!$F$17,PL_Saisie_Estime2!$F$18,PL_Saisie_Estime2!$F$19,PL_Saisie_Estime2!$F$16,PL_Saisie_Estime2!$C$14,PL_Saisie_Estime2!$F$15,PL_Saisie_Estime2!$F$14,PL_Saisie_Estime2!$F$20,PL_Saisie_Estime2!AA$2,PL_Saisie_Estime2!AA$1,PL_Saisie_Estime2!$C242),"")</f>
        <v/>
      </c>
      <c r="AB242" s="192" t="str">
        <f ca="1">IF(Flag_Send_Data=1,_xll.DBSW(PL_Saisie_Estime2!AB242,Server&amp;Cube1,PL_Saisie_Estime2!$F$17,PL_Saisie_Estime2!$F$18,PL_Saisie_Estime2!$F$19,PL_Saisie_Estime2!$F$16,PL_Saisie_Estime2!$C$14,PL_Saisie_Estime2!$F$15,PL_Saisie_Estime2!$F$14,PL_Saisie_Estime2!$F$20,PL_Saisie_Estime2!AB$2,PL_Saisie_Estime2!AB$1,PL_Saisie_Estime2!$C242),"")</f>
        <v/>
      </c>
      <c r="AC242" s="192" t="str">
        <f ca="1">IF(Flag_Send_Data=1,_xll.DBSW(PL_Saisie_Estime2!AC242,Server&amp;Cube1,PL_Saisie_Estime2!$F$17,PL_Saisie_Estime2!$F$18,PL_Saisie_Estime2!$F$19,PL_Saisie_Estime2!$F$16,PL_Saisie_Estime2!$C$14,PL_Saisie_Estime2!$F$15,PL_Saisie_Estime2!$F$14,PL_Saisie_Estime2!$F$20,PL_Saisie_Estime2!AC$2,PL_Saisie_Estime2!AC$1,PL_Saisie_Estime2!$C242),"")</f>
        <v/>
      </c>
      <c r="AD242" s="192" t="str">
        <f ca="1">IF(Flag_Send_Data=1,_xll.DBSW(PL_Saisie_Estime2!AD242,Server&amp;Cube1,PL_Saisie_Estime2!$F$17,PL_Saisie_Estime2!$F$18,PL_Saisie_Estime2!$F$19,PL_Saisie_Estime2!$F$16,PL_Saisie_Estime2!$C$14,PL_Saisie_Estime2!$F$15,PL_Saisie_Estime2!$F$14,PL_Saisie_Estime2!$F$20,PL_Saisie_Estime2!AD$2,PL_Saisie_Estime2!AD$1,PL_Saisie_Estime2!$C242),"")</f>
        <v/>
      </c>
      <c r="AE242" s="192" t="str">
        <f ca="1">IF(Flag_Send_Data=1,_xll.DBSW(PL_Saisie_Estime2!AE242,Server&amp;Cube1,PL_Saisie_Estime2!$F$17,PL_Saisie_Estime2!$F$18,PL_Saisie_Estime2!$F$19,PL_Saisie_Estime2!$F$16,PL_Saisie_Estime2!$C$14,PL_Saisie_Estime2!$F$15,PL_Saisie_Estime2!$F$14,PL_Saisie_Estime2!$F$20,PL_Saisie_Estime2!AE$2,PL_Saisie_Estime2!AE$1,PL_Saisie_Estime2!$C242),"")</f>
        <v/>
      </c>
      <c r="AF242" s="204"/>
      <c r="AG242" s="53"/>
      <c r="AH242" s="53"/>
      <c r="AI242" s="53"/>
      <c r="AJ242" s="53"/>
      <c r="AK242" s="53"/>
      <c r="AL242" s="53"/>
      <c r="AM242" s="53"/>
      <c r="AN242" s="53"/>
      <c r="AO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:53" s="9" customFormat="1" ht="24" customHeight="1" x14ac:dyDescent="0.35">
      <c r="A243" s="181"/>
      <c r="B243" s="163"/>
      <c r="C243" s="158"/>
      <c r="E243" s="270"/>
      <c r="F243" s="270"/>
      <c r="G243" s="270"/>
      <c r="H243" s="40"/>
      <c r="I243" s="130"/>
      <c r="J243" s="130"/>
      <c r="K243" s="130"/>
      <c r="L243" s="130"/>
      <c r="M243" s="130"/>
      <c r="N243" s="126"/>
      <c r="O243" s="204"/>
      <c r="P243" s="126"/>
      <c r="Q243" s="124"/>
      <c r="R243" s="192"/>
      <c r="S243" s="126"/>
      <c r="T243" s="200"/>
      <c r="U243" s="200"/>
      <c r="V243" s="200"/>
      <c r="W243" s="200"/>
      <c r="X243" s="200"/>
      <c r="Y243" s="200"/>
      <c r="Z243" s="192" t="str">
        <f ca="1">IF(Flag_Send_Data=1,_xll.DBSW(PL_Saisie_Estime2!Z243,Server&amp;Cube1,PL_Saisie_Estime2!$F$17,PL_Saisie_Estime2!$F$18,PL_Saisie_Estime2!$F$19,PL_Saisie_Estime2!$F$16,PL_Saisie_Estime2!$C$14,PL_Saisie_Estime2!$F$15,PL_Saisie_Estime2!$F$14,PL_Saisie_Estime2!$F$20,PL_Saisie_Estime2!Z$2,PL_Saisie_Estime2!Z$1,PL_Saisie_Estime2!$C243),"")</f>
        <v/>
      </c>
      <c r="AA243" s="192" t="str">
        <f ca="1">IF(Flag_Send_Data=1,_xll.DBSW(PL_Saisie_Estime2!AA243,Server&amp;Cube1,PL_Saisie_Estime2!$F$17,PL_Saisie_Estime2!$F$18,PL_Saisie_Estime2!$F$19,PL_Saisie_Estime2!$F$16,PL_Saisie_Estime2!$C$14,PL_Saisie_Estime2!$F$15,PL_Saisie_Estime2!$F$14,PL_Saisie_Estime2!$F$20,PL_Saisie_Estime2!AA$2,PL_Saisie_Estime2!AA$1,PL_Saisie_Estime2!$C243),"")</f>
        <v/>
      </c>
      <c r="AB243" s="192" t="str">
        <f ca="1">IF(Flag_Send_Data=1,_xll.DBSW(PL_Saisie_Estime2!AB243,Server&amp;Cube1,PL_Saisie_Estime2!$F$17,PL_Saisie_Estime2!$F$18,PL_Saisie_Estime2!$F$19,PL_Saisie_Estime2!$F$16,PL_Saisie_Estime2!$C$14,PL_Saisie_Estime2!$F$15,PL_Saisie_Estime2!$F$14,PL_Saisie_Estime2!$F$20,PL_Saisie_Estime2!AB$2,PL_Saisie_Estime2!AB$1,PL_Saisie_Estime2!$C243),"")</f>
        <v/>
      </c>
      <c r="AC243" s="192" t="str">
        <f ca="1">IF(Flag_Send_Data=1,_xll.DBSW(PL_Saisie_Estime2!AC243,Server&amp;Cube1,PL_Saisie_Estime2!$F$17,PL_Saisie_Estime2!$F$18,PL_Saisie_Estime2!$F$19,PL_Saisie_Estime2!$F$16,PL_Saisie_Estime2!$C$14,PL_Saisie_Estime2!$F$15,PL_Saisie_Estime2!$F$14,PL_Saisie_Estime2!$F$20,PL_Saisie_Estime2!AC$2,PL_Saisie_Estime2!AC$1,PL_Saisie_Estime2!$C243),"")</f>
        <v/>
      </c>
      <c r="AD243" s="192" t="str">
        <f ca="1">IF(Flag_Send_Data=1,_xll.DBSW(PL_Saisie_Estime2!AD243,Server&amp;Cube1,PL_Saisie_Estime2!$F$17,PL_Saisie_Estime2!$F$18,PL_Saisie_Estime2!$F$19,PL_Saisie_Estime2!$F$16,PL_Saisie_Estime2!$C$14,PL_Saisie_Estime2!$F$15,PL_Saisie_Estime2!$F$14,PL_Saisie_Estime2!$F$20,PL_Saisie_Estime2!AD$2,PL_Saisie_Estime2!AD$1,PL_Saisie_Estime2!$C243),"")</f>
        <v/>
      </c>
      <c r="AE243" s="192" t="str">
        <f ca="1">IF(Flag_Send_Data=1,_xll.DBSW(PL_Saisie_Estime2!AE243,Server&amp;Cube1,PL_Saisie_Estime2!$F$17,PL_Saisie_Estime2!$F$18,PL_Saisie_Estime2!$F$19,PL_Saisie_Estime2!$F$16,PL_Saisie_Estime2!$C$14,PL_Saisie_Estime2!$F$15,PL_Saisie_Estime2!$F$14,PL_Saisie_Estime2!$F$20,PL_Saisie_Estime2!AE$2,PL_Saisie_Estime2!AE$1,PL_Saisie_Estime2!$C243),"")</f>
        <v/>
      </c>
      <c r="AF243" s="204"/>
      <c r="AG243" s="53"/>
      <c r="AH243" s="53"/>
      <c r="AI243" s="53"/>
      <c r="AJ243" s="53"/>
      <c r="AK243" s="53"/>
      <c r="AL243" s="53"/>
      <c r="AM243" s="53"/>
      <c r="AN243" s="53"/>
      <c r="AO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:53" s="9" customFormat="1" ht="24" customHeight="1" x14ac:dyDescent="0.35">
      <c r="A244" s="181"/>
      <c r="B244" s="163"/>
      <c r="C244" s="158"/>
      <c r="E244" s="270"/>
      <c r="F244" s="270"/>
      <c r="G244" s="270"/>
      <c r="H244" s="40"/>
      <c r="I244" s="130"/>
      <c r="J244" s="130"/>
      <c r="K244" s="130"/>
      <c r="L244" s="130"/>
      <c r="M244" s="130"/>
      <c r="N244" s="126"/>
      <c r="O244" s="204"/>
      <c r="P244" s="126"/>
      <c r="Q244" s="124"/>
      <c r="R244" s="192"/>
      <c r="S244" s="126"/>
      <c r="T244" s="200"/>
      <c r="U244" s="200"/>
      <c r="V244" s="200"/>
      <c r="W244" s="200"/>
      <c r="X244" s="200"/>
      <c r="Y244" s="200"/>
      <c r="Z244" s="192" t="str">
        <f ca="1">IF(Flag_Send_Data=1,_xll.DBSW(PL_Saisie_Estime2!Z244,Server&amp;Cube1,PL_Saisie_Estime2!$F$17,PL_Saisie_Estime2!$F$18,PL_Saisie_Estime2!$F$19,PL_Saisie_Estime2!$F$16,PL_Saisie_Estime2!$C$14,PL_Saisie_Estime2!$F$15,PL_Saisie_Estime2!$F$14,PL_Saisie_Estime2!$F$20,PL_Saisie_Estime2!Z$2,PL_Saisie_Estime2!Z$1,PL_Saisie_Estime2!$C244),"")</f>
        <v/>
      </c>
      <c r="AA244" s="192" t="str">
        <f ca="1">IF(Flag_Send_Data=1,_xll.DBSW(PL_Saisie_Estime2!AA244,Server&amp;Cube1,PL_Saisie_Estime2!$F$17,PL_Saisie_Estime2!$F$18,PL_Saisie_Estime2!$F$19,PL_Saisie_Estime2!$F$16,PL_Saisie_Estime2!$C$14,PL_Saisie_Estime2!$F$15,PL_Saisie_Estime2!$F$14,PL_Saisie_Estime2!$F$20,PL_Saisie_Estime2!AA$2,PL_Saisie_Estime2!AA$1,PL_Saisie_Estime2!$C244),"")</f>
        <v/>
      </c>
      <c r="AB244" s="192" t="str">
        <f ca="1">IF(Flag_Send_Data=1,_xll.DBSW(PL_Saisie_Estime2!AB244,Server&amp;Cube1,PL_Saisie_Estime2!$F$17,PL_Saisie_Estime2!$F$18,PL_Saisie_Estime2!$F$19,PL_Saisie_Estime2!$F$16,PL_Saisie_Estime2!$C$14,PL_Saisie_Estime2!$F$15,PL_Saisie_Estime2!$F$14,PL_Saisie_Estime2!$F$20,PL_Saisie_Estime2!AB$2,PL_Saisie_Estime2!AB$1,PL_Saisie_Estime2!$C244),"")</f>
        <v/>
      </c>
      <c r="AC244" s="192" t="str">
        <f ca="1">IF(Flag_Send_Data=1,_xll.DBSW(PL_Saisie_Estime2!AC244,Server&amp;Cube1,PL_Saisie_Estime2!$F$17,PL_Saisie_Estime2!$F$18,PL_Saisie_Estime2!$F$19,PL_Saisie_Estime2!$F$16,PL_Saisie_Estime2!$C$14,PL_Saisie_Estime2!$F$15,PL_Saisie_Estime2!$F$14,PL_Saisie_Estime2!$F$20,PL_Saisie_Estime2!AC$2,PL_Saisie_Estime2!AC$1,PL_Saisie_Estime2!$C244),"")</f>
        <v/>
      </c>
      <c r="AD244" s="192" t="str">
        <f ca="1">IF(Flag_Send_Data=1,_xll.DBSW(PL_Saisie_Estime2!AD244,Server&amp;Cube1,PL_Saisie_Estime2!$F$17,PL_Saisie_Estime2!$F$18,PL_Saisie_Estime2!$F$19,PL_Saisie_Estime2!$F$16,PL_Saisie_Estime2!$C$14,PL_Saisie_Estime2!$F$15,PL_Saisie_Estime2!$F$14,PL_Saisie_Estime2!$F$20,PL_Saisie_Estime2!AD$2,PL_Saisie_Estime2!AD$1,PL_Saisie_Estime2!$C244),"")</f>
        <v/>
      </c>
      <c r="AE244" s="192" t="str">
        <f ca="1">IF(Flag_Send_Data=1,_xll.DBSW(PL_Saisie_Estime2!AE244,Server&amp;Cube1,PL_Saisie_Estime2!$F$17,PL_Saisie_Estime2!$F$18,PL_Saisie_Estime2!$F$19,PL_Saisie_Estime2!$F$16,PL_Saisie_Estime2!$C$14,PL_Saisie_Estime2!$F$15,PL_Saisie_Estime2!$F$14,PL_Saisie_Estime2!$F$20,PL_Saisie_Estime2!AE$2,PL_Saisie_Estime2!AE$1,PL_Saisie_Estime2!$C244),"")</f>
        <v/>
      </c>
      <c r="AF244" s="204"/>
      <c r="AG244" s="53"/>
      <c r="AH244" s="53"/>
      <c r="AI244" s="53"/>
      <c r="AJ244" s="53"/>
      <c r="AK244" s="53"/>
      <c r="AL244" s="53"/>
      <c r="AM244" s="53"/>
      <c r="AN244" s="53"/>
      <c r="AO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:53" s="9" customFormat="1" ht="24" customHeight="1" x14ac:dyDescent="0.35">
      <c r="A245" s="181"/>
      <c r="B245" s="163"/>
      <c r="C245" s="158"/>
      <c r="E245" s="270"/>
      <c r="F245" s="270"/>
      <c r="G245" s="270"/>
      <c r="H245" s="40"/>
      <c r="I245" s="130"/>
      <c r="J245" s="130"/>
      <c r="K245" s="130"/>
      <c r="L245" s="130"/>
      <c r="M245" s="130"/>
      <c r="N245" s="126"/>
      <c r="O245" s="204"/>
      <c r="P245" s="126"/>
      <c r="Q245" s="124"/>
      <c r="R245" s="192"/>
      <c r="S245" s="126"/>
      <c r="T245" s="200"/>
      <c r="U245" s="200"/>
      <c r="V245" s="200"/>
      <c r="W245" s="200"/>
      <c r="X245" s="200"/>
      <c r="Y245" s="200"/>
      <c r="Z245" s="192" t="str">
        <f ca="1">IF(Flag_Send_Data=1,_xll.DBSW(PL_Saisie_Estime2!Z245,Server&amp;Cube1,PL_Saisie_Estime2!$F$17,PL_Saisie_Estime2!$F$18,PL_Saisie_Estime2!$F$19,PL_Saisie_Estime2!$F$16,PL_Saisie_Estime2!$C$14,PL_Saisie_Estime2!$F$15,PL_Saisie_Estime2!$F$14,PL_Saisie_Estime2!$F$20,PL_Saisie_Estime2!Z$2,PL_Saisie_Estime2!Z$1,PL_Saisie_Estime2!$C245),"")</f>
        <v/>
      </c>
      <c r="AA245" s="192" t="str">
        <f ca="1">IF(Flag_Send_Data=1,_xll.DBSW(PL_Saisie_Estime2!AA245,Server&amp;Cube1,PL_Saisie_Estime2!$F$17,PL_Saisie_Estime2!$F$18,PL_Saisie_Estime2!$F$19,PL_Saisie_Estime2!$F$16,PL_Saisie_Estime2!$C$14,PL_Saisie_Estime2!$F$15,PL_Saisie_Estime2!$F$14,PL_Saisie_Estime2!$F$20,PL_Saisie_Estime2!AA$2,PL_Saisie_Estime2!AA$1,PL_Saisie_Estime2!$C245),"")</f>
        <v/>
      </c>
      <c r="AB245" s="192" t="str">
        <f ca="1">IF(Flag_Send_Data=1,_xll.DBSW(PL_Saisie_Estime2!AB245,Server&amp;Cube1,PL_Saisie_Estime2!$F$17,PL_Saisie_Estime2!$F$18,PL_Saisie_Estime2!$F$19,PL_Saisie_Estime2!$F$16,PL_Saisie_Estime2!$C$14,PL_Saisie_Estime2!$F$15,PL_Saisie_Estime2!$F$14,PL_Saisie_Estime2!$F$20,PL_Saisie_Estime2!AB$2,PL_Saisie_Estime2!AB$1,PL_Saisie_Estime2!$C245),"")</f>
        <v/>
      </c>
      <c r="AC245" s="192" t="str">
        <f ca="1">IF(Flag_Send_Data=1,_xll.DBSW(PL_Saisie_Estime2!AC245,Server&amp;Cube1,PL_Saisie_Estime2!$F$17,PL_Saisie_Estime2!$F$18,PL_Saisie_Estime2!$F$19,PL_Saisie_Estime2!$F$16,PL_Saisie_Estime2!$C$14,PL_Saisie_Estime2!$F$15,PL_Saisie_Estime2!$F$14,PL_Saisie_Estime2!$F$20,PL_Saisie_Estime2!AC$2,PL_Saisie_Estime2!AC$1,PL_Saisie_Estime2!$C245),"")</f>
        <v/>
      </c>
      <c r="AD245" s="192" t="str">
        <f ca="1">IF(Flag_Send_Data=1,_xll.DBSW(PL_Saisie_Estime2!AD245,Server&amp;Cube1,PL_Saisie_Estime2!$F$17,PL_Saisie_Estime2!$F$18,PL_Saisie_Estime2!$F$19,PL_Saisie_Estime2!$F$16,PL_Saisie_Estime2!$C$14,PL_Saisie_Estime2!$F$15,PL_Saisie_Estime2!$F$14,PL_Saisie_Estime2!$F$20,PL_Saisie_Estime2!AD$2,PL_Saisie_Estime2!AD$1,PL_Saisie_Estime2!$C245),"")</f>
        <v/>
      </c>
      <c r="AE245" s="192" t="str">
        <f ca="1">IF(Flag_Send_Data=1,_xll.DBSW(PL_Saisie_Estime2!AE245,Server&amp;Cube1,PL_Saisie_Estime2!$F$17,PL_Saisie_Estime2!$F$18,PL_Saisie_Estime2!$F$19,PL_Saisie_Estime2!$F$16,PL_Saisie_Estime2!$C$14,PL_Saisie_Estime2!$F$15,PL_Saisie_Estime2!$F$14,PL_Saisie_Estime2!$F$20,PL_Saisie_Estime2!AE$2,PL_Saisie_Estime2!AE$1,PL_Saisie_Estime2!$C245),"")</f>
        <v/>
      </c>
      <c r="AF245" s="204"/>
      <c r="AG245" s="53"/>
      <c r="AH245" s="53"/>
      <c r="AI245" s="53"/>
      <c r="AJ245" s="53"/>
      <c r="AK245" s="53"/>
      <c r="AL245" s="53"/>
      <c r="AM245" s="53"/>
      <c r="AN245" s="53"/>
      <c r="AO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:53" s="9" customFormat="1" ht="24" customHeight="1" x14ac:dyDescent="0.35">
      <c r="A246" s="181"/>
      <c r="B246" s="163"/>
      <c r="C246" s="158"/>
      <c r="E246" s="270"/>
      <c r="F246" s="270"/>
      <c r="G246" s="270"/>
      <c r="H246" s="40"/>
      <c r="I246" s="130"/>
      <c r="J246" s="130"/>
      <c r="K246" s="130"/>
      <c r="L246" s="130"/>
      <c r="M246" s="130"/>
      <c r="N246" s="126"/>
      <c r="O246" s="204"/>
      <c r="P246" s="126"/>
      <c r="Q246" s="124"/>
      <c r="R246" s="192"/>
      <c r="S246" s="126"/>
      <c r="T246" s="200"/>
      <c r="U246" s="200"/>
      <c r="V246" s="200"/>
      <c r="W246" s="200"/>
      <c r="X246" s="200"/>
      <c r="Y246" s="200"/>
      <c r="Z246" s="192" t="str">
        <f ca="1">IF(Flag_Send_Data=1,_xll.DBSW(PL_Saisie_Estime2!Z246,Server&amp;Cube1,PL_Saisie_Estime2!$F$17,PL_Saisie_Estime2!$F$18,PL_Saisie_Estime2!$F$19,PL_Saisie_Estime2!$F$16,PL_Saisie_Estime2!$C$14,PL_Saisie_Estime2!$F$15,PL_Saisie_Estime2!$F$14,PL_Saisie_Estime2!$F$20,PL_Saisie_Estime2!Z$2,PL_Saisie_Estime2!Z$1,PL_Saisie_Estime2!$C246),"")</f>
        <v/>
      </c>
      <c r="AA246" s="192" t="str">
        <f ca="1">IF(Flag_Send_Data=1,_xll.DBSW(PL_Saisie_Estime2!AA246,Server&amp;Cube1,PL_Saisie_Estime2!$F$17,PL_Saisie_Estime2!$F$18,PL_Saisie_Estime2!$F$19,PL_Saisie_Estime2!$F$16,PL_Saisie_Estime2!$C$14,PL_Saisie_Estime2!$F$15,PL_Saisie_Estime2!$F$14,PL_Saisie_Estime2!$F$20,PL_Saisie_Estime2!AA$2,PL_Saisie_Estime2!AA$1,PL_Saisie_Estime2!$C246),"")</f>
        <v/>
      </c>
      <c r="AB246" s="192" t="str">
        <f ca="1">IF(Flag_Send_Data=1,_xll.DBSW(PL_Saisie_Estime2!AB246,Server&amp;Cube1,PL_Saisie_Estime2!$F$17,PL_Saisie_Estime2!$F$18,PL_Saisie_Estime2!$F$19,PL_Saisie_Estime2!$F$16,PL_Saisie_Estime2!$C$14,PL_Saisie_Estime2!$F$15,PL_Saisie_Estime2!$F$14,PL_Saisie_Estime2!$F$20,PL_Saisie_Estime2!AB$2,PL_Saisie_Estime2!AB$1,PL_Saisie_Estime2!$C246),"")</f>
        <v/>
      </c>
      <c r="AC246" s="192" t="str">
        <f ca="1">IF(Flag_Send_Data=1,_xll.DBSW(PL_Saisie_Estime2!AC246,Server&amp;Cube1,PL_Saisie_Estime2!$F$17,PL_Saisie_Estime2!$F$18,PL_Saisie_Estime2!$F$19,PL_Saisie_Estime2!$F$16,PL_Saisie_Estime2!$C$14,PL_Saisie_Estime2!$F$15,PL_Saisie_Estime2!$F$14,PL_Saisie_Estime2!$F$20,PL_Saisie_Estime2!AC$2,PL_Saisie_Estime2!AC$1,PL_Saisie_Estime2!$C246),"")</f>
        <v/>
      </c>
      <c r="AD246" s="192" t="str">
        <f ca="1">IF(Flag_Send_Data=1,_xll.DBSW(PL_Saisie_Estime2!AD246,Server&amp;Cube1,PL_Saisie_Estime2!$F$17,PL_Saisie_Estime2!$F$18,PL_Saisie_Estime2!$F$19,PL_Saisie_Estime2!$F$16,PL_Saisie_Estime2!$C$14,PL_Saisie_Estime2!$F$15,PL_Saisie_Estime2!$F$14,PL_Saisie_Estime2!$F$20,PL_Saisie_Estime2!AD$2,PL_Saisie_Estime2!AD$1,PL_Saisie_Estime2!$C246),"")</f>
        <v/>
      </c>
      <c r="AE246" s="192" t="str">
        <f ca="1">IF(Flag_Send_Data=1,_xll.DBSW(PL_Saisie_Estime2!AE246,Server&amp;Cube1,PL_Saisie_Estime2!$F$17,PL_Saisie_Estime2!$F$18,PL_Saisie_Estime2!$F$19,PL_Saisie_Estime2!$F$16,PL_Saisie_Estime2!$C$14,PL_Saisie_Estime2!$F$15,PL_Saisie_Estime2!$F$14,PL_Saisie_Estime2!$F$20,PL_Saisie_Estime2!AE$2,PL_Saisie_Estime2!AE$1,PL_Saisie_Estime2!$C246),"")</f>
        <v/>
      </c>
      <c r="AF246" s="204"/>
      <c r="AG246" s="53"/>
      <c r="AH246" s="53"/>
      <c r="AI246" s="53"/>
      <c r="AJ246" s="53"/>
      <c r="AK246" s="53"/>
      <c r="AL246" s="53"/>
      <c r="AM246" s="53"/>
      <c r="AN246" s="53"/>
      <c r="AO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:53" s="9" customFormat="1" ht="24" customHeight="1" x14ac:dyDescent="0.35">
      <c r="A247" s="181"/>
      <c r="B247" s="163"/>
      <c r="C247" s="158"/>
      <c r="E247" s="270"/>
      <c r="F247" s="270"/>
      <c r="G247" s="270"/>
      <c r="H247" s="40"/>
      <c r="I247" s="130"/>
      <c r="J247" s="130"/>
      <c r="K247" s="130"/>
      <c r="L247" s="130"/>
      <c r="M247" s="130"/>
      <c r="N247" s="126"/>
      <c r="O247" s="204"/>
      <c r="P247" s="126"/>
      <c r="Q247" s="124"/>
      <c r="R247" s="192"/>
      <c r="S247" s="126"/>
      <c r="T247" s="200"/>
      <c r="U247" s="200"/>
      <c r="V247" s="200"/>
      <c r="W247" s="200"/>
      <c r="X247" s="200"/>
      <c r="Y247" s="200"/>
      <c r="Z247" s="192" t="str">
        <f ca="1">IF(Flag_Send_Data=1,_xll.DBSW(PL_Saisie_Estime2!Z247,Server&amp;Cube1,PL_Saisie_Estime2!$F$17,PL_Saisie_Estime2!$F$18,PL_Saisie_Estime2!$F$19,PL_Saisie_Estime2!$F$16,PL_Saisie_Estime2!$C$14,PL_Saisie_Estime2!$F$15,PL_Saisie_Estime2!$F$14,PL_Saisie_Estime2!$F$20,PL_Saisie_Estime2!Z$2,PL_Saisie_Estime2!Z$1,PL_Saisie_Estime2!$C247),"")</f>
        <v/>
      </c>
      <c r="AA247" s="192" t="str">
        <f ca="1">IF(Flag_Send_Data=1,_xll.DBSW(PL_Saisie_Estime2!AA247,Server&amp;Cube1,PL_Saisie_Estime2!$F$17,PL_Saisie_Estime2!$F$18,PL_Saisie_Estime2!$F$19,PL_Saisie_Estime2!$F$16,PL_Saisie_Estime2!$C$14,PL_Saisie_Estime2!$F$15,PL_Saisie_Estime2!$F$14,PL_Saisie_Estime2!$F$20,PL_Saisie_Estime2!AA$2,PL_Saisie_Estime2!AA$1,PL_Saisie_Estime2!$C247),"")</f>
        <v/>
      </c>
      <c r="AB247" s="192" t="str">
        <f ca="1">IF(Flag_Send_Data=1,_xll.DBSW(PL_Saisie_Estime2!AB247,Server&amp;Cube1,PL_Saisie_Estime2!$F$17,PL_Saisie_Estime2!$F$18,PL_Saisie_Estime2!$F$19,PL_Saisie_Estime2!$F$16,PL_Saisie_Estime2!$C$14,PL_Saisie_Estime2!$F$15,PL_Saisie_Estime2!$F$14,PL_Saisie_Estime2!$F$20,PL_Saisie_Estime2!AB$2,PL_Saisie_Estime2!AB$1,PL_Saisie_Estime2!$C247),"")</f>
        <v/>
      </c>
      <c r="AC247" s="192" t="str">
        <f ca="1">IF(Flag_Send_Data=1,_xll.DBSW(PL_Saisie_Estime2!AC247,Server&amp;Cube1,PL_Saisie_Estime2!$F$17,PL_Saisie_Estime2!$F$18,PL_Saisie_Estime2!$F$19,PL_Saisie_Estime2!$F$16,PL_Saisie_Estime2!$C$14,PL_Saisie_Estime2!$F$15,PL_Saisie_Estime2!$F$14,PL_Saisie_Estime2!$F$20,PL_Saisie_Estime2!AC$2,PL_Saisie_Estime2!AC$1,PL_Saisie_Estime2!$C247),"")</f>
        <v/>
      </c>
      <c r="AD247" s="192" t="str">
        <f ca="1">IF(Flag_Send_Data=1,_xll.DBSW(PL_Saisie_Estime2!AD247,Server&amp;Cube1,PL_Saisie_Estime2!$F$17,PL_Saisie_Estime2!$F$18,PL_Saisie_Estime2!$F$19,PL_Saisie_Estime2!$F$16,PL_Saisie_Estime2!$C$14,PL_Saisie_Estime2!$F$15,PL_Saisie_Estime2!$F$14,PL_Saisie_Estime2!$F$20,PL_Saisie_Estime2!AD$2,PL_Saisie_Estime2!AD$1,PL_Saisie_Estime2!$C247),"")</f>
        <v/>
      </c>
      <c r="AE247" s="192" t="str">
        <f ca="1">IF(Flag_Send_Data=1,_xll.DBSW(PL_Saisie_Estime2!AE247,Server&amp;Cube1,PL_Saisie_Estime2!$F$17,PL_Saisie_Estime2!$F$18,PL_Saisie_Estime2!$F$19,PL_Saisie_Estime2!$F$16,PL_Saisie_Estime2!$C$14,PL_Saisie_Estime2!$F$15,PL_Saisie_Estime2!$F$14,PL_Saisie_Estime2!$F$20,PL_Saisie_Estime2!AE$2,PL_Saisie_Estime2!AE$1,PL_Saisie_Estime2!$C247),"")</f>
        <v/>
      </c>
      <c r="AF247" s="204"/>
      <c r="AG247" s="53"/>
      <c r="AH247" s="53"/>
      <c r="AI247" s="53"/>
      <c r="AJ247" s="53"/>
      <c r="AK247" s="53"/>
      <c r="AL247" s="53"/>
      <c r="AM247" s="53"/>
      <c r="AN247" s="53"/>
      <c r="AO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:53" s="9" customFormat="1" ht="24" customHeight="1" x14ac:dyDescent="0.35">
      <c r="A248" s="181"/>
      <c r="B248" s="163"/>
      <c r="C248" s="158"/>
      <c r="E248" s="270"/>
      <c r="F248" s="270"/>
      <c r="G248" s="270"/>
      <c r="H248" s="40"/>
      <c r="I248" s="130"/>
      <c r="J248" s="130"/>
      <c r="K248" s="130"/>
      <c r="L248" s="130"/>
      <c r="M248" s="130"/>
      <c r="N248" s="126"/>
      <c r="O248" s="204"/>
      <c r="P248" s="126"/>
      <c r="Q248" s="124"/>
      <c r="R248" s="192"/>
      <c r="S248" s="126"/>
      <c r="T248" s="200"/>
      <c r="U248" s="200"/>
      <c r="V248" s="200"/>
      <c r="W248" s="200"/>
      <c r="X248" s="200"/>
      <c r="Y248" s="200"/>
      <c r="Z248" s="192" t="str">
        <f ca="1">IF(Flag_Send_Data=1,_xll.DBSW(PL_Saisie_Estime2!Z248,Server&amp;Cube1,PL_Saisie_Estime2!$F$17,PL_Saisie_Estime2!$F$18,PL_Saisie_Estime2!$F$19,PL_Saisie_Estime2!$F$16,PL_Saisie_Estime2!$C$14,PL_Saisie_Estime2!$F$15,PL_Saisie_Estime2!$F$14,PL_Saisie_Estime2!$F$20,PL_Saisie_Estime2!Z$2,PL_Saisie_Estime2!Z$1,PL_Saisie_Estime2!$C248),"")</f>
        <v/>
      </c>
      <c r="AA248" s="192" t="str">
        <f ca="1">IF(Flag_Send_Data=1,_xll.DBSW(PL_Saisie_Estime2!AA248,Server&amp;Cube1,PL_Saisie_Estime2!$F$17,PL_Saisie_Estime2!$F$18,PL_Saisie_Estime2!$F$19,PL_Saisie_Estime2!$F$16,PL_Saisie_Estime2!$C$14,PL_Saisie_Estime2!$F$15,PL_Saisie_Estime2!$F$14,PL_Saisie_Estime2!$F$20,PL_Saisie_Estime2!AA$2,PL_Saisie_Estime2!AA$1,PL_Saisie_Estime2!$C248),"")</f>
        <v/>
      </c>
      <c r="AB248" s="192" t="str">
        <f ca="1">IF(Flag_Send_Data=1,_xll.DBSW(PL_Saisie_Estime2!AB248,Server&amp;Cube1,PL_Saisie_Estime2!$F$17,PL_Saisie_Estime2!$F$18,PL_Saisie_Estime2!$F$19,PL_Saisie_Estime2!$F$16,PL_Saisie_Estime2!$C$14,PL_Saisie_Estime2!$F$15,PL_Saisie_Estime2!$F$14,PL_Saisie_Estime2!$F$20,PL_Saisie_Estime2!AB$2,PL_Saisie_Estime2!AB$1,PL_Saisie_Estime2!$C248),"")</f>
        <v/>
      </c>
      <c r="AC248" s="192" t="str">
        <f ca="1">IF(Flag_Send_Data=1,_xll.DBSW(PL_Saisie_Estime2!AC248,Server&amp;Cube1,PL_Saisie_Estime2!$F$17,PL_Saisie_Estime2!$F$18,PL_Saisie_Estime2!$F$19,PL_Saisie_Estime2!$F$16,PL_Saisie_Estime2!$C$14,PL_Saisie_Estime2!$F$15,PL_Saisie_Estime2!$F$14,PL_Saisie_Estime2!$F$20,PL_Saisie_Estime2!AC$2,PL_Saisie_Estime2!AC$1,PL_Saisie_Estime2!$C248),"")</f>
        <v/>
      </c>
      <c r="AD248" s="192" t="str">
        <f ca="1">IF(Flag_Send_Data=1,_xll.DBSW(PL_Saisie_Estime2!AD248,Server&amp;Cube1,PL_Saisie_Estime2!$F$17,PL_Saisie_Estime2!$F$18,PL_Saisie_Estime2!$F$19,PL_Saisie_Estime2!$F$16,PL_Saisie_Estime2!$C$14,PL_Saisie_Estime2!$F$15,PL_Saisie_Estime2!$F$14,PL_Saisie_Estime2!$F$20,PL_Saisie_Estime2!AD$2,PL_Saisie_Estime2!AD$1,PL_Saisie_Estime2!$C248),"")</f>
        <v/>
      </c>
      <c r="AE248" s="192" t="str">
        <f ca="1">IF(Flag_Send_Data=1,_xll.DBSW(PL_Saisie_Estime2!AE248,Server&amp;Cube1,PL_Saisie_Estime2!$F$17,PL_Saisie_Estime2!$F$18,PL_Saisie_Estime2!$F$19,PL_Saisie_Estime2!$F$16,PL_Saisie_Estime2!$C$14,PL_Saisie_Estime2!$F$15,PL_Saisie_Estime2!$F$14,PL_Saisie_Estime2!$F$20,PL_Saisie_Estime2!AE$2,PL_Saisie_Estime2!AE$1,PL_Saisie_Estime2!$C248),"")</f>
        <v/>
      </c>
      <c r="AF248" s="204"/>
      <c r="AG248" s="53"/>
      <c r="AH248" s="53"/>
      <c r="AI248" s="53"/>
      <c r="AJ248" s="53"/>
      <c r="AK248" s="53"/>
      <c r="AL248" s="53"/>
      <c r="AM248" s="53"/>
      <c r="AN248" s="53"/>
      <c r="AO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:53" s="9" customFormat="1" ht="24" customHeight="1" x14ac:dyDescent="0.35">
      <c r="A249" s="181"/>
      <c r="B249" s="163"/>
      <c r="C249" s="158"/>
      <c r="E249" s="270"/>
      <c r="F249" s="270"/>
      <c r="G249" s="270"/>
      <c r="H249" s="40"/>
      <c r="I249" s="130"/>
      <c r="J249" s="130"/>
      <c r="K249" s="130"/>
      <c r="L249" s="130"/>
      <c r="M249" s="130"/>
      <c r="N249" s="126"/>
      <c r="O249" s="204"/>
      <c r="P249" s="126"/>
      <c r="Q249" s="124"/>
      <c r="R249" s="192"/>
      <c r="S249" s="126"/>
      <c r="T249" s="200"/>
      <c r="U249" s="200"/>
      <c r="V249" s="200"/>
      <c r="W249" s="200"/>
      <c r="X249" s="200"/>
      <c r="Y249" s="200"/>
      <c r="Z249" s="192" t="str">
        <f ca="1">IF(Flag_Send_Data=1,_xll.DBSW(PL_Saisie_Estime2!Z249,Server&amp;Cube1,PL_Saisie_Estime2!$F$17,PL_Saisie_Estime2!$F$18,PL_Saisie_Estime2!$F$19,PL_Saisie_Estime2!$F$16,PL_Saisie_Estime2!$C$14,PL_Saisie_Estime2!$F$15,PL_Saisie_Estime2!$F$14,PL_Saisie_Estime2!$F$20,PL_Saisie_Estime2!Z$2,PL_Saisie_Estime2!Z$1,PL_Saisie_Estime2!$C249),"")</f>
        <v/>
      </c>
      <c r="AA249" s="192" t="str">
        <f ca="1">IF(Flag_Send_Data=1,_xll.DBSW(PL_Saisie_Estime2!AA249,Server&amp;Cube1,PL_Saisie_Estime2!$F$17,PL_Saisie_Estime2!$F$18,PL_Saisie_Estime2!$F$19,PL_Saisie_Estime2!$F$16,PL_Saisie_Estime2!$C$14,PL_Saisie_Estime2!$F$15,PL_Saisie_Estime2!$F$14,PL_Saisie_Estime2!$F$20,PL_Saisie_Estime2!AA$2,PL_Saisie_Estime2!AA$1,PL_Saisie_Estime2!$C249),"")</f>
        <v/>
      </c>
      <c r="AB249" s="192" t="str">
        <f ca="1">IF(Flag_Send_Data=1,_xll.DBSW(PL_Saisie_Estime2!AB249,Server&amp;Cube1,PL_Saisie_Estime2!$F$17,PL_Saisie_Estime2!$F$18,PL_Saisie_Estime2!$F$19,PL_Saisie_Estime2!$F$16,PL_Saisie_Estime2!$C$14,PL_Saisie_Estime2!$F$15,PL_Saisie_Estime2!$F$14,PL_Saisie_Estime2!$F$20,PL_Saisie_Estime2!AB$2,PL_Saisie_Estime2!AB$1,PL_Saisie_Estime2!$C249),"")</f>
        <v/>
      </c>
      <c r="AC249" s="192" t="str">
        <f ca="1">IF(Flag_Send_Data=1,_xll.DBSW(PL_Saisie_Estime2!AC249,Server&amp;Cube1,PL_Saisie_Estime2!$F$17,PL_Saisie_Estime2!$F$18,PL_Saisie_Estime2!$F$19,PL_Saisie_Estime2!$F$16,PL_Saisie_Estime2!$C$14,PL_Saisie_Estime2!$F$15,PL_Saisie_Estime2!$F$14,PL_Saisie_Estime2!$F$20,PL_Saisie_Estime2!AC$2,PL_Saisie_Estime2!AC$1,PL_Saisie_Estime2!$C249),"")</f>
        <v/>
      </c>
      <c r="AD249" s="192" t="str">
        <f ca="1">IF(Flag_Send_Data=1,_xll.DBSW(PL_Saisie_Estime2!AD249,Server&amp;Cube1,PL_Saisie_Estime2!$F$17,PL_Saisie_Estime2!$F$18,PL_Saisie_Estime2!$F$19,PL_Saisie_Estime2!$F$16,PL_Saisie_Estime2!$C$14,PL_Saisie_Estime2!$F$15,PL_Saisie_Estime2!$F$14,PL_Saisie_Estime2!$F$20,PL_Saisie_Estime2!AD$2,PL_Saisie_Estime2!AD$1,PL_Saisie_Estime2!$C249),"")</f>
        <v/>
      </c>
      <c r="AE249" s="192" t="str">
        <f ca="1">IF(Flag_Send_Data=1,_xll.DBSW(PL_Saisie_Estime2!AE249,Server&amp;Cube1,PL_Saisie_Estime2!$F$17,PL_Saisie_Estime2!$F$18,PL_Saisie_Estime2!$F$19,PL_Saisie_Estime2!$F$16,PL_Saisie_Estime2!$C$14,PL_Saisie_Estime2!$F$15,PL_Saisie_Estime2!$F$14,PL_Saisie_Estime2!$F$20,PL_Saisie_Estime2!AE$2,PL_Saisie_Estime2!AE$1,PL_Saisie_Estime2!$C249),"")</f>
        <v/>
      </c>
      <c r="AF249" s="204"/>
      <c r="AG249" s="53"/>
      <c r="AH249" s="53"/>
      <c r="AI249" s="53"/>
      <c r="AJ249" s="53"/>
      <c r="AK249" s="53"/>
      <c r="AL249" s="53"/>
      <c r="AM249" s="53"/>
      <c r="AN249" s="53"/>
      <c r="AO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:53" s="9" customFormat="1" ht="24" customHeight="1" x14ac:dyDescent="0.35">
      <c r="A250" s="181"/>
      <c r="B250" s="163"/>
      <c r="C250" s="158"/>
      <c r="E250" s="270"/>
      <c r="F250" s="270"/>
      <c r="G250" s="270"/>
      <c r="H250" s="40"/>
      <c r="I250" s="130"/>
      <c r="J250" s="130"/>
      <c r="K250" s="130"/>
      <c r="L250" s="130"/>
      <c r="M250" s="130"/>
      <c r="N250" s="126"/>
      <c r="O250" s="204"/>
      <c r="P250" s="126"/>
      <c r="Q250" s="124"/>
      <c r="R250" s="192"/>
      <c r="S250" s="126"/>
      <c r="T250" s="200"/>
      <c r="U250" s="200"/>
      <c r="V250" s="200"/>
      <c r="W250" s="200"/>
      <c r="X250" s="200"/>
      <c r="Y250" s="200"/>
      <c r="Z250" s="192" t="str">
        <f ca="1">IF(Flag_Send_Data=1,_xll.DBSW(PL_Saisie_Estime2!Z250,Server&amp;Cube1,PL_Saisie_Estime2!$F$17,PL_Saisie_Estime2!$F$18,PL_Saisie_Estime2!$F$19,PL_Saisie_Estime2!$F$16,PL_Saisie_Estime2!$C$14,PL_Saisie_Estime2!$F$15,PL_Saisie_Estime2!$F$14,PL_Saisie_Estime2!$F$20,PL_Saisie_Estime2!Z$2,PL_Saisie_Estime2!Z$1,PL_Saisie_Estime2!$C250),"")</f>
        <v/>
      </c>
      <c r="AA250" s="192" t="str">
        <f ca="1">IF(Flag_Send_Data=1,_xll.DBSW(PL_Saisie_Estime2!AA250,Server&amp;Cube1,PL_Saisie_Estime2!$F$17,PL_Saisie_Estime2!$F$18,PL_Saisie_Estime2!$F$19,PL_Saisie_Estime2!$F$16,PL_Saisie_Estime2!$C$14,PL_Saisie_Estime2!$F$15,PL_Saisie_Estime2!$F$14,PL_Saisie_Estime2!$F$20,PL_Saisie_Estime2!AA$2,PL_Saisie_Estime2!AA$1,PL_Saisie_Estime2!$C250),"")</f>
        <v/>
      </c>
      <c r="AB250" s="192" t="str">
        <f ca="1">IF(Flag_Send_Data=1,_xll.DBSW(PL_Saisie_Estime2!AB250,Server&amp;Cube1,PL_Saisie_Estime2!$F$17,PL_Saisie_Estime2!$F$18,PL_Saisie_Estime2!$F$19,PL_Saisie_Estime2!$F$16,PL_Saisie_Estime2!$C$14,PL_Saisie_Estime2!$F$15,PL_Saisie_Estime2!$F$14,PL_Saisie_Estime2!$F$20,PL_Saisie_Estime2!AB$2,PL_Saisie_Estime2!AB$1,PL_Saisie_Estime2!$C250),"")</f>
        <v/>
      </c>
      <c r="AC250" s="192" t="str">
        <f ca="1">IF(Flag_Send_Data=1,_xll.DBSW(PL_Saisie_Estime2!AC250,Server&amp;Cube1,PL_Saisie_Estime2!$F$17,PL_Saisie_Estime2!$F$18,PL_Saisie_Estime2!$F$19,PL_Saisie_Estime2!$F$16,PL_Saisie_Estime2!$C$14,PL_Saisie_Estime2!$F$15,PL_Saisie_Estime2!$F$14,PL_Saisie_Estime2!$F$20,PL_Saisie_Estime2!AC$2,PL_Saisie_Estime2!AC$1,PL_Saisie_Estime2!$C250),"")</f>
        <v/>
      </c>
      <c r="AD250" s="192" t="str">
        <f ca="1">IF(Flag_Send_Data=1,_xll.DBSW(PL_Saisie_Estime2!AD250,Server&amp;Cube1,PL_Saisie_Estime2!$F$17,PL_Saisie_Estime2!$F$18,PL_Saisie_Estime2!$F$19,PL_Saisie_Estime2!$F$16,PL_Saisie_Estime2!$C$14,PL_Saisie_Estime2!$F$15,PL_Saisie_Estime2!$F$14,PL_Saisie_Estime2!$F$20,PL_Saisie_Estime2!AD$2,PL_Saisie_Estime2!AD$1,PL_Saisie_Estime2!$C250),"")</f>
        <v/>
      </c>
      <c r="AE250" s="192" t="str">
        <f ca="1">IF(Flag_Send_Data=1,_xll.DBSW(PL_Saisie_Estime2!AE250,Server&amp;Cube1,PL_Saisie_Estime2!$F$17,PL_Saisie_Estime2!$F$18,PL_Saisie_Estime2!$F$19,PL_Saisie_Estime2!$F$16,PL_Saisie_Estime2!$C$14,PL_Saisie_Estime2!$F$15,PL_Saisie_Estime2!$F$14,PL_Saisie_Estime2!$F$20,PL_Saisie_Estime2!AE$2,PL_Saisie_Estime2!AE$1,PL_Saisie_Estime2!$C250),"")</f>
        <v/>
      </c>
      <c r="AF250" s="204"/>
      <c r="AG250" s="53"/>
      <c r="AH250" s="53"/>
      <c r="AI250" s="53"/>
      <c r="AJ250" s="53"/>
      <c r="AK250" s="53"/>
      <c r="AL250" s="53"/>
      <c r="AM250" s="53"/>
      <c r="AN250" s="53"/>
      <c r="AO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:53" s="9" customFormat="1" ht="24" customHeight="1" x14ac:dyDescent="0.35">
      <c r="A251" s="181"/>
      <c r="B251" s="163"/>
      <c r="C251" s="117"/>
      <c r="E251" s="272"/>
      <c r="F251" s="272"/>
      <c r="G251" s="272"/>
      <c r="H251" s="40"/>
      <c r="I251" s="130"/>
      <c r="J251" s="130"/>
      <c r="K251" s="130"/>
      <c r="L251" s="130"/>
      <c r="M251" s="130"/>
      <c r="N251" s="126"/>
      <c r="O251" s="126"/>
      <c r="P251" s="126"/>
      <c r="Q251" s="124"/>
      <c r="R251" s="126"/>
      <c r="S251" s="126"/>
      <c r="T251" s="203"/>
      <c r="U251" s="203"/>
      <c r="V251" s="203"/>
      <c r="W251" s="203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53"/>
      <c r="AH251" s="53"/>
      <c r="AI251" s="53"/>
      <c r="AJ251" s="53"/>
      <c r="AK251" s="53"/>
      <c r="AL251" s="53"/>
      <c r="AM251" s="53"/>
      <c r="AN251" s="53"/>
      <c r="AO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:53" s="9" customFormat="1" ht="24" customHeight="1" x14ac:dyDescent="0.35">
      <c r="A252" s="181"/>
      <c r="B252" s="163"/>
      <c r="C252" s="158"/>
      <c r="E252" s="270"/>
      <c r="F252" s="270"/>
      <c r="G252" s="270"/>
      <c r="H252" s="40"/>
      <c r="I252" s="130"/>
      <c r="J252" s="130"/>
      <c r="K252" s="130"/>
      <c r="L252" s="130"/>
      <c r="M252" s="130"/>
      <c r="N252" s="126"/>
      <c r="O252" s="204"/>
      <c r="P252" s="126"/>
      <c r="Q252" s="124"/>
      <c r="R252" s="192"/>
      <c r="S252" s="126"/>
      <c r="T252" s="200"/>
      <c r="U252" s="200"/>
      <c r="V252" s="200"/>
      <c r="W252" s="200"/>
      <c r="X252" s="200"/>
      <c r="Y252" s="200"/>
      <c r="Z252" s="192" t="str">
        <f ca="1">IF(Flag_Send_Data=1,_xll.DBSW(PL_Saisie_Estime2!Z252,Server&amp;Cube1,PL_Saisie_Estime2!$F$17,PL_Saisie_Estime2!$F$18,PL_Saisie_Estime2!$F$19,PL_Saisie_Estime2!$F$16,PL_Saisie_Estime2!$C$14,PL_Saisie_Estime2!$F$15,PL_Saisie_Estime2!$F$14,PL_Saisie_Estime2!$F$20,PL_Saisie_Estime2!Z$2,PL_Saisie_Estime2!Z$1,PL_Saisie_Estime2!$C252),"")</f>
        <v/>
      </c>
      <c r="AA252" s="192" t="str">
        <f ca="1">IF(Flag_Send_Data=1,_xll.DBSW(PL_Saisie_Estime2!AA252,Server&amp;Cube1,PL_Saisie_Estime2!$F$17,PL_Saisie_Estime2!$F$18,PL_Saisie_Estime2!$F$19,PL_Saisie_Estime2!$F$16,PL_Saisie_Estime2!$C$14,PL_Saisie_Estime2!$F$15,PL_Saisie_Estime2!$F$14,PL_Saisie_Estime2!$F$20,PL_Saisie_Estime2!AA$2,PL_Saisie_Estime2!AA$1,PL_Saisie_Estime2!$C252),"")</f>
        <v/>
      </c>
      <c r="AB252" s="192" t="str">
        <f ca="1">IF(Flag_Send_Data=1,_xll.DBSW(PL_Saisie_Estime2!AB252,Server&amp;Cube1,PL_Saisie_Estime2!$F$17,PL_Saisie_Estime2!$F$18,PL_Saisie_Estime2!$F$19,PL_Saisie_Estime2!$F$16,PL_Saisie_Estime2!$C$14,PL_Saisie_Estime2!$F$15,PL_Saisie_Estime2!$F$14,PL_Saisie_Estime2!$F$20,PL_Saisie_Estime2!AB$2,PL_Saisie_Estime2!AB$1,PL_Saisie_Estime2!$C252),"")</f>
        <v/>
      </c>
      <c r="AC252" s="192" t="str">
        <f ca="1">IF(Flag_Send_Data=1,_xll.DBSW(PL_Saisie_Estime2!AC252,Server&amp;Cube1,PL_Saisie_Estime2!$F$17,PL_Saisie_Estime2!$F$18,PL_Saisie_Estime2!$F$19,PL_Saisie_Estime2!$F$16,PL_Saisie_Estime2!$C$14,PL_Saisie_Estime2!$F$15,PL_Saisie_Estime2!$F$14,PL_Saisie_Estime2!$F$20,PL_Saisie_Estime2!AC$2,PL_Saisie_Estime2!AC$1,PL_Saisie_Estime2!$C252),"")</f>
        <v/>
      </c>
      <c r="AD252" s="192" t="str">
        <f ca="1">IF(Flag_Send_Data=1,_xll.DBSW(PL_Saisie_Estime2!AD252,Server&amp;Cube1,PL_Saisie_Estime2!$F$17,PL_Saisie_Estime2!$F$18,PL_Saisie_Estime2!$F$19,PL_Saisie_Estime2!$F$16,PL_Saisie_Estime2!$C$14,PL_Saisie_Estime2!$F$15,PL_Saisie_Estime2!$F$14,PL_Saisie_Estime2!$F$20,PL_Saisie_Estime2!AD$2,PL_Saisie_Estime2!AD$1,PL_Saisie_Estime2!$C252),"")</f>
        <v/>
      </c>
      <c r="AE252" s="192" t="str">
        <f ca="1">IF(Flag_Send_Data=1,_xll.DBSW(PL_Saisie_Estime2!AE252,Server&amp;Cube1,PL_Saisie_Estime2!$F$17,PL_Saisie_Estime2!$F$18,PL_Saisie_Estime2!$F$19,PL_Saisie_Estime2!$F$16,PL_Saisie_Estime2!$C$14,PL_Saisie_Estime2!$F$15,PL_Saisie_Estime2!$F$14,PL_Saisie_Estime2!$F$20,PL_Saisie_Estime2!AE$2,PL_Saisie_Estime2!AE$1,PL_Saisie_Estime2!$C252),"")</f>
        <v/>
      </c>
      <c r="AF252" s="204"/>
      <c r="AG252" s="53"/>
      <c r="AH252" s="53"/>
      <c r="AI252" s="53"/>
      <c r="AJ252" s="53"/>
      <c r="AK252" s="53"/>
      <c r="AL252" s="53"/>
      <c r="AM252" s="53"/>
      <c r="AN252" s="53"/>
      <c r="AO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:53" s="9" customFormat="1" ht="24" customHeight="1" x14ac:dyDescent="0.35">
      <c r="A253" s="181"/>
      <c r="B253" s="163"/>
      <c r="C253" s="158"/>
      <c r="E253" s="270"/>
      <c r="F253" s="270"/>
      <c r="G253" s="270"/>
      <c r="H253" s="40"/>
      <c r="I253" s="130"/>
      <c r="J253" s="130"/>
      <c r="K253" s="130"/>
      <c r="L253" s="130"/>
      <c r="M253" s="130"/>
      <c r="N253" s="126"/>
      <c r="O253" s="204"/>
      <c r="P253" s="126"/>
      <c r="Q253" s="124"/>
      <c r="R253" s="192"/>
      <c r="S253" s="126"/>
      <c r="T253" s="200"/>
      <c r="U253" s="200"/>
      <c r="V253" s="200"/>
      <c r="W253" s="200"/>
      <c r="X253" s="200"/>
      <c r="Y253" s="200"/>
      <c r="Z253" s="192" t="str">
        <f ca="1">IF(Flag_Send_Data=1,_xll.DBSW(PL_Saisie_Estime2!Z253,Server&amp;Cube1,PL_Saisie_Estime2!$F$17,PL_Saisie_Estime2!$F$18,PL_Saisie_Estime2!$F$19,PL_Saisie_Estime2!$F$16,PL_Saisie_Estime2!$C$14,PL_Saisie_Estime2!$F$15,PL_Saisie_Estime2!$F$14,PL_Saisie_Estime2!$F$20,PL_Saisie_Estime2!Z$2,PL_Saisie_Estime2!Z$1,PL_Saisie_Estime2!$C253),"")</f>
        <v/>
      </c>
      <c r="AA253" s="192" t="str">
        <f ca="1">IF(Flag_Send_Data=1,_xll.DBSW(PL_Saisie_Estime2!AA253,Server&amp;Cube1,PL_Saisie_Estime2!$F$17,PL_Saisie_Estime2!$F$18,PL_Saisie_Estime2!$F$19,PL_Saisie_Estime2!$F$16,PL_Saisie_Estime2!$C$14,PL_Saisie_Estime2!$F$15,PL_Saisie_Estime2!$F$14,PL_Saisie_Estime2!$F$20,PL_Saisie_Estime2!AA$2,PL_Saisie_Estime2!AA$1,PL_Saisie_Estime2!$C253),"")</f>
        <v/>
      </c>
      <c r="AB253" s="192" t="str">
        <f ca="1">IF(Flag_Send_Data=1,_xll.DBSW(PL_Saisie_Estime2!AB253,Server&amp;Cube1,PL_Saisie_Estime2!$F$17,PL_Saisie_Estime2!$F$18,PL_Saisie_Estime2!$F$19,PL_Saisie_Estime2!$F$16,PL_Saisie_Estime2!$C$14,PL_Saisie_Estime2!$F$15,PL_Saisie_Estime2!$F$14,PL_Saisie_Estime2!$F$20,PL_Saisie_Estime2!AB$2,PL_Saisie_Estime2!AB$1,PL_Saisie_Estime2!$C253),"")</f>
        <v/>
      </c>
      <c r="AC253" s="192" t="str">
        <f ca="1">IF(Flag_Send_Data=1,_xll.DBSW(PL_Saisie_Estime2!AC253,Server&amp;Cube1,PL_Saisie_Estime2!$F$17,PL_Saisie_Estime2!$F$18,PL_Saisie_Estime2!$F$19,PL_Saisie_Estime2!$F$16,PL_Saisie_Estime2!$C$14,PL_Saisie_Estime2!$F$15,PL_Saisie_Estime2!$F$14,PL_Saisie_Estime2!$F$20,PL_Saisie_Estime2!AC$2,PL_Saisie_Estime2!AC$1,PL_Saisie_Estime2!$C253),"")</f>
        <v/>
      </c>
      <c r="AD253" s="192" t="str">
        <f ca="1">IF(Flag_Send_Data=1,_xll.DBSW(PL_Saisie_Estime2!AD253,Server&amp;Cube1,PL_Saisie_Estime2!$F$17,PL_Saisie_Estime2!$F$18,PL_Saisie_Estime2!$F$19,PL_Saisie_Estime2!$F$16,PL_Saisie_Estime2!$C$14,PL_Saisie_Estime2!$F$15,PL_Saisie_Estime2!$F$14,PL_Saisie_Estime2!$F$20,PL_Saisie_Estime2!AD$2,PL_Saisie_Estime2!AD$1,PL_Saisie_Estime2!$C253),"")</f>
        <v/>
      </c>
      <c r="AE253" s="192" t="str">
        <f ca="1">IF(Flag_Send_Data=1,_xll.DBSW(PL_Saisie_Estime2!AE253,Server&amp;Cube1,PL_Saisie_Estime2!$F$17,PL_Saisie_Estime2!$F$18,PL_Saisie_Estime2!$F$19,PL_Saisie_Estime2!$F$16,PL_Saisie_Estime2!$C$14,PL_Saisie_Estime2!$F$15,PL_Saisie_Estime2!$F$14,PL_Saisie_Estime2!$F$20,PL_Saisie_Estime2!AE$2,PL_Saisie_Estime2!AE$1,PL_Saisie_Estime2!$C253),"")</f>
        <v/>
      </c>
      <c r="AF253" s="204"/>
      <c r="AG253" s="53"/>
      <c r="AH253" s="53"/>
      <c r="AI253" s="53"/>
      <c r="AJ253" s="53"/>
      <c r="AK253" s="53"/>
      <c r="AL253" s="53"/>
      <c r="AM253" s="53"/>
      <c r="AN253" s="53"/>
      <c r="AO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:53" s="9" customFormat="1" ht="24" customHeight="1" x14ac:dyDescent="0.35">
      <c r="A254" s="181"/>
      <c r="B254" s="163"/>
      <c r="C254" s="158"/>
      <c r="E254" s="270"/>
      <c r="F254" s="270"/>
      <c r="G254" s="270"/>
      <c r="H254" s="40"/>
      <c r="I254" s="130"/>
      <c r="J254" s="130"/>
      <c r="K254" s="130"/>
      <c r="L254" s="130"/>
      <c r="M254" s="130"/>
      <c r="N254" s="126"/>
      <c r="O254" s="204"/>
      <c r="P254" s="126"/>
      <c r="Q254" s="124"/>
      <c r="R254" s="192"/>
      <c r="S254" s="126"/>
      <c r="T254" s="200"/>
      <c r="U254" s="200"/>
      <c r="V254" s="200"/>
      <c r="W254" s="200"/>
      <c r="X254" s="200"/>
      <c r="Y254" s="200"/>
      <c r="Z254" s="192" t="str">
        <f ca="1">IF(Flag_Send_Data=1,_xll.DBSW(PL_Saisie_Estime2!Z254,Server&amp;Cube1,PL_Saisie_Estime2!$F$17,PL_Saisie_Estime2!$F$18,PL_Saisie_Estime2!$F$19,PL_Saisie_Estime2!$F$16,PL_Saisie_Estime2!$C$14,PL_Saisie_Estime2!$F$15,PL_Saisie_Estime2!$F$14,PL_Saisie_Estime2!$F$20,PL_Saisie_Estime2!Z$2,PL_Saisie_Estime2!Z$1,PL_Saisie_Estime2!$C254),"")</f>
        <v/>
      </c>
      <c r="AA254" s="192" t="str">
        <f ca="1">IF(Flag_Send_Data=1,_xll.DBSW(PL_Saisie_Estime2!AA254,Server&amp;Cube1,PL_Saisie_Estime2!$F$17,PL_Saisie_Estime2!$F$18,PL_Saisie_Estime2!$F$19,PL_Saisie_Estime2!$F$16,PL_Saisie_Estime2!$C$14,PL_Saisie_Estime2!$F$15,PL_Saisie_Estime2!$F$14,PL_Saisie_Estime2!$F$20,PL_Saisie_Estime2!AA$2,PL_Saisie_Estime2!AA$1,PL_Saisie_Estime2!$C254),"")</f>
        <v/>
      </c>
      <c r="AB254" s="192" t="str">
        <f ca="1">IF(Flag_Send_Data=1,_xll.DBSW(PL_Saisie_Estime2!AB254,Server&amp;Cube1,PL_Saisie_Estime2!$F$17,PL_Saisie_Estime2!$F$18,PL_Saisie_Estime2!$F$19,PL_Saisie_Estime2!$F$16,PL_Saisie_Estime2!$C$14,PL_Saisie_Estime2!$F$15,PL_Saisie_Estime2!$F$14,PL_Saisie_Estime2!$F$20,PL_Saisie_Estime2!AB$2,PL_Saisie_Estime2!AB$1,PL_Saisie_Estime2!$C254),"")</f>
        <v/>
      </c>
      <c r="AC254" s="192" t="str">
        <f ca="1">IF(Flag_Send_Data=1,_xll.DBSW(PL_Saisie_Estime2!AC254,Server&amp;Cube1,PL_Saisie_Estime2!$F$17,PL_Saisie_Estime2!$F$18,PL_Saisie_Estime2!$F$19,PL_Saisie_Estime2!$F$16,PL_Saisie_Estime2!$C$14,PL_Saisie_Estime2!$F$15,PL_Saisie_Estime2!$F$14,PL_Saisie_Estime2!$F$20,PL_Saisie_Estime2!AC$2,PL_Saisie_Estime2!AC$1,PL_Saisie_Estime2!$C254),"")</f>
        <v/>
      </c>
      <c r="AD254" s="192" t="str">
        <f ca="1">IF(Flag_Send_Data=1,_xll.DBSW(PL_Saisie_Estime2!AD254,Server&amp;Cube1,PL_Saisie_Estime2!$F$17,PL_Saisie_Estime2!$F$18,PL_Saisie_Estime2!$F$19,PL_Saisie_Estime2!$F$16,PL_Saisie_Estime2!$C$14,PL_Saisie_Estime2!$F$15,PL_Saisie_Estime2!$F$14,PL_Saisie_Estime2!$F$20,PL_Saisie_Estime2!AD$2,PL_Saisie_Estime2!AD$1,PL_Saisie_Estime2!$C254),"")</f>
        <v/>
      </c>
      <c r="AE254" s="192" t="str">
        <f ca="1">IF(Flag_Send_Data=1,_xll.DBSW(PL_Saisie_Estime2!AE254,Server&amp;Cube1,PL_Saisie_Estime2!$F$17,PL_Saisie_Estime2!$F$18,PL_Saisie_Estime2!$F$19,PL_Saisie_Estime2!$F$16,PL_Saisie_Estime2!$C$14,PL_Saisie_Estime2!$F$15,PL_Saisie_Estime2!$F$14,PL_Saisie_Estime2!$F$20,PL_Saisie_Estime2!AE$2,PL_Saisie_Estime2!AE$1,PL_Saisie_Estime2!$C254),"")</f>
        <v/>
      </c>
      <c r="AF254" s="204"/>
      <c r="AG254" s="53"/>
      <c r="AH254" s="53"/>
      <c r="AI254" s="53"/>
      <c r="AJ254" s="53"/>
      <c r="AK254" s="53"/>
      <c r="AL254" s="53"/>
      <c r="AM254" s="53"/>
      <c r="AN254" s="53"/>
      <c r="AO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:53" s="9" customFormat="1" ht="24" customHeight="1" x14ac:dyDescent="0.35">
      <c r="A255" s="181"/>
      <c r="B255" s="163"/>
      <c r="C255" s="158"/>
      <c r="E255" s="270"/>
      <c r="F255" s="270"/>
      <c r="G255" s="270"/>
      <c r="H255" s="40"/>
      <c r="I255" s="130"/>
      <c r="J255" s="130"/>
      <c r="K255" s="130"/>
      <c r="L255" s="130"/>
      <c r="M255" s="130"/>
      <c r="N255" s="126"/>
      <c r="O255" s="204"/>
      <c r="P255" s="126"/>
      <c r="Q255" s="124"/>
      <c r="R255" s="192"/>
      <c r="S255" s="126"/>
      <c r="T255" s="200"/>
      <c r="U255" s="200"/>
      <c r="V255" s="200"/>
      <c r="W255" s="200"/>
      <c r="X255" s="200"/>
      <c r="Y255" s="200"/>
      <c r="Z255" s="192" t="str">
        <f ca="1">IF(Flag_Send_Data=1,_xll.DBSW(PL_Saisie_Estime2!Z255,Server&amp;Cube1,PL_Saisie_Estime2!$F$17,PL_Saisie_Estime2!$F$18,PL_Saisie_Estime2!$F$19,PL_Saisie_Estime2!$F$16,PL_Saisie_Estime2!$C$14,PL_Saisie_Estime2!$F$15,PL_Saisie_Estime2!$F$14,PL_Saisie_Estime2!$F$20,PL_Saisie_Estime2!Z$2,PL_Saisie_Estime2!Z$1,PL_Saisie_Estime2!$C255),"")</f>
        <v/>
      </c>
      <c r="AA255" s="192" t="str">
        <f ca="1">IF(Flag_Send_Data=1,_xll.DBSW(PL_Saisie_Estime2!AA255,Server&amp;Cube1,PL_Saisie_Estime2!$F$17,PL_Saisie_Estime2!$F$18,PL_Saisie_Estime2!$F$19,PL_Saisie_Estime2!$F$16,PL_Saisie_Estime2!$C$14,PL_Saisie_Estime2!$F$15,PL_Saisie_Estime2!$F$14,PL_Saisie_Estime2!$F$20,PL_Saisie_Estime2!AA$2,PL_Saisie_Estime2!AA$1,PL_Saisie_Estime2!$C255),"")</f>
        <v/>
      </c>
      <c r="AB255" s="192" t="str">
        <f ca="1">IF(Flag_Send_Data=1,_xll.DBSW(PL_Saisie_Estime2!AB255,Server&amp;Cube1,PL_Saisie_Estime2!$F$17,PL_Saisie_Estime2!$F$18,PL_Saisie_Estime2!$F$19,PL_Saisie_Estime2!$F$16,PL_Saisie_Estime2!$C$14,PL_Saisie_Estime2!$F$15,PL_Saisie_Estime2!$F$14,PL_Saisie_Estime2!$F$20,PL_Saisie_Estime2!AB$2,PL_Saisie_Estime2!AB$1,PL_Saisie_Estime2!$C255),"")</f>
        <v/>
      </c>
      <c r="AC255" s="192" t="str">
        <f ca="1">IF(Flag_Send_Data=1,_xll.DBSW(PL_Saisie_Estime2!AC255,Server&amp;Cube1,PL_Saisie_Estime2!$F$17,PL_Saisie_Estime2!$F$18,PL_Saisie_Estime2!$F$19,PL_Saisie_Estime2!$F$16,PL_Saisie_Estime2!$C$14,PL_Saisie_Estime2!$F$15,PL_Saisie_Estime2!$F$14,PL_Saisie_Estime2!$F$20,PL_Saisie_Estime2!AC$2,PL_Saisie_Estime2!AC$1,PL_Saisie_Estime2!$C255),"")</f>
        <v/>
      </c>
      <c r="AD255" s="192" t="str">
        <f ca="1">IF(Flag_Send_Data=1,_xll.DBSW(PL_Saisie_Estime2!AD255,Server&amp;Cube1,PL_Saisie_Estime2!$F$17,PL_Saisie_Estime2!$F$18,PL_Saisie_Estime2!$F$19,PL_Saisie_Estime2!$F$16,PL_Saisie_Estime2!$C$14,PL_Saisie_Estime2!$F$15,PL_Saisie_Estime2!$F$14,PL_Saisie_Estime2!$F$20,PL_Saisie_Estime2!AD$2,PL_Saisie_Estime2!AD$1,PL_Saisie_Estime2!$C255),"")</f>
        <v/>
      </c>
      <c r="AE255" s="192" t="str">
        <f ca="1">IF(Flag_Send_Data=1,_xll.DBSW(PL_Saisie_Estime2!AE255,Server&amp;Cube1,PL_Saisie_Estime2!$F$17,PL_Saisie_Estime2!$F$18,PL_Saisie_Estime2!$F$19,PL_Saisie_Estime2!$F$16,PL_Saisie_Estime2!$C$14,PL_Saisie_Estime2!$F$15,PL_Saisie_Estime2!$F$14,PL_Saisie_Estime2!$F$20,PL_Saisie_Estime2!AE$2,PL_Saisie_Estime2!AE$1,PL_Saisie_Estime2!$C255),"")</f>
        <v/>
      </c>
      <c r="AF255" s="204"/>
      <c r="AG255" s="53"/>
      <c r="AH255" s="53"/>
      <c r="AI255" s="53"/>
      <c r="AJ255" s="53"/>
      <c r="AK255" s="53"/>
      <c r="AL255" s="53"/>
      <c r="AM255" s="53"/>
      <c r="AN255" s="53"/>
      <c r="AO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:53" s="9" customFormat="1" ht="24" customHeight="1" x14ac:dyDescent="0.35">
      <c r="A256" s="181"/>
      <c r="B256" s="163"/>
      <c r="C256" s="158"/>
      <c r="E256" s="270"/>
      <c r="F256" s="270"/>
      <c r="G256" s="270"/>
      <c r="H256" s="40"/>
      <c r="I256" s="130"/>
      <c r="J256" s="130"/>
      <c r="K256" s="130"/>
      <c r="L256" s="130"/>
      <c r="M256" s="130"/>
      <c r="N256" s="126"/>
      <c r="O256" s="204"/>
      <c r="P256" s="126"/>
      <c r="Q256" s="124"/>
      <c r="R256" s="192"/>
      <c r="S256" s="126"/>
      <c r="T256" s="200"/>
      <c r="U256" s="200"/>
      <c r="V256" s="200"/>
      <c r="W256" s="200"/>
      <c r="X256" s="200"/>
      <c r="Y256" s="200"/>
      <c r="Z256" s="192" t="str">
        <f ca="1">IF(Flag_Send_Data=1,_xll.DBSW(PL_Saisie_Estime2!Z256,Server&amp;Cube1,PL_Saisie_Estime2!$F$17,PL_Saisie_Estime2!$F$18,PL_Saisie_Estime2!$F$19,PL_Saisie_Estime2!$F$16,PL_Saisie_Estime2!$C$14,PL_Saisie_Estime2!$F$15,PL_Saisie_Estime2!$F$14,PL_Saisie_Estime2!$F$20,PL_Saisie_Estime2!Z$2,PL_Saisie_Estime2!Z$1,PL_Saisie_Estime2!$C256),"")</f>
        <v/>
      </c>
      <c r="AA256" s="192" t="str">
        <f ca="1">IF(Flag_Send_Data=1,_xll.DBSW(PL_Saisie_Estime2!AA256,Server&amp;Cube1,PL_Saisie_Estime2!$F$17,PL_Saisie_Estime2!$F$18,PL_Saisie_Estime2!$F$19,PL_Saisie_Estime2!$F$16,PL_Saisie_Estime2!$C$14,PL_Saisie_Estime2!$F$15,PL_Saisie_Estime2!$F$14,PL_Saisie_Estime2!$F$20,PL_Saisie_Estime2!AA$2,PL_Saisie_Estime2!AA$1,PL_Saisie_Estime2!$C256),"")</f>
        <v/>
      </c>
      <c r="AB256" s="192" t="str">
        <f ca="1">IF(Flag_Send_Data=1,_xll.DBSW(PL_Saisie_Estime2!AB256,Server&amp;Cube1,PL_Saisie_Estime2!$F$17,PL_Saisie_Estime2!$F$18,PL_Saisie_Estime2!$F$19,PL_Saisie_Estime2!$F$16,PL_Saisie_Estime2!$C$14,PL_Saisie_Estime2!$F$15,PL_Saisie_Estime2!$F$14,PL_Saisie_Estime2!$F$20,PL_Saisie_Estime2!AB$2,PL_Saisie_Estime2!AB$1,PL_Saisie_Estime2!$C256),"")</f>
        <v/>
      </c>
      <c r="AC256" s="192" t="str">
        <f ca="1">IF(Flag_Send_Data=1,_xll.DBSW(PL_Saisie_Estime2!AC256,Server&amp;Cube1,PL_Saisie_Estime2!$F$17,PL_Saisie_Estime2!$F$18,PL_Saisie_Estime2!$F$19,PL_Saisie_Estime2!$F$16,PL_Saisie_Estime2!$C$14,PL_Saisie_Estime2!$F$15,PL_Saisie_Estime2!$F$14,PL_Saisie_Estime2!$F$20,PL_Saisie_Estime2!AC$2,PL_Saisie_Estime2!AC$1,PL_Saisie_Estime2!$C256),"")</f>
        <v/>
      </c>
      <c r="AD256" s="192" t="str">
        <f ca="1">IF(Flag_Send_Data=1,_xll.DBSW(PL_Saisie_Estime2!AD256,Server&amp;Cube1,PL_Saisie_Estime2!$F$17,PL_Saisie_Estime2!$F$18,PL_Saisie_Estime2!$F$19,PL_Saisie_Estime2!$F$16,PL_Saisie_Estime2!$C$14,PL_Saisie_Estime2!$F$15,PL_Saisie_Estime2!$F$14,PL_Saisie_Estime2!$F$20,PL_Saisie_Estime2!AD$2,PL_Saisie_Estime2!AD$1,PL_Saisie_Estime2!$C256),"")</f>
        <v/>
      </c>
      <c r="AE256" s="192" t="str">
        <f ca="1">IF(Flag_Send_Data=1,_xll.DBSW(PL_Saisie_Estime2!AE256,Server&amp;Cube1,PL_Saisie_Estime2!$F$17,PL_Saisie_Estime2!$F$18,PL_Saisie_Estime2!$F$19,PL_Saisie_Estime2!$F$16,PL_Saisie_Estime2!$C$14,PL_Saisie_Estime2!$F$15,PL_Saisie_Estime2!$F$14,PL_Saisie_Estime2!$F$20,PL_Saisie_Estime2!AE$2,PL_Saisie_Estime2!AE$1,PL_Saisie_Estime2!$C256),"")</f>
        <v/>
      </c>
      <c r="AF256" s="204"/>
      <c r="AG256" s="53"/>
      <c r="AH256" s="53"/>
      <c r="AI256" s="53"/>
      <c r="AJ256" s="53"/>
      <c r="AK256" s="53"/>
      <c r="AL256" s="53"/>
      <c r="AM256" s="53"/>
      <c r="AN256" s="53"/>
      <c r="AO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:53" s="9" customFormat="1" ht="24" customHeight="1" x14ac:dyDescent="0.35">
      <c r="A257" s="181"/>
      <c r="B257" s="163"/>
      <c r="C257" s="158"/>
      <c r="E257" s="270"/>
      <c r="F257" s="270"/>
      <c r="G257" s="270"/>
      <c r="H257" s="40"/>
      <c r="I257" s="130"/>
      <c r="J257" s="130"/>
      <c r="K257" s="130"/>
      <c r="L257" s="130"/>
      <c r="M257" s="130"/>
      <c r="N257" s="126"/>
      <c r="O257" s="204"/>
      <c r="P257" s="126"/>
      <c r="Q257" s="124"/>
      <c r="R257" s="192"/>
      <c r="S257" s="126"/>
      <c r="T257" s="200"/>
      <c r="U257" s="200"/>
      <c r="V257" s="200"/>
      <c r="W257" s="200"/>
      <c r="X257" s="200"/>
      <c r="Y257" s="200"/>
      <c r="Z257" s="192" t="str">
        <f ca="1">IF(Flag_Send_Data=1,_xll.DBSW(PL_Saisie_Estime2!Z257,Server&amp;Cube1,PL_Saisie_Estime2!$F$17,PL_Saisie_Estime2!$F$18,PL_Saisie_Estime2!$F$19,PL_Saisie_Estime2!$F$16,PL_Saisie_Estime2!$C$14,PL_Saisie_Estime2!$F$15,PL_Saisie_Estime2!$F$14,PL_Saisie_Estime2!$F$20,PL_Saisie_Estime2!Z$2,PL_Saisie_Estime2!Z$1,PL_Saisie_Estime2!$C257),"")</f>
        <v/>
      </c>
      <c r="AA257" s="192" t="str">
        <f ca="1">IF(Flag_Send_Data=1,_xll.DBSW(PL_Saisie_Estime2!AA257,Server&amp;Cube1,PL_Saisie_Estime2!$F$17,PL_Saisie_Estime2!$F$18,PL_Saisie_Estime2!$F$19,PL_Saisie_Estime2!$F$16,PL_Saisie_Estime2!$C$14,PL_Saisie_Estime2!$F$15,PL_Saisie_Estime2!$F$14,PL_Saisie_Estime2!$F$20,PL_Saisie_Estime2!AA$2,PL_Saisie_Estime2!AA$1,PL_Saisie_Estime2!$C257),"")</f>
        <v/>
      </c>
      <c r="AB257" s="192" t="str">
        <f ca="1">IF(Flag_Send_Data=1,_xll.DBSW(PL_Saisie_Estime2!AB257,Server&amp;Cube1,PL_Saisie_Estime2!$F$17,PL_Saisie_Estime2!$F$18,PL_Saisie_Estime2!$F$19,PL_Saisie_Estime2!$F$16,PL_Saisie_Estime2!$C$14,PL_Saisie_Estime2!$F$15,PL_Saisie_Estime2!$F$14,PL_Saisie_Estime2!$F$20,PL_Saisie_Estime2!AB$2,PL_Saisie_Estime2!AB$1,PL_Saisie_Estime2!$C257),"")</f>
        <v/>
      </c>
      <c r="AC257" s="192" t="str">
        <f ca="1">IF(Flag_Send_Data=1,_xll.DBSW(PL_Saisie_Estime2!AC257,Server&amp;Cube1,PL_Saisie_Estime2!$F$17,PL_Saisie_Estime2!$F$18,PL_Saisie_Estime2!$F$19,PL_Saisie_Estime2!$F$16,PL_Saisie_Estime2!$C$14,PL_Saisie_Estime2!$F$15,PL_Saisie_Estime2!$F$14,PL_Saisie_Estime2!$F$20,PL_Saisie_Estime2!AC$2,PL_Saisie_Estime2!AC$1,PL_Saisie_Estime2!$C257),"")</f>
        <v/>
      </c>
      <c r="AD257" s="192" t="str">
        <f ca="1">IF(Flag_Send_Data=1,_xll.DBSW(PL_Saisie_Estime2!AD257,Server&amp;Cube1,PL_Saisie_Estime2!$F$17,PL_Saisie_Estime2!$F$18,PL_Saisie_Estime2!$F$19,PL_Saisie_Estime2!$F$16,PL_Saisie_Estime2!$C$14,PL_Saisie_Estime2!$F$15,PL_Saisie_Estime2!$F$14,PL_Saisie_Estime2!$F$20,PL_Saisie_Estime2!AD$2,PL_Saisie_Estime2!AD$1,PL_Saisie_Estime2!$C257),"")</f>
        <v/>
      </c>
      <c r="AE257" s="192" t="str">
        <f ca="1">IF(Flag_Send_Data=1,_xll.DBSW(PL_Saisie_Estime2!AE257,Server&amp;Cube1,PL_Saisie_Estime2!$F$17,PL_Saisie_Estime2!$F$18,PL_Saisie_Estime2!$F$19,PL_Saisie_Estime2!$F$16,PL_Saisie_Estime2!$C$14,PL_Saisie_Estime2!$F$15,PL_Saisie_Estime2!$F$14,PL_Saisie_Estime2!$F$20,PL_Saisie_Estime2!AE$2,PL_Saisie_Estime2!AE$1,PL_Saisie_Estime2!$C257),"")</f>
        <v/>
      </c>
      <c r="AF257" s="204"/>
      <c r="AG257" s="53"/>
      <c r="AH257" s="53"/>
      <c r="AI257" s="53"/>
      <c r="AJ257" s="53"/>
      <c r="AK257" s="53"/>
      <c r="AL257" s="53"/>
      <c r="AM257" s="53"/>
      <c r="AN257" s="53"/>
      <c r="AO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:53" s="9" customFormat="1" ht="24" customHeight="1" x14ac:dyDescent="0.35">
      <c r="A258" s="181"/>
      <c r="B258" s="163"/>
      <c r="C258" s="158"/>
      <c r="E258" s="270"/>
      <c r="F258" s="270"/>
      <c r="G258" s="270"/>
      <c r="H258" s="40"/>
      <c r="I258" s="130"/>
      <c r="J258" s="130"/>
      <c r="K258" s="130"/>
      <c r="L258" s="130"/>
      <c r="M258" s="130"/>
      <c r="N258" s="126"/>
      <c r="O258" s="204"/>
      <c r="P258" s="126"/>
      <c r="Q258" s="124"/>
      <c r="R258" s="192"/>
      <c r="S258" s="126"/>
      <c r="T258" s="200"/>
      <c r="U258" s="200"/>
      <c r="V258" s="200"/>
      <c r="W258" s="200"/>
      <c r="X258" s="200"/>
      <c r="Y258" s="200"/>
      <c r="Z258" s="192" t="str">
        <f ca="1">IF(Flag_Send_Data=1,_xll.DBSW(PL_Saisie_Estime2!Z258,Server&amp;Cube1,PL_Saisie_Estime2!$F$17,PL_Saisie_Estime2!$F$18,PL_Saisie_Estime2!$F$19,PL_Saisie_Estime2!$F$16,PL_Saisie_Estime2!$C$14,PL_Saisie_Estime2!$F$15,PL_Saisie_Estime2!$F$14,PL_Saisie_Estime2!$F$20,PL_Saisie_Estime2!Z$2,PL_Saisie_Estime2!Z$1,PL_Saisie_Estime2!$C258),"")</f>
        <v/>
      </c>
      <c r="AA258" s="192" t="str">
        <f ca="1">IF(Flag_Send_Data=1,_xll.DBSW(PL_Saisie_Estime2!AA258,Server&amp;Cube1,PL_Saisie_Estime2!$F$17,PL_Saisie_Estime2!$F$18,PL_Saisie_Estime2!$F$19,PL_Saisie_Estime2!$F$16,PL_Saisie_Estime2!$C$14,PL_Saisie_Estime2!$F$15,PL_Saisie_Estime2!$F$14,PL_Saisie_Estime2!$F$20,PL_Saisie_Estime2!AA$2,PL_Saisie_Estime2!AA$1,PL_Saisie_Estime2!$C258),"")</f>
        <v/>
      </c>
      <c r="AB258" s="192" t="str">
        <f ca="1">IF(Flag_Send_Data=1,_xll.DBSW(PL_Saisie_Estime2!AB258,Server&amp;Cube1,PL_Saisie_Estime2!$F$17,PL_Saisie_Estime2!$F$18,PL_Saisie_Estime2!$F$19,PL_Saisie_Estime2!$F$16,PL_Saisie_Estime2!$C$14,PL_Saisie_Estime2!$F$15,PL_Saisie_Estime2!$F$14,PL_Saisie_Estime2!$F$20,PL_Saisie_Estime2!AB$2,PL_Saisie_Estime2!AB$1,PL_Saisie_Estime2!$C258),"")</f>
        <v/>
      </c>
      <c r="AC258" s="192" t="str">
        <f ca="1">IF(Flag_Send_Data=1,_xll.DBSW(PL_Saisie_Estime2!AC258,Server&amp;Cube1,PL_Saisie_Estime2!$F$17,PL_Saisie_Estime2!$F$18,PL_Saisie_Estime2!$F$19,PL_Saisie_Estime2!$F$16,PL_Saisie_Estime2!$C$14,PL_Saisie_Estime2!$F$15,PL_Saisie_Estime2!$F$14,PL_Saisie_Estime2!$F$20,PL_Saisie_Estime2!AC$2,PL_Saisie_Estime2!AC$1,PL_Saisie_Estime2!$C258),"")</f>
        <v/>
      </c>
      <c r="AD258" s="192" t="str">
        <f ca="1">IF(Flag_Send_Data=1,_xll.DBSW(PL_Saisie_Estime2!AD258,Server&amp;Cube1,PL_Saisie_Estime2!$F$17,PL_Saisie_Estime2!$F$18,PL_Saisie_Estime2!$F$19,PL_Saisie_Estime2!$F$16,PL_Saisie_Estime2!$C$14,PL_Saisie_Estime2!$F$15,PL_Saisie_Estime2!$F$14,PL_Saisie_Estime2!$F$20,PL_Saisie_Estime2!AD$2,PL_Saisie_Estime2!AD$1,PL_Saisie_Estime2!$C258),"")</f>
        <v/>
      </c>
      <c r="AE258" s="192" t="str">
        <f ca="1">IF(Flag_Send_Data=1,_xll.DBSW(PL_Saisie_Estime2!AE258,Server&amp;Cube1,PL_Saisie_Estime2!$F$17,PL_Saisie_Estime2!$F$18,PL_Saisie_Estime2!$F$19,PL_Saisie_Estime2!$F$16,PL_Saisie_Estime2!$C$14,PL_Saisie_Estime2!$F$15,PL_Saisie_Estime2!$F$14,PL_Saisie_Estime2!$F$20,PL_Saisie_Estime2!AE$2,PL_Saisie_Estime2!AE$1,PL_Saisie_Estime2!$C258),"")</f>
        <v/>
      </c>
      <c r="AF258" s="204"/>
      <c r="AG258" s="53"/>
      <c r="AH258" s="53"/>
      <c r="AI258" s="53"/>
      <c r="AJ258" s="53"/>
      <c r="AK258" s="53"/>
      <c r="AL258" s="53"/>
      <c r="AM258" s="53"/>
      <c r="AN258" s="53"/>
      <c r="AO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:53" s="9" customFormat="1" ht="24" customHeight="1" x14ac:dyDescent="0.35">
      <c r="A259" s="181"/>
      <c r="B259" s="163"/>
      <c r="C259" s="158"/>
      <c r="E259" s="270"/>
      <c r="F259" s="270"/>
      <c r="G259" s="270"/>
      <c r="H259" s="40"/>
      <c r="I259" s="130"/>
      <c r="J259" s="130"/>
      <c r="K259" s="130"/>
      <c r="L259" s="130"/>
      <c r="M259" s="130"/>
      <c r="N259" s="126"/>
      <c r="O259" s="204"/>
      <c r="P259" s="126"/>
      <c r="Q259" s="124"/>
      <c r="R259" s="192"/>
      <c r="S259" s="126"/>
      <c r="T259" s="200"/>
      <c r="U259" s="200"/>
      <c r="V259" s="200"/>
      <c r="W259" s="200"/>
      <c r="X259" s="200"/>
      <c r="Y259" s="200"/>
      <c r="Z259" s="192" t="str">
        <f ca="1">IF(Flag_Send_Data=1,_xll.DBSW(PL_Saisie_Estime2!Z259,Server&amp;Cube1,PL_Saisie_Estime2!$F$17,PL_Saisie_Estime2!$F$18,PL_Saisie_Estime2!$F$19,PL_Saisie_Estime2!$F$16,PL_Saisie_Estime2!$C$14,PL_Saisie_Estime2!$F$15,PL_Saisie_Estime2!$F$14,PL_Saisie_Estime2!$F$20,PL_Saisie_Estime2!Z$2,PL_Saisie_Estime2!Z$1,PL_Saisie_Estime2!$C259),"")</f>
        <v/>
      </c>
      <c r="AA259" s="192" t="str">
        <f ca="1">IF(Flag_Send_Data=1,_xll.DBSW(PL_Saisie_Estime2!AA259,Server&amp;Cube1,PL_Saisie_Estime2!$F$17,PL_Saisie_Estime2!$F$18,PL_Saisie_Estime2!$F$19,PL_Saisie_Estime2!$F$16,PL_Saisie_Estime2!$C$14,PL_Saisie_Estime2!$F$15,PL_Saisie_Estime2!$F$14,PL_Saisie_Estime2!$F$20,PL_Saisie_Estime2!AA$2,PL_Saisie_Estime2!AA$1,PL_Saisie_Estime2!$C259),"")</f>
        <v/>
      </c>
      <c r="AB259" s="192" t="str">
        <f ca="1">IF(Flag_Send_Data=1,_xll.DBSW(PL_Saisie_Estime2!AB259,Server&amp;Cube1,PL_Saisie_Estime2!$F$17,PL_Saisie_Estime2!$F$18,PL_Saisie_Estime2!$F$19,PL_Saisie_Estime2!$F$16,PL_Saisie_Estime2!$C$14,PL_Saisie_Estime2!$F$15,PL_Saisie_Estime2!$F$14,PL_Saisie_Estime2!$F$20,PL_Saisie_Estime2!AB$2,PL_Saisie_Estime2!AB$1,PL_Saisie_Estime2!$C259),"")</f>
        <v/>
      </c>
      <c r="AC259" s="192" t="str">
        <f ca="1">IF(Flag_Send_Data=1,_xll.DBSW(PL_Saisie_Estime2!AC259,Server&amp;Cube1,PL_Saisie_Estime2!$F$17,PL_Saisie_Estime2!$F$18,PL_Saisie_Estime2!$F$19,PL_Saisie_Estime2!$F$16,PL_Saisie_Estime2!$C$14,PL_Saisie_Estime2!$F$15,PL_Saisie_Estime2!$F$14,PL_Saisie_Estime2!$F$20,PL_Saisie_Estime2!AC$2,PL_Saisie_Estime2!AC$1,PL_Saisie_Estime2!$C259),"")</f>
        <v/>
      </c>
      <c r="AD259" s="192" t="str">
        <f ca="1">IF(Flag_Send_Data=1,_xll.DBSW(PL_Saisie_Estime2!AD259,Server&amp;Cube1,PL_Saisie_Estime2!$F$17,PL_Saisie_Estime2!$F$18,PL_Saisie_Estime2!$F$19,PL_Saisie_Estime2!$F$16,PL_Saisie_Estime2!$C$14,PL_Saisie_Estime2!$F$15,PL_Saisie_Estime2!$F$14,PL_Saisie_Estime2!$F$20,PL_Saisie_Estime2!AD$2,PL_Saisie_Estime2!AD$1,PL_Saisie_Estime2!$C259),"")</f>
        <v/>
      </c>
      <c r="AE259" s="192" t="str">
        <f ca="1">IF(Flag_Send_Data=1,_xll.DBSW(PL_Saisie_Estime2!AE259,Server&amp;Cube1,PL_Saisie_Estime2!$F$17,PL_Saisie_Estime2!$F$18,PL_Saisie_Estime2!$F$19,PL_Saisie_Estime2!$F$16,PL_Saisie_Estime2!$C$14,PL_Saisie_Estime2!$F$15,PL_Saisie_Estime2!$F$14,PL_Saisie_Estime2!$F$20,PL_Saisie_Estime2!AE$2,PL_Saisie_Estime2!AE$1,PL_Saisie_Estime2!$C259),"")</f>
        <v/>
      </c>
      <c r="AF259" s="204"/>
      <c r="AG259" s="53"/>
      <c r="AH259" s="53"/>
      <c r="AI259" s="53"/>
      <c r="AJ259" s="53"/>
      <c r="AK259" s="53"/>
      <c r="AL259" s="53"/>
      <c r="AM259" s="53"/>
      <c r="AN259" s="53"/>
      <c r="AO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:53" s="9" customFormat="1" ht="24" customHeight="1" x14ac:dyDescent="0.35">
      <c r="A260" s="181"/>
      <c r="B260" s="163"/>
      <c r="C260" s="158"/>
      <c r="E260" s="270"/>
      <c r="F260" s="270"/>
      <c r="G260" s="270"/>
      <c r="H260" s="40"/>
      <c r="I260" s="130"/>
      <c r="J260" s="130"/>
      <c r="K260" s="130"/>
      <c r="L260" s="130"/>
      <c r="M260" s="130"/>
      <c r="N260" s="126"/>
      <c r="O260" s="204"/>
      <c r="P260" s="126"/>
      <c r="Q260" s="124"/>
      <c r="R260" s="192"/>
      <c r="S260" s="126"/>
      <c r="T260" s="200"/>
      <c r="U260" s="200"/>
      <c r="V260" s="200"/>
      <c r="W260" s="200"/>
      <c r="X260" s="200"/>
      <c r="Y260" s="200"/>
      <c r="Z260" s="192" t="str">
        <f ca="1">IF(Flag_Send_Data=1,_xll.DBSW(PL_Saisie_Estime2!Z260,Server&amp;Cube1,PL_Saisie_Estime2!$F$17,PL_Saisie_Estime2!$F$18,PL_Saisie_Estime2!$F$19,PL_Saisie_Estime2!$F$16,PL_Saisie_Estime2!$C$14,PL_Saisie_Estime2!$F$15,PL_Saisie_Estime2!$F$14,PL_Saisie_Estime2!$F$20,PL_Saisie_Estime2!Z$2,PL_Saisie_Estime2!Z$1,PL_Saisie_Estime2!$C260),"")</f>
        <v/>
      </c>
      <c r="AA260" s="192" t="str">
        <f ca="1">IF(Flag_Send_Data=1,_xll.DBSW(PL_Saisie_Estime2!AA260,Server&amp;Cube1,PL_Saisie_Estime2!$F$17,PL_Saisie_Estime2!$F$18,PL_Saisie_Estime2!$F$19,PL_Saisie_Estime2!$F$16,PL_Saisie_Estime2!$C$14,PL_Saisie_Estime2!$F$15,PL_Saisie_Estime2!$F$14,PL_Saisie_Estime2!$F$20,PL_Saisie_Estime2!AA$2,PL_Saisie_Estime2!AA$1,PL_Saisie_Estime2!$C260),"")</f>
        <v/>
      </c>
      <c r="AB260" s="192" t="str">
        <f ca="1">IF(Flag_Send_Data=1,_xll.DBSW(PL_Saisie_Estime2!AB260,Server&amp;Cube1,PL_Saisie_Estime2!$F$17,PL_Saisie_Estime2!$F$18,PL_Saisie_Estime2!$F$19,PL_Saisie_Estime2!$F$16,PL_Saisie_Estime2!$C$14,PL_Saisie_Estime2!$F$15,PL_Saisie_Estime2!$F$14,PL_Saisie_Estime2!$F$20,PL_Saisie_Estime2!AB$2,PL_Saisie_Estime2!AB$1,PL_Saisie_Estime2!$C260),"")</f>
        <v/>
      </c>
      <c r="AC260" s="192" t="str">
        <f ca="1">IF(Flag_Send_Data=1,_xll.DBSW(PL_Saisie_Estime2!AC260,Server&amp;Cube1,PL_Saisie_Estime2!$F$17,PL_Saisie_Estime2!$F$18,PL_Saisie_Estime2!$F$19,PL_Saisie_Estime2!$F$16,PL_Saisie_Estime2!$C$14,PL_Saisie_Estime2!$F$15,PL_Saisie_Estime2!$F$14,PL_Saisie_Estime2!$F$20,PL_Saisie_Estime2!AC$2,PL_Saisie_Estime2!AC$1,PL_Saisie_Estime2!$C260),"")</f>
        <v/>
      </c>
      <c r="AD260" s="192" t="str">
        <f ca="1">IF(Flag_Send_Data=1,_xll.DBSW(PL_Saisie_Estime2!AD260,Server&amp;Cube1,PL_Saisie_Estime2!$F$17,PL_Saisie_Estime2!$F$18,PL_Saisie_Estime2!$F$19,PL_Saisie_Estime2!$F$16,PL_Saisie_Estime2!$C$14,PL_Saisie_Estime2!$F$15,PL_Saisie_Estime2!$F$14,PL_Saisie_Estime2!$F$20,PL_Saisie_Estime2!AD$2,PL_Saisie_Estime2!AD$1,PL_Saisie_Estime2!$C260),"")</f>
        <v/>
      </c>
      <c r="AE260" s="192" t="str">
        <f ca="1">IF(Flag_Send_Data=1,_xll.DBSW(PL_Saisie_Estime2!AE260,Server&amp;Cube1,PL_Saisie_Estime2!$F$17,PL_Saisie_Estime2!$F$18,PL_Saisie_Estime2!$F$19,PL_Saisie_Estime2!$F$16,PL_Saisie_Estime2!$C$14,PL_Saisie_Estime2!$F$15,PL_Saisie_Estime2!$F$14,PL_Saisie_Estime2!$F$20,PL_Saisie_Estime2!AE$2,PL_Saisie_Estime2!AE$1,PL_Saisie_Estime2!$C260),"")</f>
        <v/>
      </c>
      <c r="AF260" s="204"/>
      <c r="AG260" s="53"/>
      <c r="AH260" s="53"/>
      <c r="AI260" s="53"/>
      <c r="AJ260" s="53"/>
      <c r="AK260" s="53"/>
      <c r="AL260" s="53"/>
      <c r="AM260" s="53"/>
      <c r="AN260" s="53"/>
      <c r="AO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:53" s="9" customFormat="1" ht="24" customHeight="1" x14ac:dyDescent="0.35">
      <c r="A261" s="181"/>
      <c r="B261" s="163"/>
      <c r="C261" s="158"/>
      <c r="E261" s="270"/>
      <c r="F261" s="270"/>
      <c r="G261" s="270"/>
      <c r="H261" s="40"/>
      <c r="I261" s="130"/>
      <c r="J261" s="130"/>
      <c r="K261" s="130"/>
      <c r="L261" s="130"/>
      <c r="M261" s="130"/>
      <c r="N261" s="126"/>
      <c r="O261" s="204"/>
      <c r="P261" s="126"/>
      <c r="Q261" s="124"/>
      <c r="R261" s="192"/>
      <c r="S261" s="126"/>
      <c r="T261" s="200"/>
      <c r="U261" s="200"/>
      <c r="V261" s="200"/>
      <c r="W261" s="200"/>
      <c r="X261" s="200"/>
      <c r="Y261" s="200"/>
      <c r="Z261" s="192" t="str">
        <f ca="1">IF(Flag_Send_Data=1,_xll.DBSW(PL_Saisie_Estime2!Z261,Server&amp;Cube1,PL_Saisie_Estime2!$F$17,PL_Saisie_Estime2!$F$18,PL_Saisie_Estime2!$F$19,PL_Saisie_Estime2!$F$16,PL_Saisie_Estime2!$C$14,PL_Saisie_Estime2!$F$15,PL_Saisie_Estime2!$F$14,PL_Saisie_Estime2!$F$20,PL_Saisie_Estime2!Z$2,PL_Saisie_Estime2!Z$1,PL_Saisie_Estime2!$C261),"")</f>
        <v/>
      </c>
      <c r="AA261" s="192" t="str">
        <f ca="1">IF(Flag_Send_Data=1,_xll.DBSW(PL_Saisie_Estime2!AA261,Server&amp;Cube1,PL_Saisie_Estime2!$F$17,PL_Saisie_Estime2!$F$18,PL_Saisie_Estime2!$F$19,PL_Saisie_Estime2!$F$16,PL_Saisie_Estime2!$C$14,PL_Saisie_Estime2!$F$15,PL_Saisie_Estime2!$F$14,PL_Saisie_Estime2!$F$20,PL_Saisie_Estime2!AA$2,PL_Saisie_Estime2!AA$1,PL_Saisie_Estime2!$C261),"")</f>
        <v/>
      </c>
      <c r="AB261" s="192" t="str">
        <f ca="1">IF(Flag_Send_Data=1,_xll.DBSW(PL_Saisie_Estime2!AB261,Server&amp;Cube1,PL_Saisie_Estime2!$F$17,PL_Saisie_Estime2!$F$18,PL_Saisie_Estime2!$F$19,PL_Saisie_Estime2!$F$16,PL_Saisie_Estime2!$C$14,PL_Saisie_Estime2!$F$15,PL_Saisie_Estime2!$F$14,PL_Saisie_Estime2!$F$20,PL_Saisie_Estime2!AB$2,PL_Saisie_Estime2!AB$1,PL_Saisie_Estime2!$C261),"")</f>
        <v/>
      </c>
      <c r="AC261" s="192" t="str">
        <f ca="1">IF(Flag_Send_Data=1,_xll.DBSW(PL_Saisie_Estime2!AC261,Server&amp;Cube1,PL_Saisie_Estime2!$F$17,PL_Saisie_Estime2!$F$18,PL_Saisie_Estime2!$F$19,PL_Saisie_Estime2!$F$16,PL_Saisie_Estime2!$C$14,PL_Saisie_Estime2!$F$15,PL_Saisie_Estime2!$F$14,PL_Saisie_Estime2!$F$20,PL_Saisie_Estime2!AC$2,PL_Saisie_Estime2!AC$1,PL_Saisie_Estime2!$C261),"")</f>
        <v/>
      </c>
      <c r="AD261" s="192" t="str">
        <f ca="1">IF(Flag_Send_Data=1,_xll.DBSW(PL_Saisie_Estime2!AD261,Server&amp;Cube1,PL_Saisie_Estime2!$F$17,PL_Saisie_Estime2!$F$18,PL_Saisie_Estime2!$F$19,PL_Saisie_Estime2!$F$16,PL_Saisie_Estime2!$C$14,PL_Saisie_Estime2!$F$15,PL_Saisie_Estime2!$F$14,PL_Saisie_Estime2!$F$20,PL_Saisie_Estime2!AD$2,PL_Saisie_Estime2!AD$1,PL_Saisie_Estime2!$C261),"")</f>
        <v/>
      </c>
      <c r="AE261" s="192" t="str">
        <f ca="1">IF(Flag_Send_Data=1,_xll.DBSW(PL_Saisie_Estime2!AE261,Server&amp;Cube1,PL_Saisie_Estime2!$F$17,PL_Saisie_Estime2!$F$18,PL_Saisie_Estime2!$F$19,PL_Saisie_Estime2!$F$16,PL_Saisie_Estime2!$C$14,PL_Saisie_Estime2!$F$15,PL_Saisie_Estime2!$F$14,PL_Saisie_Estime2!$F$20,PL_Saisie_Estime2!AE$2,PL_Saisie_Estime2!AE$1,PL_Saisie_Estime2!$C261),"")</f>
        <v/>
      </c>
      <c r="AF261" s="204"/>
      <c r="AG261" s="53"/>
      <c r="AH261" s="53"/>
      <c r="AI261" s="53"/>
      <c r="AJ261" s="53"/>
      <c r="AK261" s="53"/>
      <c r="AL261" s="53"/>
      <c r="AM261" s="53"/>
      <c r="AN261" s="53"/>
      <c r="AO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:53" s="9" customFormat="1" ht="24" customHeight="1" x14ac:dyDescent="0.35">
      <c r="A262" s="181"/>
      <c r="B262" s="163"/>
      <c r="C262" s="158"/>
      <c r="E262" s="270"/>
      <c r="F262" s="270"/>
      <c r="G262" s="270"/>
      <c r="H262" s="40"/>
      <c r="I262" s="130"/>
      <c r="J262" s="130"/>
      <c r="K262" s="130"/>
      <c r="L262" s="130"/>
      <c r="M262" s="130"/>
      <c r="N262" s="126"/>
      <c r="O262" s="204"/>
      <c r="P262" s="126"/>
      <c r="Q262" s="124"/>
      <c r="R262" s="192"/>
      <c r="S262" s="126"/>
      <c r="T262" s="200"/>
      <c r="U262" s="200"/>
      <c r="V262" s="200"/>
      <c r="W262" s="200"/>
      <c r="X262" s="200"/>
      <c r="Y262" s="200"/>
      <c r="Z262" s="192" t="str">
        <f ca="1">IF(Flag_Send_Data=1,_xll.DBSW(PL_Saisie_Estime2!Z262,Server&amp;Cube1,PL_Saisie_Estime2!$F$17,PL_Saisie_Estime2!$F$18,PL_Saisie_Estime2!$F$19,PL_Saisie_Estime2!$F$16,PL_Saisie_Estime2!$C$14,PL_Saisie_Estime2!$F$15,PL_Saisie_Estime2!$F$14,PL_Saisie_Estime2!$F$20,PL_Saisie_Estime2!Z$2,PL_Saisie_Estime2!Z$1,PL_Saisie_Estime2!$C262),"")</f>
        <v/>
      </c>
      <c r="AA262" s="192" t="str">
        <f ca="1">IF(Flag_Send_Data=1,_xll.DBSW(PL_Saisie_Estime2!AA262,Server&amp;Cube1,PL_Saisie_Estime2!$F$17,PL_Saisie_Estime2!$F$18,PL_Saisie_Estime2!$F$19,PL_Saisie_Estime2!$F$16,PL_Saisie_Estime2!$C$14,PL_Saisie_Estime2!$F$15,PL_Saisie_Estime2!$F$14,PL_Saisie_Estime2!$F$20,PL_Saisie_Estime2!AA$2,PL_Saisie_Estime2!AA$1,PL_Saisie_Estime2!$C262),"")</f>
        <v/>
      </c>
      <c r="AB262" s="192" t="str">
        <f ca="1">IF(Flag_Send_Data=1,_xll.DBSW(PL_Saisie_Estime2!AB262,Server&amp;Cube1,PL_Saisie_Estime2!$F$17,PL_Saisie_Estime2!$F$18,PL_Saisie_Estime2!$F$19,PL_Saisie_Estime2!$F$16,PL_Saisie_Estime2!$C$14,PL_Saisie_Estime2!$F$15,PL_Saisie_Estime2!$F$14,PL_Saisie_Estime2!$F$20,PL_Saisie_Estime2!AB$2,PL_Saisie_Estime2!AB$1,PL_Saisie_Estime2!$C262),"")</f>
        <v/>
      </c>
      <c r="AC262" s="192" t="str">
        <f ca="1">IF(Flag_Send_Data=1,_xll.DBSW(PL_Saisie_Estime2!AC262,Server&amp;Cube1,PL_Saisie_Estime2!$F$17,PL_Saisie_Estime2!$F$18,PL_Saisie_Estime2!$F$19,PL_Saisie_Estime2!$F$16,PL_Saisie_Estime2!$C$14,PL_Saisie_Estime2!$F$15,PL_Saisie_Estime2!$F$14,PL_Saisie_Estime2!$F$20,PL_Saisie_Estime2!AC$2,PL_Saisie_Estime2!AC$1,PL_Saisie_Estime2!$C262),"")</f>
        <v/>
      </c>
      <c r="AD262" s="192" t="str">
        <f ca="1">IF(Flag_Send_Data=1,_xll.DBSW(PL_Saisie_Estime2!AD262,Server&amp;Cube1,PL_Saisie_Estime2!$F$17,PL_Saisie_Estime2!$F$18,PL_Saisie_Estime2!$F$19,PL_Saisie_Estime2!$F$16,PL_Saisie_Estime2!$C$14,PL_Saisie_Estime2!$F$15,PL_Saisie_Estime2!$F$14,PL_Saisie_Estime2!$F$20,PL_Saisie_Estime2!AD$2,PL_Saisie_Estime2!AD$1,PL_Saisie_Estime2!$C262),"")</f>
        <v/>
      </c>
      <c r="AE262" s="192" t="str">
        <f ca="1">IF(Flag_Send_Data=1,_xll.DBSW(PL_Saisie_Estime2!AE262,Server&amp;Cube1,PL_Saisie_Estime2!$F$17,PL_Saisie_Estime2!$F$18,PL_Saisie_Estime2!$F$19,PL_Saisie_Estime2!$F$16,PL_Saisie_Estime2!$C$14,PL_Saisie_Estime2!$F$15,PL_Saisie_Estime2!$F$14,PL_Saisie_Estime2!$F$20,PL_Saisie_Estime2!AE$2,PL_Saisie_Estime2!AE$1,PL_Saisie_Estime2!$C262),"")</f>
        <v/>
      </c>
      <c r="AF262" s="204"/>
      <c r="AG262" s="53"/>
      <c r="AH262" s="53"/>
      <c r="AI262" s="53"/>
      <c r="AJ262" s="53"/>
      <c r="AK262" s="53"/>
      <c r="AL262" s="53"/>
      <c r="AM262" s="53"/>
      <c r="AN262" s="53"/>
      <c r="AO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:53" s="9" customFormat="1" ht="24" customHeight="1" x14ac:dyDescent="0.35">
      <c r="A263" s="181"/>
      <c r="B263" s="163"/>
      <c r="C263" s="158"/>
      <c r="E263" s="270"/>
      <c r="F263" s="270"/>
      <c r="G263" s="270"/>
      <c r="H263" s="40"/>
      <c r="I263" s="130"/>
      <c r="J263" s="130"/>
      <c r="K263" s="130"/>
      <c r="L263" s="130"/>
      <c r="M263" s="130"/>
      <c r="N263" s="126"/>
      <c r="O263" s="204"/>
      <c r="P263" s="126"/>
      <c r="Q263" s="124"/>
      <c r="R263" s="192"/>
      <c r="S263" s="126"/>
      <c r="T263" s="200"/>
      <c r="U263" s="200"/>
      <c r="V263" s="200"/>
      <c r="W263" s="200"/>
      <c r="X263" s="200"/>
      <c r="Y263" s="200"/>
      <c r="Z263" s="192" t="str">
        <f ca="1">IF(Flag_Send_Data=1,_xll.DBSW(PL_Saisie_Estime2!Z263,Server&amp;Cube1,PL_Saisie_Estime2!$F$17,PL_Saisie_Estime2!$F$18,PL_Saisie_Estime2!$F$19,PL_Saisie_Estime2!$F$16,PL_Saisie_Estime2!$C$14,PL_Saisie_Estime2!$F$15,PL_Saisie_Estime2!$F$14,PL_Saisie_Estime2!$F$20,PL_Saisie_Estime2!Z$2,PL_Saisie_Estime2!Z$1,PL_Saisie_Estime2!$C263),"")</f>
        <v/>
      </c>
      <c r="AA263" s="192" t="str">
        <f ca="1">IF(Flag_Send_Data=1,_xll.DBSW(PL_Saisie_Estime2!AA263,Server&amp;Cube1,PL_Saisie_Estime2!$F$17,PL_Saisie_Estime2!$F$18,PL_Saisie_Estime2!$F$19,PL_Saisie_Estime2!$F$16,PL_Saisie_Estime2!$C$14,PL_Saisie_Estime2!$F$15,PL_Saisie_Estime2!$F$14,PL_Saisie_Estime2!$F$20,PL_Saisie_Estime2!AA$2,PL_Saisie_Estime2!AA$1,PL_Saisie_Estime2!$C263),"")</f>
        <v/>
      </c>
      <c r="AB263" s="192" t="str">
        <f ca="1">IF(Flag_Send_Data=1,_xll.DBSW(PL_Saisie_Estime2!AB263,Server&amp;Cube1,PL_Saisie_Estime2!$F$17,PL_Saisie_Estime2!$F$18,PL_Saisie_Estime2!$F$19,PL_Saisie_Estime2!$F$16,PL_Saisie_Estime2!$C$14,PL_Saisie_Estime2!$F$15,PL_Saisie_Estime2!$F$14,PL_Saisie_Estime2!$F$20,PL_Saisie_Estime2!AB$2,PL_Saisie_Estime2!AB$1,PL_Saisie_Estime2!$C263),"")</f>
        <v/>
      </c>
      <c r="AC263" s="192" t="str">
        <f ca="1">IF(Flag_Send_Data=1,_xll.DBSW(PL_Saisie_Estime2!AC263,Server&amp;Cube1,PL_Saisie_Estime2!$F$17,PL_Saisie_Estime2!$F$18,PL_Saisie_Estime2!$F$19,PL_Saisie_Estime2!$F$16,PL_Saisie_Estime2!$C$14,PL_Saisie_Estime2!$F$15,PL_Saisie_Estime2!$F$14,PL_Saisie_Estime2!$F$20,PL_Saisie_Estime2!AC$2,PL_Saisie_Estime2!AC$1,PL_Saisie_Estime2!$C263),"")</f>
        <v/>
      </c>
      <c r="AD263" s="192" t="str">
        <f ca="1">IF(Flag_Send_Data=1,_xll.DBSW(PL_Saisie_Estime2!AD263,Server&amp;Cube1,PL_Saisie_Estime2!$F$17,PL_Saisie_Estime2!$F$18,PL_Saisie_Estime2!$F$19,PL_Saisie_Estime2!$F$16,PL_Saisie_Estime2!$C$14,PL_Saisie_Estime2!$F$15,PL_Saisie_Estime2!$F$14,PL_Saisie_Estime2!$F$20,PL_Saisie_Estime2!AD$2,PL_Saisie_Estime2!AD$1,PL_Saisie_Estime2!$C263),"")</f>
        <v/>
      </c>
      <c r="AE263" s="192" t="str">
        <f ca="1">IF(Flag_Send_Data=1,_xll.DBSW(PL_Saisie_Estime2!AE263,Server&amp;Cube1,PL_Saisie_Estime2!$F$17,PL_Saisie_Estime2!$F$18,PL_Saisie_Estime2!$F$19,PL_Saisie_Estime2!$F$16,PL_Saisie_Estime2!$C$14,PL_Saisie_Estime2!$F$15,PL_Saisie_Estime2!$F$14,PL_Saisie_Estime2!$F$20,PL_Saisie_Estime2!AE$2,PL_Saisie_Estime2!AE$1,PL_Saisie_Estime2!$C263),"")</f>
        <v/>
      </c>
      <c r="AF263" s="204"/>
      <c r="AG263" s="53"/>
      <c r="AH263" s="53"/>
      <c r="AI263" s="53"/>
      <c r="AJ263" s="53"/>
      <c r="AK263" s="53"/>
      <c r="AL263" s="53"/>
      <c r="AM263" s="53"/>
      <c r="AN263" s="53"/>
      <c r="AO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:53" s="9" customFormat="1" ht="24" customHeight="1" x14ac:dyDescent="0.35">
      <c r="A264" s="181"/>
      <c r="B264" s="163"/>
      <c r="C264" s="158"/>
      <c r="E264" s="270"/>
      <c r="F264" s="270"/>
      <c r="G264" s="270"/>
      <c r="H264" s="40"/>
      <c r="I264" s="130"/>
      <c r="J264" s="130"/>
      <c r="K264" s="130"/>
      <c r="L264" s="130"/>
      <c r="M264" s="130"/>
      <c r="N264" s="126"/>
      <c r="O264" s="204"/>
      <c r="P264" s="126"/>
      <c r="Q264" s="124"/>
      <c r="R264" s="192"/>
      <c r="S264" s="126"/>
      <c r="T264" s="200"/>
      <c r="U264" s="200"/>
      <c r="V264" s="200"/>
      <c r="W264" s="200"/>
      <c r="X264" s="200"/>
      <c r="Y264" s="200"/>
      <c r="Z264" s="192" t="str">
        <f ca="1">IF(Flag_Send_Data=1,_xll.DBSW(PL_Saisie_Estime2!Z264,Server&amp;Cube1,PL_Saisie_Estime2!$F$17,PL_Saisie_Estime2!$F$18,PL_Saisie_Estime2!$F$19,PL_Saisie_Estime2!$F$16,PL_Saisie_Estime2!$C$14,PL_Saisie_Estime2!$F$15,PL_Saisie_Estime2!$F$14,PL_Saisie_Estime2!$F$20,PL_Saisie_Estime2!Z$2,PL_Saisie_Estime2!Z$1,PL_Saisie_Estime2!$C264),"")</f>
        <v/>
      </c>
      <c r="AA264" s="192" t="str">
        <f ca="1">IF(Flag_Send_Data=1,_xll.DBSW(PL_Saisie_Estime2!AA264,Server&amp;Cube1,PL_Saisie_Estime2!$F$17,PL_Saisie_Estime2!$F$18,PL_Saisie_Estime2!$F$19,PL_Saisie_Estime2!$F$16,PL_Saisie_Estime2!$C$14,PL_Saisie_Estime2!$F$15,PL_Saisie_Estime2!$F$14,PL_Saisie_Estime2!$F$20,PL_Saisie_Estime2!AA$2,PL_Saisie_Estime2!AA$1,PL_Saisie_Estime2!$C264),"")</f>
        <v/>
      </c>
      <c r="AB264" s="192" t="str">
        <f ca="1">IF(Flag_Send_Data=1,_xll.DBSW(PL_Saisie_Estime2!AB264,Server&amp;Cube1,PL_Saisie_Estime2!$F$17,PL_Saisie_Estime2!$F$18,PL_Saisie_Estime2!$F$19,PL_Saisie_Estime2!$F$16,PL_Saisie_Estime2!$C$14,PL_Saisie_Estime2!$F$15,PL_Saisie_Estime2!$F$14,PL_Saisie_Estime2!$F$20,PL_Saisie_Estime2!AB$2,PL_Saisie_Estime2!AB$1,PL_Saisie_Estime2!$C264),"")</f>
        <v/>
      </c>
      <c r="AC264" s="192" t="str">
        <f ca="1">IF(Flag_Send_Data=1,_xll.DBSW(PL_Saisie_Estime2!AC264,Server&amp;Cube1,PL_Saisie_Estime2!$F$17,PL_Saisie_Estime2!$F$18,PL_Saisie_Estime2!$F$19,PL_Saisie_Estime2!$F$16,PL_Saisie_Estime2!$C$14,PL_Saisie_Estime2!$F$15,PL_Saisie_Estime2!$F$14,PL_Saisie_Estime2!$F$20,PL_Saisie_Estime2!AC$2,PL_Saisie_Estime2!AC$1,PL_Saisie_Estime2!$C264),"")</f>
        <v/>
      </c>
      <c r="AD264" s="192" t="str">
        <f ca="1">IF(Flag_Send_Data=1,_xll.DBSW(PL_Saisie_Estime2!AD264,Server&amp;Cube1,PL_Saisie_Estime2!$F$17,PL_Saisie_Estime2!$F$18,PL_Saisie_Estime2!$F$19,PL_Saisie_Estime2!$F$16,PL_Saisie_Estime2!$C$14,PL_Saisie_Estime2!$F$15,PL_Saisie_Estime2!$F$14,PL_Saisie_Estime2!$F$20,PL_Saisie_Estime2!AD$2,PL_Saisie_Estime2!AD$1,PL_Saisie_Estime2!$C264),"")</f>
        <v/>
      </c>
      <c r="AE264" s="192" t="str">
        <f ca="1">IF(Flag_Send_Data=1,_xll.DBSW(PL_Saisie_Estime2!AE264,Server&amp;Cube1,PL_Saisie_Estime2!$F$17,PL_Saisie_Estime2!$F$18,PL_Saisie_Estime2!$F$19,PL_Saisie_Estime2!$F$16,PL_Saisie_Estime2!$C$14,PL_Saisie_Estime2!$F$15,PL_Saisie_Estime2!$F$14,PL_Saisie_Estime2!$F$20,PL_Saisie_Estime2!AE$2,PL_Saisie_Estime2!AE$1,PL_Saisie_Estime2!$C264),"")</f>
        <v/>
      </c>
      <c r="AF264" s="204"/>
      <c r="AG264" s="53"/>
      <c r="AH264" s="53"/>
      <c r="AI264" s="53"/>
      <c r="AJ264" s="53"/>
      <c r="AK264" s="53"/>
      <c r="AL264" s="53"/>
      <c r="AM264" s="53"/>
      <c r="AN264" s="53"/>
      <c r="AO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:53" s="9" customFormat="1" ht="24" customHeight="1" thickBot="1" x14ac:dyDescent="0.4">
      <c r="A265" s="181"/>
      <c r="B265" s="163"/>
      <c r="C265" s="116"/>
      <c r="E265" s="298"/>
      <c r="F265" s="298"/>
      <c r="G265" s="298"/>
      <c r="H265" s="40"/>
      <c r="I265" s="128"/>
      <c r="J265" s="128"/>
      <c r="K265" s="128"/>
      <c r="L265" s="128"/>
      <c r="M265" s="128"/>
      <c r="N265" s="129"/>
      <c r="O265" s="128"/>
      <c r="P265" s="129"/>
      <c r="Q265" s="124"/>
      <c r="R265" s="128"/>
      <c r="S265" s="129"/>
      <c r="T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53"/>
      <c r="AH265" s="53"/>
      <c r="AI265" s="53"/>
      <c r="AJ265" s="53"/>
      <c r="AK265" s="53"/>
      <c r="AL265" s="53"/>
      <c r="AM265" s="53"/>
      <c r="AN265" s="53"/>
      <c r="AO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:53" s="9" customFormat="1" ht="24" customHeight="1" x14ac:dyDescent="0.35">
      <c r="A266" s="181"/>
      <c r="B266" s="163"/>
      <c r="C266" s="117"/>
      <c r="E266" s="272"/>
      <c r="F266" s="272"/>
      <c r="G266" s="272"/>
      <c r="H266" s="40"/>
      <c r="I266" s="130"/>
      <c r="J266" s="130"/>
      <c r="K266" s="130"/>
      <c r="L266" s="130"/>
      <c r="M266" s="130"/>
      <c r="N266" s="126"/>
      <c r="O266" s="126"/>
      <c r="P266" s="126"/>
      <c r="Q266" s="124"/>
      <c r="R266" s="126"/>
      <c r="S266" s="126"/>
      <c r="T266" s="203"/>
      <c r="U266" s="203"/>
      <c r="V266" s="203"/>
      <c r="W266" s="203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53"/>
      <c r="AH266" s="53"/>
      <c r="AI266" s="53"/>
      <c r="AJ266" s="53"/>
      <c r="AK266" s="53"/>
      <c r="AL266" s="53"/>
      <c r="AM266" s="53"/>
      <c r="AN266" s="53"/>
      <c r="AO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:53" s="9" customFormat="1" ht="24" customHeight="1" x14ac:dyDescent="0.35">
      <c r="A267" s="181"/>
      <c r="B267" s="163"/>
      <c r="C267" s="158"/>
      <c r="E267" s="270"/>
      <c r="F267" s="270"/>
      <c r="G267" s="270"/>
      <c r="H267" s="40"/>
      <c r="I267" s="130"/>
      <c r="J267" s="130"/>
      <c r="K267" s="130"/>
      <c r="L267" s="130"/>
      <c r="M267" s="130"/>
      <c r="N267" s="126"/>
      <c r="O267" s="204"/>
      <c r="P267" s="126"/>
      <c r="Q267" s="124"/>
      <c r="R267" s="192"/>
      <c r="S267" s="126"/>
      <c r="T267" s="200"/>
      <c r="U267" s="200"/>
      <c r="V267" s="200"/>
      <c r="W267" s="200"/>
      <c r="X267" s="200"/>
      <c r="Y267" s="200"/>
      <c r="Z267" s="192" t="str">
        <f ca="1">IF(Flag_Send_Data=1,_xll.DBSW(PL_Saisie_Estime2!Z267,Server&amp;Cube1,PL_Saisie_Estime2!$F$17,PL_Saisie_Estime2!$F$18,PL_Saisie_Estime2!$F$19,PL_Saisie_Estime2!$F$16,PL_Saisie_Estime2!$C$14,PL_Saisie_Estime2!$F$15,PL_Saisie_Estime2!$F$14,PL_Saisie_Estime2!$F$20,PL_Saisie_Estime2!Z$2,PL_Saisie_Estime2!Z$1,PL_Saisie_Estime2!$C267),"")</f>
        <v/>
      </c>
      <c r="AA267" s="192" t="str">
        <f ca="1">IF(Flag_Send_Data=1,_xll.DBSW(PL_Saisie_Estime2!AA267,Server&amp;Cube1,PL_Saisie_Estime2!$F$17,PL_Saisie_Estime2!$F$18,PL_Saisie_Estime2!$F$19,PL_Saisie_Estime2!$F$16,PL_Saisie_Estime2!$C$14,PL_Saisie_Estime2!$F$15,PL_Saisie_Estime2!$F$14,PL_Saisie_Estime2!$F$20,PL_Saisie_Estime2!AA$2,PL_Saisie_Estime2!AA$1,PL_Saisie_Estime2!$C267),"")</f>
        <v/>
      </c>
      <c r="AB267" s="192" t="str">
        <f ca="1">IF(Flag_Send_Data=1,_xll.DBSW(PL_Saisie_Estime2!AB267,Server&amp;Cube1,PL_Saisie_Estime2!$F$17,PL_Saisie_Estime2!$F$18,PL_Saisie_Estime2!$F$19,PL_Saisie_Estime2!$F$16,PL_Saisie_Estime2!$C$14,PL_Saisie_Estime2!$F$15,PL_Saisie_Estime2!$F$14,PL_Saisie_Estime2!$F$20,PL_Saisie_Estime2!AB$2,PL_Saisie_Estime2!AB$1,PL_Saisie_Estime2!$C267),"")</f>
        <v/>
      </c>
      <c r="AC267" s="192" t="str">
        <f ca="1">IF(Flag_Send_Data=1,_xll.DBSW(PL_Saisie_Estime2!AC267,Server&amp;Cube1,PL_Saisie_Estime2!$F$17,PL_Saisie_Estime2!$F$18,PL_Saisie_Estime2!$F$19,PL_Saisie_Estime2!$F$16,PL_Saisie_Estime2!$C$14,PL_Saisie_Estime2!$F$15,PL_Saisie_Estime2!$F$14,PL_Saisie_Estime2!$F$20,PL_Saisie_Estime2!AC$2,PL_Saisie_Estime2!AC$1,PL_Saisie_Estime2!$C267),"")</f>
        <v/>
      </c>
      <c r="AD267" s="192" t="str">
        <f ca="1">IF(Flag_Send_Data=1,_xll.DBSW(PL_Saisie_Estime2!AD267,Server&amp;Cube1,PL_Saisie_Estime2!$F$17,PL_Saisie_Estime2!$F$18,PL_Saisie_Estime2!$F$19,PL_Saisie_Estime2!$F$16,PL_Saisie_Estime2!$C$14,PL_Saisie_Estime2!$F$15,PL_Saisie_Estime2!$F$14,PL_Saisie_Estime2!$F$20,PL_Saisie_Estime2!AD$2,PL_Saisie_Estime2!AD$1,PL_Saisie_Estime2!$C267),"")</f>
        <v/>
      </c>
      <c r="AE267" s="192" t="str">
        <f ca="1">IF(Flag_Send_Data=1,_xll.DBSW(PL_Saisie_Estime2!AE267,Server&amp;Cube1,PL_Saisie_Estime2!$F$17,PL_Saisie_Estime2!$F$18,PL_Saisie_Estime2!$F$19,PL_Saisie_Estime2!$F$16,PL_Saisie_Estime2!$C$14,PL_Saisie_Estime2!$F$15,PL_Saisie_Estime2!$F$14,PL_Saisie_Estime2!$F$20,PL_Saisie_Estime2!AE$2,PL_Saisie_Estime2!AE$1,PL_Saisie_Estime2!$C267),"")</f>
        <v/>
      </c>
      <c r="AF267" s="204"/>
      <c r="AG267" s="53"/>
      <c r="AH267" s="53"/>
      <c r="AI267" s="53"/>
      <c r="AJ267" s="53"/>
      <c r="AK267" s="53"/>
      <c r="AL267" s="53"/>
      <c r="AM267" s="53"/>
      <c r="AN267" s="53"/>
      <c r="AO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:53" s="9" customFormat="1" ht="24" customHeight="1" x14ac:dyDescent="0.35">
      <c r="A268" s="181"/>
      <c r="B268" s="163"/>
      <c r="C268" s="158"/>
      <c r="E268" s="270"/>
      <c r="F268" s="270"/>
      <c r="G268" s="270"/>
      <c r="H268" s="40"/>
      <c r="I268" s="130"/>
      <c r="J268" s="130"/>
      <c r="K268" s="130"/>
      <c r="L268" s="130"/>
      <c r="M268" s="130"/>
      <c r="N268" s="126"/>
      <c r="O268" s="204"/>
      <c r="P268" s="126"/>
      <c r="Q268" s="124"/>
      <c r="R268" s="192"/>
      <c r="S268" s="126"/>
      <c r="T268" s="200"/>
      <c r="U268" s="200"/>
      <c r="V268" s="200"/>
      <c r="W268" s="200"/>
      <c r="X268" s="200"/>
      <c r="Y268" s="200"/>
      <c r="Z268" s="192" t="str">
        <f ca="1">IF(Flag_Send_Data=1,_xll.DBSW(PL_Saisie_Estime2!Z268,Server&amp;Cube1,PL_Saisie_Estime2!$F$17,PL_Saisie_Estime2!$F$18,PL_Saisie_Estime2!$F$19,PL_Saisie_Estime2!$F$16,PL_Saisie_Estime2!$C$14,PL_Saisie_Estime2!$F$15,PL_Saisie_Estime2!$F$14,PL_Saisie_Estime2!$F$20,PL_Saisie_Estime2!Z$2,PL_Saisie_Estime2!Z$1,PL_Saisie_Estime2!$C268),"")</f>
        <v/>
      </c>
      <c r="AA268" s="192" t="str">
        <f ca="1">IF(Flag_Send_Data=1,_xll.DBSW(PL_Saisie_Estime2!AA268,Server&amp;Cube1,PL_Saisie_Estime2!$F$17,PL_Saisie_Estime2!$F$18,PL_Saisie_Estime2!$F$19,PL_Saisie_Estime2!$F$16,PL_Saisie_Estime2!$C$14,PL_Saisie_Estime2!$F$15,PL_Saisie_Estime2!$F$14,PL_Saisie_Estime2!$F$20,PL_Saisie_Estime2!AA$2,PL_Saisie_Estime2!AA$1,PL_Saisie_Estime2!$C268),"")</f>
        <v/>
      </c>
      <c r="AB268" s="192" t="str">
        <f ca="1">IF(Flag_Send_Data=1,_xll.DBSW(PL_Saisie_Estime2!AB268,Server&amp;Cube1,PL_Saisie_Estime2!$F$17,PL_Saisie_Estime2!$F$18,PL_Saisie_Estime2!$F$19,PL_Saisie_Estime2!$F$16,PL_Saisie_Estime2!$C$14,PL_Saisie_Estime2!$F$15,PL_Saisie_Estime2!$F$14,PL_Saisie_Estime2!$F$20,PL_Saisie_Estime2!AB$2,PL_Saisie_Estime2!AB$1,PL_Saisie_Estime2!$C268),"")</f>
        <v/>
      </c>
      <c r="AC268" s="192" t="str">
        <f ca="1">IF(Flag_Send_Data=1,_xll.DBSW(PL_Saisie_Estime2!AC268,Server&amp;Cube1,PL_Saisie_Estime2!$F$17,PL_Saisie_Estime2!$F$18,PL_Saisie_Estime2!$F$19,PL_Saisie_Estime2!$F$16,PL_Saisie_Estime2!$C$14,PL_Saisie_Estime2!$F$15,PL_Saisie_Estime2!$F$14,PL_Saisie_Estime2!$F$20,PL_Saisie_Estime2!AC$2,PL_Saisie_Estime2!AC$1,PL_Saisie_Estime2!$C268),"")</f>
        <v/>
      </c>
      <c r="AD268" s="192" t="str">
        <f ca="1">IF(Flag_Send_Data=1,_xll.DBSW(PL_Saisie_Estime2!AD268,Server&amp;Cube1,PL_Saisie_Estime2!$F$17,PL_Saisie_Estime2!$F$18,PL_Saisie_Estime2!$F$19,PL_Saisie_Estime2!$F$16,PL_Saisie_Estime2!$C$14,PL_Saisie_Estime2!$F$15,PL_Saisie_Estime2!$F$14,PL_Saisie_Estime2!$F$20,PL_Saisie_Estime2!AD$2,PL_Saisie_Estime2!AD$1,PL_Saisie_Estime2!$C268),"")</f>
        <v/>
      </c>
      <c r="AE268" s="192" t="str">
        <f ca="1">IF(Flag_Send_Data=1,_xll.DBSW(PL_Saisie_Estime2!AE268,Server&amp;Cube1,PL_Saisie_Estime2!$F$17,PL_Saisie_Estime2!$F$18,PL_Saisie_Estime2!$F$19,PL_Saisie_Estime2!$F$16,PL_Saisie_Estime2!$C$14,PL_Saisie_Estime2!$F$15,PL_Saisie_Estime2!$F$14,PL_Saisie_Estime2!$F$20,PL_Saisie_Estime2!AE$2,PL_Saisie_Estime2!AE$1,PL_Saisie_Estime2!$C268),"")</f>
        <v/>
      </c>
      <c r="AF268" s="204"/>
      <c r="AG268" s="53"/>
      <c r="AH268" s="53"/>
      <c r="AI268" s="53"/>
      <c r="AJ268" s="53"/>
      <c r="AK268" s="53"/>
      <c r="AL268" s="53"/>
      <c r="AM268" s="53"/>
      <c r="AN268" s="53"/>
      <c r="AO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:53" s="9" customFormat="1" ht="24" customHeight="1" x14ac:dyDescent="0.35">
      <c r="A269" s="181"/>
      <c r="B269" s="163"/>
      <c r="C269" s="158"/>
      <c r="E269" s="270"/>
      <c r="F269" s="270"/>
      <c r="G269" s="270"/>
      <c r="H269" s="40"/>
      <c r="I269" s="130"/>
      <c r="J269" s="130"/>
      <c r="K269" s="130"/>
      <c r="L269" s="130"/>
      <c r="M269" s="130"/>
      <c r="N269" s="126"/>
      <c r="O269" s="204"/>
      <c r="P269" s="126"/>
      <c r="Q269" s="124"/>
      <c r="R269" s="192"/>
      <c r="S269" s="126"/>
      <c r="T269" s="200"/>
      <c r="U269" s="200"/>
      <c r="V269" s="200"/>
      <c r="W269" s="200"/>
      <c r="X269" s="200"/>
      <c r="Y269" s="200"/>
      <c r="Z269" s="192" t="str">
        <f ca="1">IF(Flag_Send_Data=1,_xll.DBSW(PL_Saisie_Estime2!Z269,Server&amp;Cube1,PL_Saisie_Estime2!$F$17,PL_Saisie_Estime2!$F$18,PL_Saisie_Estime2!$F$19,PL_Saisie_Estime2!$F$16,PL_Saisie_Estime2!$C$14,PL_Saisie_Estime2!$F$15,PL_Saisie_Estime2!$F$14,PL_Saisie_Estime2!$F$20,PL_Saisie_Estime2!Z$2,PL_Saisie_Estime2!Z$1,PL_Saisie_Estime2!$C269),"")</f>
        <v/>
      </c>
      <c r="AA269" s="192" t="str">
        <f ca="1">IF(Flag_Send_Data=1,_xll.DBSW(PL_Saisie_Estime2!AA269,Server&amp;Cube1,PL_Saisie_Estime2!$F$17,PL_Saisie_Estime2!$F$18,PL_Saisie_Estime2!$F$19,PL_Saisie_Estime2!$F$16,PL_Saisie_Estime2!$C$14,PL_Saisie_Estime2!$F$15,PL_Saisie_Estime2!$F$14,PL_Saisie_Estime2!$F$20,PL_Saisie_Estime2!AA$2,PL_Saisie_Estime2!AA$1,PL_Saisie_Estime2!$C269),"")</f>
        <v/>
      </c>
      <c r="AB269" s="192" t="str">
        <f ca="1">IF(Flag_Send_Data=1,_xll.DBSW(PL_Saisie_Estime2!AB269,Server&amp;Cube1,PL_Saisie_Estime2!$F$17,PL_Saisie_Estime2!$F$18,PL_Saisie_Estime2!$F$19,PL_Saisie_Estime2!$F$16,PL_Saisie_Estime2!$C$14,PL_Saisie_Estime2!$F$15,PL_Saisie_Estime2!$F$14,PL_Saisie_Estime2!$F$20,PL_Saisie_Estime2!AB$2,PL_Saisie_Estime2!AB$1,PL_Saisie_Estime2!$C269),"")</f>
        <v/>
      </c>
      <c r="AC269" s="192" t="str">
        <f ca="1">IF(Flag_Send_Data=1,_xll.DBSW(PL_Saisie_Estime2!AC269,Server&amp;Cube1,PL_Saisie_Estime2!$F$17,PL_Saisie_Estime2!$F$18,PL_Saisie_Estime2!$F$19,PL_Saisie_Estime2!$F$16,PL_Saisie_Estime2!$C$14,PL_Saisie_Estime2!$F$15,PL_Saisie_Estime2!$F$14,PL_Saisie_Estime2!$F$20,PL_Saisie_Estime2!AC$2,PL_Saisie_Estime2!AC$1,PL_Saisie_Estime2!$C269),"")</f>
        <v/>
      </c>
      <c r="AD269" s="192" t="str">
        <f ca="1">IF(Flag_Send_Data=1,_xll.DBSW(PL_Saisie_Estime2!AD269,Server&amp;Cube1,PL_Saisie_Estime2!$F$17,PL_Saisie_Estime2!$F$18,PL_Saisie_Estime2!$F$19,PL_Saisie_Estime2!$F$16,PL_Saisie_Estime2!$C$14,PL_Saisie_Estime2!$F$15,PL_Saisie_Estime2!$F$14,PL_Saisie_Estime2!$F$20,PL_Saisie_Estime2!AD$2,PL_Saisie_Estime2!AD$1,PL_Saisie_Estime2!$C269),"")</f>
        <v/>
      </c>
      <c r="AE269" s="192" t="str">
        <f ca="1">IF(Flag_Send_Data=1,_xll.DBSW(PL_Saisie_Estime2!AE269,Server&amp;Cube1,PL_Saisie_Estime2!$F$17,PL_Saisie_Estime2!$F$18,PL_Saisie_Estime2!$F$19,PL_Saisie_Estime2!$F$16,PL_Saisie_Estime2!$C$14,PL_Saisie_Estime2!$F$15,PL_Saisie_Estime2!$F$14,PL_Saisie_Estime2!$F$20,PL_Saisie_Estime2!AE$2,PL_Saisie_Estime2!AE$1,PL_Saisie_Estime2!$C269),"")</f>
        <v/>
      </c>
      <c r="AF269" s="204"/>
      <c r="AG269" s="53"/>
      <c r="AH269" s="53"/>
      <c r="AI269" s="53"/>
      <c r="AJ269" s="53"/>
      <c r="AK269" s="53"/>
      <c r="AL269" s="53"/>
      <c r="AM269" s="53"/>
      <c r="AN269" s="53"/>
      <c r="AO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:53" s="9" customFormat="1" ht="24" customHeight="1" x14ac:dyDescent="0.35">
      <c r="A270" s="181"/>
      <c r="B270" s="163"/>
      <c r="C270" s="158"/>
      <c r="E270" s="270"/>
      <c r="F270" s="270"/>
      <c r="G270" s="270"/>
      <c r="H270" s="40"/>
      <c r="I270" s="130"/>
      <c r="J270" s="130"/>
      <c r="K270" s="130"/>
      <c r="L270" s="130"/>
      <c r="M270" s="130"/>
      <c r="N270" s="126"/>
      <c r="O270" s="204"/>
      <c r="P270" s="126"/>
      <c r="Q270" s="124"/>
      <c r="R270" s="192"/>
      <c r="S270" s="126"/>
      <c r="T270" s="200"/>
      <c r="U270" s="200"/>
      <c r="V270" s="200"/>
      <c r="W270" s="200"/>
      <c r="X270" s="200"/>
      <c r="Y270" s="200"/>
      <c r="Z270" s="192" t="str">
        <f ca="1">IF(Flag_Send_Data=1,_xll.DBSW(PL_Saisie_Estime2!Z270,Server&amp;Cube1,PL_Saisie_Estime2!$F$17,PL_Saisie_Estime2!$F$18,PL_Saisie_Estime2!$F$19,PL_Saisie_Estime2!$F$16,PL_Saisie_Estime2!$C$14,PL_Saisie_Estime2!$F$15,PL_Saisie_Estime2!$F$14,PL_Saisie_Estime2!$F$20,PL_Saisie_Estime2!Z$2,PL_Saisie_Estime2!Z$1,PL_Saisie_Estime2!$C270),"")</f>
        <v/>
      </c>
      <c r="AA270" s="192" t="str">
        <f ca="1">IF(Flag_Send_Data=1,_xll.DBSW(PL_Saisie_Estime2!AA270,Server&amp;Cube1,PL_Saisie_Estime2!$F$17,PL_Saisie_Estime2!$F$18,PL_Saisie_Estime2!$F$19,PL_Saisie_Estime2!$F$16,PL_Saisie_Estime2!$C$14,PL_Saisie_Estime2!$F$15,PL_Saisie_Estime2!$F$14,PL_Saisie_Estime2!$F$20,PL_Saisie_Estime2!AA$2,PL_Saisie_Estime2!AA$1,PL_Saisie_Estime2!$C270),"")</f>
        <v/>
      </c>
      <c r="AB270" s="192" t="str">
        <f ca="1">IF(Flag_Send_Data=1,_xll.DBSW(PL_Saisie_Estime2!AB270,Server&amp;Cube1,PL_Saisie_Estime2!$F$17,PL_Saisie_Estime2!$F$18,PL_Saisie_Estime2!$F$19,PL_Saisie_Estime2!$F$16,PL_Saisie_Estime2!$C$14,PL_Saisie_Estime2!$F$15,PL_Saisie_Estime2!$F$14,PL_Saisie_Estime2!$F$20,PL_Saisie_Estime2!AB$2,PL_Saisie_Estime2!AB$1,PL_Saisie_Estime2!$C270),"")</f>
        <v/>
      </c>
      <c r="AC270" s="192" t="str">
        <f ca="1">IF(Flag_Send_Data=1,_xll.DBSW(PL_Saisie_Estime2!AC270,Server&amp;Cube1,PL_Saisie_Estime2!$F$17,PL_Saisie_Estime2!$F$18,PL_Saisie_Estime2!$F$19,PL_Saisie_Estime2!$F$16,PL_Saisie_Estime2!$C$14,PL_Saisie_Estime2!$F$15,PL_Saisie_Estime2!$F$14,PL_Saisie_Estime2!$F$20,PL_Saisie_Estime2!AC$2,PL_Saisie_Estime2!AC$1,PL_Saisie_Estime2!$C270),"")</f>
        <v/>
      </c>
      <c r="AD270" s="192" t="str">
        <f ca="1">IF(Flag_Send_Data=1,_xll.DBSW(PL_Saisie_Estime2!AD270,Server&amp;Cube1,PL_Saisie_Estime2!$F$17,PL_Saisie_Estime2!$F$18,PL_Saisie_Estime2!$F$19,PL_Saisie_Estime2!$F$16,PL_Saisie_Estime2!$C$14,PL_Saisie_Estime2!$F$15,PL_Saisie_Estime2!$F$14,PL_Saisie_Estime2!$F$20,PL_Saisie_Estime2!AD$2,PL_Saisie_Estime2!AD$1,PL_Saisie_Estime2!$C270),"")</f>
        <v/>
      </c>
      <c r="AE270" s="192" t="str">
        <f ca="1">IF(Flag_Send_Data=1,_xll.DBSW(PL_Saisie_Estime2!AE270,Server&amp;Cube1,PL_Saisie_Estime2!$F$17,PL_Saisie_Estime2!$F$18,PL_Saisie_Estime2!$F$19,PL_Saisie_Estime2!$F$16,PL_Saisie_Estime2!$C$14,PL_Saisie_Estime2!$F$15,PL_Saisie_Estime2!$F$14,PL_Saisie_Estime2!$F$20,PL_Saisie_Estime2!AE$2,PL_Saisie_Estime2!AE$1,PL_Saisie_Estime2!$C270),"")</f>
        <v/>
      </c>
      <c r="AF270" s="204"/>
      <c r="AG270" s="53"/>
      <c r="AH270" s="53"/>
      <c r="AI270" s="53"/>
      <c r="AJ270" s="53"/>
      <c r="AK270" s="53"/>
      <c r="AL270" s="53"/>
      <c r="AM270" s="53"/>
      <c r="AN270" s="53"/>
      <c r="AO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:53" s="9" customFormat="1" ht="24" customHeight="1" x14ac:dyDescent="0.35">
      <c r="A271" s="181"/>
      <c r="B271" s="163"/>
      <c r="C271" s="158"/>
      <c r="E271" s="270"/>
      <c r="F271" s="270"/>
      <c r="G271" s="270"/>
      <c r="H271" s="40"/>
      <c r="I271" s="130"/>
      <c r="J271" s="130"/>
      <c r="K271" s="130"/>
      <c r="L271" s="130"/>
      <c r="M271" s="130"/>
      <c r="N271" s="126"/>
      <c r="O271" s="204"/>
      <c r="P271" s="126"/>
      <c r="Q271" s="124"/>
      <c r="R271" s="192"/>
      <c r="S271" s="126"/>
      <c r="T271" s="200"/>
      <c r="U271" s="200"/>
      <c r="V271" s="200"/>
      <c r="W271" s="200"/>
      <c r="X271" s="200"/>
      <c r="Y271" s="200"/>
      <c r="Z271" s="192" t="str">
        <f ca="1">IF(Flag_Send_Data=1,_xll.DBSW(PL_Saisie_Estime2!Z271,Server&amp;Cube1,PL_Saisie_Estime2!$F$17,PL_Saisie_Estime2!$F$18,PL_Saisie_Estime2!$F$19,PL_Saisie_Estime2!$F$16,PL_Saisie_Estime2!$C$14,PL_Saisie_Estime2!$F$15,PL_Saisie_Estime2!$F$14,PL_Saisie_Estime2!$F$20,PL_Saisie_Estime2!Z$2,PL_Saisie_Estime2!Z$1,PL_Saisie_Estime2!$C271),"")</f>
        <v/>
      </c>
      <c r="AA271" s="192" t="str">
        <f ca="1">IF(Flag_Send_Data=1,_xll.DBSW(PL_Saisie_Estime2!AA271,Server&amp;Cube1,PL_Saisie_Estime2!$F$17,PL_Saisie_Estime2!$F$18,PL_Saisie_Estime2!$F$19,PL_Saisie_Estime2!$F$16,PL_Saisie_Estime2!$C$14,PL_Saisie_Estime2!$F$15,PL_Saisie_Estime2!$F$14,PL_Saisie_Estime2!$F$20,PL_Saisie_Estime2!AA$2,PL_Saisie_Estime2!AA$1,PL_Saisie_Estime2!$C271),"")</f>
        <v/>
      </c>
      <c r="AB271" s="192" t="str">
        <f ca="1">IF(Flag_Send_Data=1,_xll.DBSW(PL_Saisie_Estime2!AB271,Server&amp;Cube1,PL_Saisie_Estime2!$F$17,PL_Saisie_Estime2!$F$18,PL_Saisie_Estime2!$F$19,PL_Saisie_Estime2!$F$16,PL_Saisie_Estime2!$C$14,PL_Saisie_Estime2!$F$15,PL_Saisie_Estime2!$F$14,PL_Saisie_Estime2!$F$20,PL_Saisie_Estime2!AB$2,PL_Saisie_Estime2!AB$1,PL_Saisie_Estime2!$C271),"")</f>
        <v/>
      </c>
      <c r="AC271" s="192" t="str">
        <f ca="1">IF(Flag_Send_Data=1,_xll.DBSW(PL_Saisie_Estime2!AC271,Server&amp;Cube1,PL_Saisie_Estime2!$F$17,PL_Saisie_Estime2!$F$18,PL_Saisie_Estime2!$F$19,PL_Saisie_Estime2!$F$16,PL_Saisie_Estime2!$C$14,PL_Saisie_Estime2!$F$15,PL_Saisie_Estime2!$F$14,PL_Saisie_Estime2!$F$20,PL_Saisie_Estime2!AC$2,PL_Saisie_Estime2!AC$1,PL_Saisie_Estime2!$C271),"")</f>
        <v/>
      </c>
      <c r="AD271" s="192" t="str">
        <f ca="1">IF(Flag_Send_Data=1,_xll.DBSW(PL_Saisie_Estime2!AD271,Server&amp;Cube1,PL_Saisie_Estime2!$F$17,PL_Saisie_Estime2!$F$18,PL_Saisie_Estime2!$F$19,PL_Saisie_Estime2!$F$16,PL_Saisie_Estime2!$C$14,PL_Saisie_Estime2!$F$15,PL_Saisie_Estime2!$F$14,PL_Saisie_Estime2!$F$20,PL_Saisie_Estime2!AD$2,PL_Saisie_Estime2!AD$1,PL_Saisie_Estime2!$C271),"")</f>
        <v/>
      </c>
      <c r="AE271" s="192" t="str">
        <f ca="1">IF(Flag_Send_Data=1,_xll.DBSW(PL_Saisie_Estime2!AE271,Server&amp;Cube1,PL_Saisie_Estime2!$F$17,PL_Saisie_Estime2!$F$18,PL_Saisie_Estime2!$F$19,PL_Saisie_Estime2!$F$16,PL_Saisie_Estime2!$C$14,PL_Saisie_Estime2!$F$15,PL_Saisie_Estime2!$F$14,PL_Saisie_Estime2!$F$20,PL_Saisie_Estime2!AE$2,PL_Saisie_Estime2!AE$1,PL_Saisie_Estime2!$C271),"")</f>
        <v/>
      </c>
      <c r="AF271" s="204"/>
      <c r="AG271" s="53"/>
      <c r="AH271" s="53"/>
      <c r="AI271" s="53"/>
      <c r="AJ271" s="53"/>
      <c r="AK271" s="53"/>
      <c r="AL271" s="53"/>
      <c r="AM271" s="53"/>
      <c r="AN271" s="53"/>
      <c r="AO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:53" s="9" customFormat="1" ht="24" customHeight="1" x14ac:dyDescent="0.35">
      <c r="A272" s="181"/>
      <c r="B272" s="163"/>
      <c r="C272" s="158"/>
      <c r="E272" s="270"/>
      <c r="F272" s="270"/>
      <c r="G272" s="270"/>
      <c r="H272" s="40"/>
      <c r="I272" s="130"/>
      <c r="J272" s="130"/>
      <c r="K272" s="130"/>
      <c r="L272" s="130"/>
      <c r="M272" s="130"/>
      <c r="N272" s="126"/>
      <c r="O272" s="204"/>
      <c r="P272" s="126"/>
      <c r="Q272" s="124"/>
      <c r="R272" s="192"/>
      <c r="S272" s="126"/>
      <c r="T272" s="200"/>
      <c r="U272" s="200"/>
      <c r="V272" s="200"/>
      <c r="W272" s="200"/>
      <c r="X272" s="200"/>
      <c r="Y272" s="200"/>
      <c r="Z272" s="192" t="str">
        <f ca="1">IF(Flag_Send_Data=1,_xll.DBSW(PL_Saisie_Estime2!Z272,Server&amp;Cube1,PL_Saisie_Estime2!$F$17,PL_Saisie_Estime2!$F$18,PL_Saisie_Estime2!$F$19,PL_Saisie_Estime2!$F$16,PL_Saisie_Estime2!$C$14,PL_Saisie_Estime2!$F$15,PL_Saisie_Estime2!$F$14,PL_Saisie_Estime2!$F$20,PL_Saisie_Estime2!Z$2,PL_Saisie_Estime2!Z$1,PL_Saisie_Estime2!$C272),"")</f>
        <v/>
      </c>
      <c r="AA272" s="192" t="str">
        <f ca="1">IF(Flag_Send_Data=1,_xll.DBSW(PL_Saisie_Estime2!AA272,Server&amp;Cube1,PL_Saisie_Estime2!$F$17,PL_Saisie_Estime2!$F$18,PL_Saisie_Estime2!$F$19,PL_Saisie_Estime2!$F$16,PL_Saisie_Estime2!$C$14,PL_Saisie_Estime2!$F$15,PL_Saisie_Estime2!$F$14,PL_Saisie_Estime2!$F$20,PL_Saisie_Estime2!AA$2,PL_Saisie_Estime2!AA$1,PL_Saisie_Estime2!$C272),"")</f>
        <v/>
      </c>
      <c r="AB272" s="192" t="str">
        <f ca="1">IF(Flag_Send_Data=1,_xll.DBSW(PL_Saisie_Estime2!AB272,Server&amp;Cube1,PL_Saisie_Estime2!$F$17,PL_Saisie_Estime2!$F$18,PL_Saisie_Estime2!$F$19,PL_Saisie_Estime2!$F$16,PL_Saisie_Estime2!$C$14,PL_Saisie_Estime2!$F$15,PL_Saisie_Estime2!$F$14,PL_Saisie_Estime2!$F$20,PL_Saisie_Estime2!AB$2,PL_Saisie_Estime2!AB$1,PL_Saisie_Estime2!$C272),"")</f>
        <v/>
      </c>
      <c r="AC272" s="192" t="str">
        <f ca="1">IF(Flag_Send_Data=1,_xll.DBSW(PL_Saisie_Estime2!AC272,Server&amp;Cube1,PL_Saisie_Estime2!$F$17,PL_Saisie_Estime2!$F$18,PL_Saisie_Estime2!$F$19,PL_Saisie_Estime2!$F$16,PL_Saisie_Estime2!$C$14,PL_Saisie_Estime2!$F$15,PL_Saisie_Estime2!$F$14,PL_Saisie_Estime2!$F$20,PL_Saisie_Estime2!AC$2,PL_Saisie_Estime2!AC$1,PL_Saisie_Estime2!$C272),"")</f>
        <v/>
      </c>
      <c r="AD272" s="192" t="str">
        <f ca="1">IF(Flag_Send_Data=1,_xll.DBSW(PL_Saisie_Estime2!AD272,Server&amp;Cube1,PL_Saisie_Estime2!$F$17,PL_Saisie_Estime2!$F$18,PL_Saisie_Estime2!$F$19,PL_Saisie_Estime2!$F$16,PL_Saisie_Estime2!$C$14,PL_Saisie_Estime2!$F$15,PL_Saisie_Estime2!$F$14,PL_Saisie_Estime2!$F$20,PL_Saisie_Estime2!AD$2,PL_Saisie_Estime2!AD$1,PL_Saisie_Estime2!$C272),"")</f>
        <v/>
      </c>
      <c r="AE272" s="192" t="str">
        <f ca="1">IF(Flag_Send_Data=1,_xll.DBSW(PL_Saisie_Estime2!AE272,Server&amp;Cube1,PL_Saisie_Estime2!$F$17,PL_Saisie_Estime2!$F$18,PL_Saisie_Estime2!$F$19,PL_Saisie_Estime2!$F$16,PL_Saisie_Estime2!$C$14,PL_Saisie_Estime2!$F$15,PL_Saisie_Estime2!$F$14,PL_Saisie_Estime2!$F$20,PL_Saisie_Estime2!AE$2,PL_Saisie_Estime2!AE$1,PL_Saisie_Estime2!$C272),"")</f>
        <v/>
      </c>
      <c r="AF272" s="204"/>
      <c r="AG272" s="53"/>
      <c r="AH272" s="53"/>
      <c r="AI272" s="53"/>
      <c r="AJ272" s="53"/>
      <c r="AK272" s="53"/>
      <c r="AL272" s="53"/>
      <c r="AM272" s="53"/>
      <c r="AN272" s="53"/>
      <c r="AO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:53" s="9" customFormat="1" ht="24" customHeight="1" x14ac:dyDescent="0.35">
      <c r="A273" s="181"/>
      <c r="B273" s="163"/>
      <c r="C273" s="158"/>
      <c r="E273" s="270"/>
      <c r="F273" s="270"/>
      <c r="G273" s="270"/>
      <c r="H273" s="40"/>
      <c r="I273" s="130"/>
      <c r="J273" s="130"/>
      <c r="K273" s="130"/>
      <c r="L273" s="130"/>
      <c r="M273" s="130"/>
      <c r="N273" s="126"/>
      <c r="O273" s="204"/>
      <c r="P273" s="126"/>
      <c r="Q273" s="124"/>
      <c r="R273" s="192"/>
      <c r="S273" s="126"/>
      <c r="T273" s="200"/>
      <c r="U273" s="200"/>
      <c r="V273" s="200"/>
      <c r="W273" s="200"/>
      <c r="X273" s="200"/>
      <c r="Y273" s="200"/>
      <c r="Z273" s="192" t="str">
        <f ca="1">IF(Flag_Send_Data=1,_xll.DBSW(PL_Saisie_Estime2!Z273,Server&amp;Cube1,PL_Saisie_Estime2!$F$17,PL_Saisie_Estime2!$F$18,PL_Saisie_Estime2!$F$19,PL_Saisie_Estime2!$F$16,PL_Saisie_Estime2!$C$14,PL_Saisie_Estime2!$F$15,PL_Saisie_Estime2!$F$14,PL_Saisie_Estime2!$F$20,PL_Saisie_Estime2!Z$2,PL_Saisie_Estime2!Z$1,PL_Saisie_Estime2!$C273),"")</f>
        <v/>
      </c>
      <c r="AA273" s="192" t="str">
        <f ca="1">IF(Flag_Send_Data=1,_xll.DBSW(PL_Saisie_Estime2!AA273,Server&amp;Cube1,PL_Saisie_Estime2!$F$17,PL_Saisie_Estime2!$F$18,PL_Saisie_Estime2!$F$19,PL_Saisie_Estime2!$F$16,PL_Saisie_Estime2!$C$14,PL_Saisie_Estime2!$F$15,PL_Saisie_Estime2!$F$14,PL_Saisie_Estime2!$F$20,PL_Saisie_Estime2!AA$2,PL_Saisie_Estime2!AA$1,PL_Saisie_Estime2!$C273),"")</f>
        <v/>
      </c>
      <c r="AB273" s="192" t="str">
        <f ca="1">IF(Flag_Send_Data=1,_xll.DBSW(PL_Saisie_Estime2!AB273,Server&amp;Cube1,PL_Saisie_Estime2!$F$17,PL_Saisie_Estime2!$F$18,PL_Saisie_Estime2!$F$19,PL_Saisie_Estime2!$F$16,PL_Saisie_Estime2!$C$14,PL_Saisie_Estime2!$F$15,PL_Saisie_Estime2!$F$14,PL_Saisie_Estime2!$F$20,PL_Saisie_Estime2!AB$2,PL_Saisie_Estime2!AB$1,PL_Saisie_Estime2!$C273),"")</f>
        <v/>
      </c>
      <c r="AC273" s="192" t="str">
        <f ca="1">IF(Flag_Send_Data=1,_xll.DBSW(PL_Saisie_Estime2!AC273,Server&amp;Cube1,PL_Saisie_Estime2!$F$17,PL_Saisie_Estime2!$F$18,PL_Saisie_Estime2!$F$19,PL_Saisie_Estime2!$F$16,PL_Saisie_Estime2!$C$14,PL_Saisie_Estime2!$F$15,PL_Saisie_Estime2!$F$14,PL_Saisie_Estime2!$F$20,PL_Saisie_Estime2!AC$2,PL_Saisie_Estime2!AC$1,PL_Saisie_Estime2!$C273),"")</f>
        <v/>
      </c>
      <c r="AD273" s="192" t="str">
        <f ca="1">IF(Flag_Send_Data=1,_xll.DBSW(PL_Saisie_Estime2!AD273,Server&amp;Cube1,PL_Saisie_Estime2!$F$17,PL_Saisie_Estime2!$F$18,PL_Saisie_Estime2!$F$19,PL_Saisie_Estime2!$F$16,PL_Saisie_Estime2!$C$14,PL_Saisie_Estime2!$F$15,PL_Saisie_Estime2!$F$14,PL_Saisie_Estime2!$F$20,PL_Saisie_Estime2!AD$2,PL_Saisie_Estime2!AD$1,PL_Saisie_Estime2!$C273),"")</f>
        <v/>
      </c>
      <c r="AE273" s="192" t="str">
        <f ca="1">IF(Flag_Send_Data=1,_xll.DBSW(PL_Saisie_Estime2!AE273,Server&amp;Cube1,PL_Saisie_Estime2!$F$17,PL_Saisie_Estime2!$F$18,PL_Saisie_Estime2!$F$19,PL_Saisie_Estime2!$F$16,PL_Saisie_Estime2!$C$14,PL_Saisie_Estime2!$F$15,PL_Saisie_Estime2!$F$14,PL_Saisie_Estime2!$F$20,PL_Saisie_Estime2!AE$2,PL_Saisie_Estime2!AE$1,PL_Saisie_Estime2!$C273),"")</f>
        <v/>
      </c>
      <c r="AF273" s="204"/>
      <c r="AG273" s="53"/>
      <c r="AH273" s="53"/>
      <c r="AI273" s="53"/>
      <c r="AJ273" s="53"/>
      <c r="AK273" s="53"/>
      <c r="AL273" s="53"/>
      <c r="AM273" s="53"/>
      <c r="AN273" s="53"/>
      <c r="AO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:53" s="9" customFormat="1" ht="24" customHeight="1" x14ac:dyDescent="0.35">
      <c r="A274" s="181"/>
      <c r="B274" s="163"/>
      <c r="C274" s="158"/>
      <c r="E274" s="270"/>
      <c r="F274" s="270"/>
      <c r="G274" s="270"/>
      <c r="H274" s="40"/>
      <c r="I274" s="130"/>
      <c r="J274" s="130"/>
      <c r="K274" s="130"/>
      <c r="L274" s="130"/>
      <c r="M274" s="130"/>
      <c r="N274" s="126"/>
      <c r="O274" s="204"/>
      <c r="P274" s="126"/>
      <c r="Q274" s="124"/>
      <c r="R274" s="192"/>
      <c r="S274" s="126"/>
      <c r="T274" s="200"/>
      <c r="U274" s="200"/>
      <c r="V274" s="200"/>
      <c r="W274" s="200"/>
      <c r="X274" s="200"/>
      <c r="Y274" s="200"/>
      <c r="Z274" s="192" t="str">
        <f ca="1">IF(Flag_Send_Data=1,_xll.DBSW(PL_Saisie_Estime2!Z274,Server&amp;Cube1,PL_Saisie_Estime2!$F$17,PL_Saisie_Estime2!$F$18,PL_Saisie_Estime2!$F$19,PL_Saisie_Estime2!$F$16,PL_Saisie_Estime2!$C$14,PL_Saisie_Estime2!$F$15,PL_Saisie_Estime2!$F$14,PL_Saisie_Estime2!$F$20,PL_Saisie_Estime2!Z$2,PL_Saisie_Estime2!Z$1,PL_Saisie_Estime2!$C274),"")</f>
        <v/>
      </c>
      <c r="AA274" s="192" t="str">
        <f ca="1">IF(Flag_Send_Data=1,_xll.DBSW(PL_Saisie_Estime2!AA274,Server&amp;Cube1,PL_Saisie_Estime2!$F$17,PL_Saisie_Estime2!$F$18,PL_Saisie_Estime2!$F$19,PL_Saisie_Estime2!$F$16,PL_Saisie_Estime2!$C$14,PL_Saisie_Estime2!$F$15,PL_Saisie_Estime2!$F$14,PL_Saisie_Estime2!$F$20,PL_Saisie_Estime2!AA$2,PL_Saisie_Estime2!AA$1,PL_Saisie_Estime2!$C274),"")</f>
        <v/>
      </c>
      <c r="AB274" s="192" t="str">
        <f ca="1">IF(Flag_Send_Data=1,_xll.DBSW(PL_Saisie_Estime2!AB274,Server&amp;Cube1,PL_Saisie_Estime2!$F$17,PL_Saisie_Estime2!$F$18,PL_Saisie_Estime2!$F$19,PL_Saisie_Estime2!$F$16,PL_Saisie_Estime2!$C$14,PL_Saisie_Estime2!$F$15,PL_Saisie_Estime2!$F$14,PL_Saisie_Estime2!$F$20,PL_Saisie_Estime2!AB$2,PL_Saisie_Estime2!AB$1,PL_Saisie_Estime2!$C274),"")</f>
        <v/>
      </c>
      <c r="AC274" s="192" t="str">
        <f ca="1">IF(Flag_Send_Data=1,_xll.DBSW(PL_Saisie_Estime2!AC274,Server&amp;Cube1,PL_Saisie_Estime2!$F$17,PL_Saisie_Estime2!$F$18,PL_Saisie_Estime2!$F$19,PL_Saisie_Estime2!$F$16,PL_Saisie_Estime2!$C$14,PL_Saisie_Estime2!$F$15,PL_Saisie_Estime2!$F$14,PL_Saisie_Estime2!$F$20,PL_Saisie_Estime2!AC$2,PL_Saisie_Estime2!AC$1,PL_Saisie_Estime2!$C274),"")</f>
        <v/>
      </c>
      <c r="AD274" s="192" t="str">
        <f ca="1">IF(Flag_Send_Data=1,_xll.DBSW(PL_Saisie_Estime2!AD274,Server&amp;Cube1,PL_Saisie_Estime2!$F$17,PL_Saisie_Estime2!$F$18,PL_Saisie_Estime2!$F$19,PL_Saisie_Estime2!$F$16,PL_Saisie_Estime2!$C$14,PL_Saisie_Estime2!$F$15,PL_Saisie_Estime2!$F$14,PL_Saisie_Estime2!$F$20,PL_Saisie_Estime2!AD$2,PL_Saisie_Estime2!AD$1,PL_Saisie_Estime2!$C274),"")</f>
        <v/>
      </c>
      <c r="AE274" s="192" t="str">
        <f ca="1">IF(Flag_Send_Data=1,_xll.DBSW(PL_Saisie_Estime2!AE274,Server&amp;Cube1,PL_Saisie_Estime2!$F$17,PL_Saisie_Estime2!$F$18,PL_Saisie_Estime2!$F$19,PL_Saisie_Estime2!$F$16,PL_Saisie_Estime2!$C$14,PL_Saisie_Estime2!$F$15,PL_Saisie_Estime2!$F$14,PL_Saisie_Estime2!$F$20,PL_Saisie_Estime2!AE$2,PL_Saisie_Estime2!AE$1,PL_Saisie_Estime2!$C274),"")</f>
        <v/>
      </c>
      <c r="AF274" s="204"/>
      <c r="AG274" s="53"/>
      <c r="AH274" s="53"/>
      <c r="AI274" s="53"/>
      <c r="AJ274" s="53"/>
      <c r="AK274" s="53"/>
      <c r="AL274" s="53"/>
      <c r="AM274" s="53"/>
      <c r="AN274" s="53"/>
      <c r="AO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:53" s="9" customFormat="1" ht="24" customHeight="1" x14ac:dyDescent="0.35">
      <c r="A275" s="181"/>
      <c r="B275" s="163"/>
      <c r="C275" s="158"/>
      <c r="E275" s="270"/>
      <c r="F275" s="270"/>
      <c r="G275" s="270"/>
      <c r="H275" s="40"/>
      <c r="I275" s="130"/>
      <c r="J275" s="130"/>
      <c r="K275" s="130"/>
      <c r="L275" s="130"/>
      <c r="M275" s="130"/>
      <c r="N275" s="126"/>
      <c r="O275" s="204"/>
      <c r="P275" s="126"/>
      <c r="Q275" s="124"/>
      <c r="R275" s="192"/>
      <c r="S275" s="126"/>
      <c r="T275" s="200"/>
      <c r="U275" s="200"/>
      <c r="V275" s="200"/>
      <c r="W275" s="200"/>
      <c r="X275" s="200"/>
      <c r="Y275" s="200"/>
      <c r="Z275" s="192" t="str">
        <f ca="1">IF(Flag_Send_Data=1,_xll.DBSW(PL_Saisie_Estime2!Z275,Server&amp;Cube1,PL_Saisie_Estime2!$F$17,PL_Saisie_Estime2!$F$18,PL_Saisie_Estime2!$F$19,PL_Saisie_Estime2!$F$16,PL_Saisie_Estime2!$C$14,PL_Saisie_Estime2!$F$15,PL_Saisie_Estime2!$F$14,PL_Saisie_Estime2!$F$20,PL_Saisie_Estime2!Z$2,PL_Saisie_Estime2!Z$1,PL_Saisie_Estime2!$C275),"")</f>
        <v/>
      </c>
      <c r="AA275" s="192" t="str">
        <f ca="1">IF(Flag_Send_Data=1,_xll.DBSW(PL_Saisie_Estime2!AA275,Server&amp;Cube1,PL_Saisie_Estime2!$F$17,PL_Saisie_Estime2!$F$18,PL_Saisie_Estime2!$F$19,PL_Saisie_Estime2!$F$16,PL_Saisie_Estime2!$C$14,PL_Saisie_Estime2!$F$15,PL_Saisie_Estime2!$F$14,PL_Saisie_Estime2!$F$20,PL_Saisie_Estime2!AA$2,PL_Saisie_Estime2!AA$1,PL_Saisie_Estime2!$C275),"")</f>
        <v/>
      </c>
      <c r="AB275" s="192" t="str">
        <f ca="1">IF(Flag_Send_Data=1,_xll.DBSW(PL_Saisie_Estime2!AB275,Server&amp;Cube1,PL_Saisie_Estime2!$F$17,PL_Saisie_Estime2!$F$18,PL_Saisie_Estime2!$F$19,PL_Saisie_Estime2!$F$16,PL_Saisie_Estime2!$C$14,PL_Saisie_Estime2!$F$15,PL_Saisie_Estime2!$F$14,PL_Saisie_Estime2!$F$20,PL_Saisie_Estime2!AB$2,PL_Saisie_Estime2!AB$1,PL_Saisie_Estime2!$C275),"")</f>
        <v/>
      </c>
      <c r="AC275" s="192" t="str">
        <f ca="1">IF(Flag_Send_Data=1,_xll.DBSW(PL_Saisie_Estime2!AC275,Server&amp;Cube1,PL_Saisie_Estime2!$F$17,PL_Saisie_Estime2!$F$18,PL_Saisie_Estime2!$F$19,PL_Saisie_Estime2!$F$16,PL_Saisie_Estime2!$C$14,PL_Saisie_Estime2!$F$15,PL_Saisie_Estime2!$F$14,PL_Saisie_Estime2!$F$20,PL_Saisie_Estime2!AC$2,PL_Saisie_Estime2!AC$1,PL_Saisie_Estime2!$C275),"")</f>
        <v/>
      </c>
      <c r="AD275" s="192" t="str">
        <f ca="1">IF(Flag_Send_Data=1,_xll.DBSW(PL_Saisie_Estime2!AD275,Server&amp;Cube1,PL_Saisie_Estime2!$F$17,PL_Saisie_Estime2!$F$18,PL_Saisie_Estime2!$F$19,PL_Saisie_Estime2!$F$16,PL_Saisie_Estime2!$C$14,PL_Saisie_Estime2!$F$15,PL_Saisie_Estime2!$F$14,PL_Saisie_Estime2!$F$20,PL_Saisie_Estime2!AD$2,PL_Saisie_Estime2!AD$1,PL_Saisie_Estime2!$C275),"")</f>
        <v/>
      </c>
      <c r="AE275" s="192" t="str">
        <f ca="1">IF(Flag_Send_Data=1,_xll.DBSW(PL_Saisie_Estime2!AE275,Server&amp;Cube1,PL_Saisie_Estime2!$F$17,PL_Saisie_Estime2!$F$18,PL_Saisie_Estime2!$F$19,PL_Saisie_Estime2!$F$16,PL_Saisie_Estime2!$C$14,PL_Saisie_Estime2!$F$15,PL_Saisie_Estime2!$F$14,PL_Saisie_Estime2!$F$20,PL_Saisie_Estime2!AE$2,PL_Saisie_Estime2!AE$1,PL_Saisie_Estime2!$C275),"")</f>
        <v/>
      </c>
      <c r="AF275" s="204"/>
      <c r="AG275" s="53"/>
      <c r="AH275" s="53"/>
      <c r="AI275" s="53"/>
      <c r="AJ275" s="53"/>
      <c r="AK275" s="53"/>
      <c r="AL275" s="53"/>
      <c r="AM275" s="53"/>
      <c r="AN275" s="53"/>
      <c r="AO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:53" s="9" customFormat="1" ht="24" customHeight="1" x14ac:dyDescent="0.35">
      <c r="A276" s="181"/>
      <c r="B276" s="163"/>
      <c r="C276" s="158"/>
      <c r="E276" s="270"/>
      <c r="F276" s="270"/>
      <c r="G276" s="270"/>
      <c r="H276" s="40"/>
      <c r="I276" s="130"/>
      <c r="J276" s="130"/>
      <c r="K276" s="130"/>
      <c r="L276" s="130"/>
      <c r="M276" s="130"/>
      <c r="N276" s="126"/>
      <c r="O276" s="204"/>
      <c r="P276" s="126"/>
      <c r="Q276" s="124"/>
      <c r="R276" s="192"/>
      <c r="S276" s="126"/>
      <c r="T276" s="200"/>
      <c r="U276" s="200"/>
      <c r="V276" s="200"/>
      <c r="W276" s="200"/>
      <c r="X276" s="200"/>
      <c r="Y276" s="200"/>
      <c r="Z276" s="192" t="str">
        <f ca="1">IF(Flag_Send_Data=1,_xll.DBSW(PL_Saisie_Estime2!Z276,Server&amp;Cube1,PL_Saisie_Estime2!$F$17,PL_Saisie_Estime2!$F$18,PL_Saisie_Estime2!$F$19,PL_Saisie_Estime2!$F$16,PL_Saisie_Estime2!$C$14,PL_Saisie_Estime2!$F$15,PL_Saisie_Estime2!$F$14,PL_Saisie_Estime2!$F$20,PL_Saisie_Estime2!Z$2,PL_Saisie_Estime2!Z$1,PL_Saisie_Estime2!$C276),"")</f>
        <v/>
      </c>
      <c r="AA276" s="192" t="str">
        <f ca="1">IF(Flag_Send_Data=1,_xll.DBSW(PL_Saisie_Estime2!AA276,Server&amp;Cube1,PL_Saisie_Estime2!$F$17,PL_Saisie_Estime2!$F$18,PL_Saisie_Estime2!$F$19,PL_Saisie_Estime2!$F$16,PL_Saisie_Estime2!$C$14,PL_Saisie_Estime2!$F$15,PL_Saisie_Estime2!$F$14,PL_Saisie_Estime2!$F$20,PL_Saisie_Estime2!AA$2,PL_Saisie_Estime2!AA$1,PL_Saisie_Estime2!$C276),"")</f>
        <v/>
      </c>
      <c r="AB276" s="192" t="str">
        <f ca="1">IF(Flag_Send_Data=1,_xll.DBSW(PL_Saisie_Estime2!AB276,Server&amp;Cube1,PL_Saisie_Estime2!$F$17,PL_Saisie_Estime2!$F$18,PL_Saisie_Estime2!$F$19,PL_Saisie_Estime2!$F$16,PL_Saisie_Estime2!$C$14,PL_Saisie_Estime2!$F$15,PL_Saisie_Estime2!$F$14,PL_Saisie_Estime2!$F$20,PL_Saisie_Estime2!AB$2,PL_Saisie_Estime2!AB$1,PL_Saisie_Estime2!$C276),"")</f>
        <v/>
      </c>
      <c r="AC276" s="192" t="str">
        <f ca="1">IF(Flag_Send_Data=1,_xll.DBSW(PL_Saisie_Estime2!AC276,Server&amp;Cube1,PL_Saisie_Estime2!$F$17,PL_Saisie_Estime2!$F$18,PL_Saisie_Estime2!$F$19,PL_Saisie_Estime2!$F$16,PL_Saisie_Estime2!$C$14,PL_Saisie_Estime2!$F$15,PL_Saisie_Estime2!$F$14,PL_Saisie_Estime2!$F$20,PL_Saisie_Estime2!AC$2,PL_Saisie_Estime2!AC$1,PL_Saisie_Estime2!$C276),"")</f>
        <v/>
      </c>
      <c r="AD276" s="192" t="str">
        <f ca="1">IF(Flag_Send_Data=1,_xll.DBSW(PL_Saisie_Estime2!AD276,Server&amp;Cube1,PL_Saisie_Estime2!$F$17,PL_Saisie_Estime2!$F$18,PL_Saisie_Estime2!$F$19,PL_Saisie_Estime2!$F$16,PL_Saisie_Estime2!$C$14,PL_Saisie_Estime2!$F$15,PL_Saisie_Estime2!$F$14,PL_Saisie_Estime2!$F$20,PL_Saisie_Estime2!AD$2,PL_Saisie_Estime2!AD$1,PL_Saisie_Estime2!$C276),"")</f>
        <v/>
      </c>
      <c r="AE276" s="192" t="str">
        <f ca="1">IF(Flag_Send_Data=1,_xll.DBSW(PL_Saisie_Estime2!AE276,Server&amp;Cube1,PL_Saisie_Estime2!$F$17,PL_Saisie_Estime2!$F$18,PL_Saisie_Estime2!$F$19,PL_Saisie_Estime2!$F$16,PL_Saisie_Estime2!$C$14,PL_Saisie_Estime2!$F$15,PL_Saisie_Estime2!$F$14,PL_Saisie_Estime2!$F$20,PL_Saisie_Estime2!AE$2,PL_Saisie_Estime2!AE$1,PL_Saisie_Estime2!$C276),"")</f>
        <v/>
      </c>
      <c r="AF276" s="204"/>
      <c r="AG276" s="53"/>
      <c r="AH276" s="53"/>
      <c r="AI276" s="53"/>
      <c r="AJ276" s="53"/>
      <c r="AK276" s="53"/>
      <c r="AL276" s="53"/>
      <c r="AM276" s="53"/>
      <c r="AN276" s="53"/>
      <c r="AO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:53" s="9" customFormat="1" ht="24" customHeight="1" x14ac:dyDescent="0.35">
      <c r="A277" s="181"/>
      <c r="B277" s="163"/>
      <c r="C277" s="158"/>
      <c r="E277" s="270"/>
      <c r="F277" s="270"/>
      <c r="G277" s="270"/>
      <c r="H277" s="40"/>
      <c r="I277" s="130"/>
      <c r="J277" s="130"/>
      <c r="K277" s="130"/>
      <c r="L277" s="130"/>
      <c r="M277" s="130"/>
      <c r="N277" s="126"/>
      <c r="O277" s="204"/>
      <c r="P277" s="126"/>
      <c r="Q277" s="124"/>
      <c r="R277" s="192"/>
      <c r="S277" s="126"/>
      <c r="T277" s="200"/>
      <c r="U277" s="200"/>
      <c r="V277" s="200"/>
      <c r="W277" s="200"/>
      <c r="X277" s="200"/>
      <c r="Y277" s="200"/>
      <c r="Z277" s="192" t="str">
        <f ca="1">IF(Flag_Send_Data=1,_xll.DBSW(PL_Saisie_Estime2!Z277,Server&amp;Cube1,PL_Saisie_Estime2!$F$17,PL_Saisie_Estime2!$F$18,PL_Saisie_Estime2!$F$19,PL_Saisie_Estime2!$F$16,PL_Saisie_Estime2!$C$14,PL_Saisie_Estime2!$F$15,PL_Saisie_Estime2!$F$14,PL_Saisie_Estime2!$F$20,PL_Saisie_Estime2!Z$2,PL_Saisie_Estime2!Z$1,PL_Saisie_Estime2!$C277),"")</f>
        <v/>
      </c>
      <c r="AA277" s="192" t="str">
        <f ca="1">IF(Flag_Send_Data=1,_xll.DBSW(PL_Saisie_Estime2!AA277,Server&amp;Cube1,PL_Saisie_Estime2!$F$17,PL_Saisie_Estime2!$F$18,PL_Saisie_Estime2!$F$19,PL_Saisie_Estime2!$F$16,PL_Saisie_Estime2!$C$14,PL_Saisie_Estime2!$F$15,PL_Saisie_Estime2!$F$14,PL_Saisie_Estime2!$F$20,PL_Saisie_Estime2!AA$2,PL_Saisie_Estime2!AA$1,PL_Saisie_Estime2!$C277),"")</f>
        <v/>
      </c>
      <c r="AB277" s="192" t="str">
        <f ca="1">IF(Flag_Send_Data=1,_xll.DBSW(PL_Saisie_Estime2!AB277,Server&amp;Cube1,PL_Saisie_Estime2!$F$17,PL_Saisie_Estime2!$F$18,PL_Saisie_Estime2!$F$19,PL_Saisie_Estime2!$F$16,PL_Saisie_Estime2!$C$14,PL_Saisie_Estime2!$F$15,PL_Saisie_Estime2!$F$14,PL_Saisie_Estime2!$F$20,PL_Saisie_Estime2!AB$2,PL_Saisie_Estime2!AB$1,PL_Saisie_Estime2!$C277),"")</f>
        <v/>
      </c>
      <c r="AC277" s="192" t="str">
        <f ca="1">IF(Flag_Send_Data=1,_xll.DBSW(PL_Saisie_Estime2!AC277,Server&amp;Cube1,PL_Saisie_Estime2!$F$17,PL_Saisie_Estime2!$F$18,PL_Saisie_Estime2!$F$19,PL_Saisie_Estime2!$F$16,PL_Saisie_Estime2!$C$14,PL_Saisie_Estime2!$F$15,PL_Saisie_Estime2!$F$14,PL_Saisie_Estime2!$F$20,PL_Saisie_Estime2!AC$2,PL_Saisie_Estime2!AC$1,PL_Saisie_Estime2!$C277),"")</f>
        <v/>
      </c>
      <c r="AD277" s="192" t="str">
        <f ca="1">IF(Flag_Send_Data=1,_xll.DBSW(PL_Saisie_Estime2!AD277,Server&amp;Cube1,PL_Saisie_Estime2!$F$17,PL_Saisie_Estime2!$F$18,PL_Saisie_Estime2!$F$19,PL_Saisie_Estime2!$F$16,PL_Saisie_Estime2!$C$14,PL_Saisie_Estime2!$F$15,PL_Saisie_Estime2!$F$14,PL_Saisie_Estime2!$F$20,PL_Saisie_Estime2!AD$2,PL_Saisie_Estime2!AD$1,PL_Saisie_Estime2!$C277),"")</f>
        <v/>
      </c>
      <c r="AE277" s="192" t="str">
        <f ca="1">IF(Flag_Send_Data=1,_xll.DBSW(PL_Saisie_Estime2!AE277,Server&amp;Cube1,PL_Saisie_Estime2!$F$17,PL_Saisie_Estime2!$F$18,PL_Saisie_Estime2!$F$19,PL_Saisie_Estime2!$F$16,PL_Saisie_Estime2!$C$14,PL_Saisie_Estime2!$F$15,PL_Saisie_Estime2!$F$14,PL_Saisie_Estime2!$F$20,PL_Saisie_Estime2!AE$2,PL_Saisie_Estime2!AE$1,PL_Saisie_Estime2!$C277),"")</f>
        <v/>
      </c>
      <c r="AF277" s="204"/>
      <c r="AG277" s="53"/>
      <c r="AH277" s="53"/>
      <c r="AI277" s="53"/>
      <c r="AJ277" s="53"/>
      <c r="AK277" s="53"/>
      <c r="AL277" s="53"/>
      <c r="AM277" s="53"/>
      <c r="AN277" s="53"/>
      <c r="AO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:53" s="9" customFormat="1" ht="24" customHeight="1" x14ac:dyDescent="0.35">
      <c r="A278" s="181"/>
      <c r="B278" s="163"/>
      <c r="C278" s="158"/>
      <c r="E278" s="270"/>
      <c r="F278" s="270"/>
      <c r="G278" s="270"/>
      <c r="H278" s="40"/>
      <c r="I278" s="130"/>
      <c r="J278" s="130"/>
      <c r="K278" s="130"/>
      <c r="L278" s="130"/>
      <c r="M278" s="130"/>
      <c r="N278" s="126"/>
      <c r="O278" s="204"/>
      <c r="P278" s="126"/>
      <c r="Q278" s="124"/>
      <c r="R278" s="192"/>
      <c r="S278" s="126"/>
      <c r="T278" s="200"/>
      <c r="U278" s="200"/>
      <c r="V278" s="200"/>
      <c r="W278" s="200"/>
      <c r="X278" s="200"/>
      <c r="Y278" s="200"/>
      <c r="Z278" s="192" t="str">
        <f ca="1">IF(Flag_Send_Data=1,_xll.DBSW(PL_Saisie_Estime2!Z278,Server&amp;Cube1,PL_Saisie_Estime2!$F$17,PL_Saisie_Estime2!$F$18,PL_Saisie_Estime2!$F$19,PL_Saisie_Estime2!$F$16,PL_Saisie_Estime2!$C$14,PL_Saisie_Estime2!$F$15,PL_Saisie_Estime2!$F$14,PL_Saisie_Estime2!$F$20,PL_Saisie_Estime2!Z$2,PL_Saisie_Estime2!Z$1,PL_Saisie_Estime2!$C278),"")</f>
        <v/>
      </c>
      <c r="AA278" s="192" t="str">
        <f ca="1">IF(Flag_Send_Data=1,_xll.DBSW(PL_Saisie_Estime2!AA278,Server&amp;Cube1,PL_Saisie_Estime2!$F$17,PL_Saisie_Estime2!$F$18,PL_Saisie_Estime2!$F$19,PL_Saisie_Estime2!$F$16,PL_Saisie_Estime2!$C$14,PL_Saisie_Estime2!$F$15,PL_Saisie_Estime2!$F$14,PL_Saisie_Estime2!$F$20,PL_Saisie_Estime2!AA$2,PL_Saisie_Estime2!AA$1,PL_Saisie_Estime2!$C278),"")</f>
        <v/>
      </c>
      <c r="AB278" s="192" t="str">
        <f ca="1">IF(Flag_Send_Data=1,_xll.DBSW(PL_Saisie_Estime2!AB278,Server&amp;Cube1,PL_Saisie_Estime2!$F$17,PL_Saisie_Estime2!$F$18,PL_Saisie_Estime2!$F$19,PL_Saisie_Estime2!$F$16,PL_Saisie_Estime2!$C$14,PL_Saisie_Estime2!$F$15,PL_Saisie_Estime2!$F$14,PL_Saisie_Estime2!$F$20,PL_Saisie_Estime2!AB$2,PL_Saisie_Estime2!AB$1,PL_Saisie_Estime2!$C278),"")</f>
        <v/>
      </c>
      <c r="AC278" s="192" t="str">
        <f ca="1">IF(Flag_Send_Data=1,_xll.DBSW(PL_Saisie_Estime2!AC278,Server&amp;Cube1,PL_Saisie_Estime2!$F$17,PL_Saisie_Estime2!$F$18,PL_Saisie_Estime2!$F$19,PL_Saisie_Estime2!$F$16,PL_Saisie_Estime2!$C$14,PL_Saisie_Estime2!$F$15,PL_Saisie_Estime2!$F$14,PL_Saisie_Estime2!$F$20,PL_Saisie_Estime2!AC$2,PL_Saisie_Estime2!AC$1,PL_Saisie_Estime2!$C278),"")</f>
        <v/>
      </c>
      <c r="AD278" s="192" t="str">
        <f ca="1">IF(Flag_Send_Data=1,_xll.DBSW(PL_Saisie_Estime2!AD278,Server&amp;Cube1,PL_Saisie_Estime2!$F$17,PL_Saisie_Estime2!$F$18,PL_Saisie_Estime2!$F$19,PL_Saisie_Estime2!$F$16,PL_Saisie_Estime2!$C$14,PL_Saisie_Estime2!$F$15,PL_Saisie_Estime2!$F$14,PL_Saisie_Estime2!$F$20,PL_Saisie_Estime2!AD$2,PL_Saisie_Estime2!AD$1,PL_Saisie_Estime2!$C278),"")</f>
        <v/>
      </c>
      <c r="AE278" s="192" t="str">
        <f ca="1">IF(Flag_Send_Data=1,_xll.DBSW(PL_Saisie_Estime2!AE278,Server&amp;Cube1,PL_Saisie_Estime2!$F$17,PL_Saisie_Estime2!$F$18,PL_Saisie_Estime2!$F$19,PL_Saisie_Estime2!$F$16,PL_Saisie_Estime2!$C$14,PL_Saisie_Estime2!$F$15,PL_Saisie_Estime2!$F$14,PL_Saisie_Estime2!$F$20,PL_Saisie_Estime2!AE$2,PL_Saisie_Estime2!AE$1,PL_Saisie_Estime2!$C278),"")</f>
        <v/>
      </c>
      <c r="AF278" s="204"/>
      <c r="AG278" s="53"/>
      <c r="AH278" s="53"/>
      <c r="AI278" s="53"/>
      <c r="AJ278" s="53"/>
      <c r="AK278" s="53"/>
      <c r="AL278" s="53"/>
      <c r="AM278" s="53"/>
      <c r="AN278" s="53"/>
      <c r="AO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:53" s="9" customFormat="1" ht="24" customHeight="1" x14ac:dyDescent="0.35">
      <c r="A279" s="181"/>
      <c r="B279" s="163"/>
      <c r="C279" s="158"/>
      <c r="E279" s="270"/>
      <c r="F279" s="270"/>
      <c r="G279" s="270"/>
      <c r="H279" s="40"/>
      <c r="I279" s="130"/>
      <c r="J279" s="130"/>
      <c r="K279" s="130"/>
      <c r="L279" s="130"/>
      <c r="M279" s="130"/>
      <c r="N279" s="126"/>
      <c r="O279" s="204"/>
      <c r="P279" s="126"/>
      <c r="Q279" s="124"/>
      <c r="R279" s="192"/>
      <c r="S279" s="126"/>
      <c r="T279" s="200"/>
      <c r="U279" s="200"/>
      <c r="V279" s="200"/>
      <c r="W279" s="200"/>
      <c r="X279" s="200"/>
      <c r="Y279" s="200"/>
      <c r="Z279" s="192" t="str">
        <f ca="1">IF(Flag_Send_Data=1,_xll.DBSW(PL_Saisie_Estime2!Z279,Server&amp;Cube1,PL_Saisie_Estime2!$F$17,PL_Saisie_Estime2!$F$18,PL_Saisie_Estime2!$F$19,PL_Saisie_Estime2!$F$16,PL_Saisie_Estime2!$C$14,PL_Saisie_Estime2!$F$15,PL_Saisie_Estime2!$F$14,PL_Saisie_Estime2!$F$20,PL_Saisie_Estime2!Z$2,PL_Saisie_Estime2!Z$1,PL_Saisie_Estime2!$C279),"")</f>
        <v/>
      </c>
      <c r="AA279" s="192" t="str">
        <f ca="1">IF(Flag_Send_Data=1,_xll.DBSW(PL_Saisie_Estime2!AA279,Server&amp;Cube1,PL_Saisie_Estime2!$F$17,PL_Saisie_Estime2!$F$18,PL_Saisie_Estime2!$F$19,PL_Saisie_Estime2!$F$16,PL_Saisie_Estime2!$C$14,PL_Saisie_Estime2!$F$15,PL_Saisie_Estime2!$F$14,PL_Saisie_Estime2!$F$20,PL_Saisie_Estime2!AA$2,PL_Saisie_Estime2!AA$1,PL_Saisie_Estime2!$C279),"")</f>
        <v/>
      </c>
      <c r="AB279" s="192" t="str">
        <f ca="1">IF(Flag_Send_Data=1,_xll.DBSW(PL_Saisie_Estime2!AB279,Server&amp;Cube1,PL_Saisie_Estime2!$F$17,PL_Saisie_Estime2!$F$18,PL_Saisie_Estime2!$F$19,PL_Saisie_Estime2!$F$16,PL_Saisie_Estime2!$C$14,PL_Saisie_Estime2!$F$15,PL_Saisie_Estime2!$F$14,PL_Saisie_Estime2!$F$20,PL_Saisie_Estime2!AB$2,PL_Saisie_Estime2!AB$1,PL_Saisie_Estime2!$C279),"")</f>
        <v/>
      </c>
      <c r="AC279" s="192" t="str">
        <f ca="1">IF(Flag_Send_Data=1,_xll.DBSW(PL_Saisie_Estime2!AC279,Server&amp;Cube1,PL_Saisie_Estime2!$F$17,PL_Saisie_Estime2!$F$18,PL_Saisie_Estime2!$F$19,PL_Saisie_Estime2!$F$16,PL_Saisie_Estime2!$C$14,PL_Saisie_Estime2!$F$15,PL_Saisie_Estime2!$F$14,PL_Saisie_Estime2!$F$20,PL_Saisie_Estime2!AC$2,PL_Saisie_Estime2!AC$1,PL_Saisie_Estime2!$C279),"")</f>
        <v/>
      </c>
      <c r="AD279" s="192" t="str">
        <f ca="1">IF(Flag_Send_Data=1,_xll.DBSW(PL_Saisie_Estime2!AD279,Server&amp;Cube1,PL_Saisie_Estime2!$F$17,PL_Saisie_Estime2!$F$18,PL_Saisie_Estime2!$F$19,PL_Saisie_Estime2!$F$16,PL_Saisie_Estime2!$C$14,PL_Saisie_Estime2!$F$15,PL_Saisie_Estime2!$F$14,PL_Saisie_Estime2!$F$20,PL_Saisie_Estime2!AD$2,PL_Saisie_Estime2!AD$1,PL_Saisie_Estime2!$C279),"")</f>
        <v/>
      </c>
      <c r="AE279" s="192" t="str">
        <f ca="1">IF(Flag_Send_Data=1,_xll.DBSW(PL_Saisie_Estime2!AE279,Server&amp;Cube1,PL_Saisie_Estime2!$F$17,PL_Saisie_Estime2!$F$18,PL_Saisie_Estime2!$F$19,PL_Saisie_Estime2!$F$16,PL_Saisie_Estime2!$C$14,PL_Saisie_Estime2!$F$15,PL_Saisie_Estime2!$F$14,PL_Saisie_Estime2!$F$20,PL_Saisie_Estime2!AE$2,PL_Saisie_Estime2!AE$1,PL_Saisie_Estime2!$C279),"")</f>
        <v/>
      </c>
      <c r="AF279" s="204"/>
      <c r="AG279" s="53"/>
      <c r="AH279" s="53"/>
      <c r="AI279" s="53"/>
      <c r="AJ279" s="53"/>
      <c r="AK279" s="53"/>
      <c r="AL279" s="53"/>
      <c r="AM279" s="53"/>
      <c r="AN279" s="53"/>
      <c r="AO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:53" s="9" customFormat="1" ht="24" customHeight="1" x14ac:dyDescent="0.35">
      <c r="A280" s="181"/>
      <c r="B280" s="163"/>
      <c r="C280" s="117"/>
      <c r="E280" s="272"/>
      <c r="F280" s="272"/>
      <c r="G280" s="272"/>
      <c r="H280" s="40"/>
      <c r="I280" s="130"/>
      <c r="J280" s="130"/>
      <c r="K280" s="130"/>
      <c r="L280" s="130"/>
      <c r="M280" s="130"/>
      <c r="N280" s="126"/>
      <c r="O280" s="126"/>
      <c r="P280" s="126"/>
      <c r="Q280" s="124"/>
      <c r="R280" s="126"/>
      <c r="S280" s="126"/>
      <c r="T280" s="203"/>
      <c r="U280" s="203"/>
      <c r="V280" s="203"/>
      <c r="W280" s="203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53"/>
      <c r="AH280" s="53"/>
      <c r="AI280" s="53"/>
      <c r="AJ280" s="53"/>
      <c r="AK280" s="53"/>
      <c r="AL280" s="53"/>
      <c r="AM280" s="53"/>
      <c r="AN280" s="53"/>
      <c r="AO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:53" s="9" customFormat="1" ht="24" customHeight="1" x14ac:dyDescent="0.35">
      <c r="A281" s="181"/>
      <c r="B281" s="163"/>
      <c r="C281" s="158"/>
      <c r="E281" s="270"/>
      <c r="F281" s="270"/>
      <c r="G281" s="270"/>
      <c r="H281" s="40"/>
      <c r="I281" s="130"/>
      <c r="J281" s="130"/>
      <c r="K281" s="130"/>
      <c r="L281" s="130"/>
      <c r="M281" s="130"/>
      <c r="N281" s="126"/>
      <c r="O281" s="204"/>
      <c r="P281" s="126"/>
      <c r="Q281" s="124"/>
      <c r="R281" s="192"/>
      <c r="S281" s="126"/>
      <c r="T281" s="200"/>
      <c r="U281" s="200"/>
      <c r="V281" s="200"/>
      <c r="W281" s="200"/>
      <c r="X281" s="200"/>
      <c r="Y281" s="200"/>
      <c r="Z281" s="192" t="str">
        <f ca="1">IF(Flag_Send_Data=1,_xll.DBSW(PL_Saisie_Estime2!Z281,Server&amp;Cube1,PL_Saisie_Estime2!$F$17,PL_Saisie_Estime2!$F$18,PL_Saisie_Estime2!$F$19,PL_Saisie_Estime2!$F$16,PL_Saisie_Estime2!$C$14,PL_Saisie_Estime2!$F$15,PL_Saisie_Estime2!$F$14,PL_Saisie_Estime2!$F$20,PL_Saisie_Estime2!Z$2,PL_Saisie_Estime2!Z$1,PL_Saisie_Estime2!$C281),"")</f>
        <v/>
      </c>
      <c r="AA281" s="192" t="str">
        <f ca="1">IF(Flag_Send_Data=1,_xll.DBSW(PL_Saisie_Estime2!AA281,Server&amp;Cube1,PL_Saisie_Estime2!$F$17,PL_Saisie_Estime2!$F$18,PL_Saisie_Estime2!$F$19,PL_Saisie_Estime2!$F$16,PL_Saisie_Estime2!$C$14,PL_Saisie_Estime2!$F$15,PL_Saisie_Estime2!$F$14,PL_Saisie_Estime2!$F$20,PL_Saisie_Estime2!AA$2,PL_Saisie_Estime2!AA$1,PL_Saisie_Estime2!$C281),"")</f>
        <v/>
      </c>
      <c r="AB281" s="192" t="str">
        <f ca="1">IF(Flag_Send_Data=1,_xll.DBSW(PL_Saisie_Estime2!AB281,Server&amp;Cube1,PL_Saisie_Estime2!$F$17,PL_Saisie_Estime2!$F$18,PL_Saisie_Estime2!$F$19,PL_Saisie_Estime2!$F$16,PL_Saisie_Estime2!$C$14,PL_Saisie_Estime2!$F$15,PL_Saisie_Estime2!$F$14,PL_Saisie_Estime2!$F$20,PL_Saisie_Estime2!AB$2,PL_Saisie_Estime2!AB$1,PL_Saisie_Estime2!$C281),"")</f>
        <v/>
      </c>
      <c r="AC281" s="192" t="str">
        <f ca="1">IF(Flag_Send_Data=1,_xll.DBSW(PL_Saisie_Estime2!AC281,Server&amp;Cube1,PL_Saisie_Estime2!$F$17,PL_Saisie_Estime2!$F$18,PL_Saisie_Estime2!$F$19,PL_Saisie_Estime2!$F$16,PL_Saisie_Estime2!$C$14,PL_Saisie_Estime2!$F$15,PL_Saisie_Estime2!$F$14,PL_Saisie_Estime2!$F$20,PL_Saisie_Estime2!AC$2,PL_Saisie_Estime2!AC$1,PL_Saisie_Estime2!$C281),"")</f>
        <v/>
      </c>
      <c r="AD281" s="192" t="str">
        <f ca="1">IF(Flag_Send_Data=1,_xll.DBSW(PL_Saisie_Estime2!AD281,Server&amp;Cube1,PL_Saisie_Estime2!$F$17,PL_Saisie_Estime2!$F$18,PL_Saisie_Estime2!$F$19,PL_Saisie_Estime2!$F$16,PL_Saisie_Estime2!$C$14,PL_Saisie_Estime2!$F$15,PL_Saisie_Estime2!$F$14,PL_Saisie_Estime2!$F$20,PL_Saisie_Estime2!AD$2,PL_Saisie_Estime2!AD$1,PL_Saisie_Estime2!$C281),"")</f>
        <v/>
      </c>
      <c r="AE281" s="192" t="str">
        <f ca="1">IF(Flag_Send_Data=1,_xll.DBSW(PL_Saisie_Estime2!AE281,Server&amp;Cube1,PL_Saisie_Estime2!$F$17,PL_Saisie_Estime2!$F$18,PL_Saisie_Estime2!$F$19,PL_Saisie_Estime2!$F$16,PL_Saisie_Estime2!$C$14,PL_Saisie_Estime2!$F$15,PL_Saisie_Estime2!$F$14,PL_Saisie_Estime2!$F$20,PL_Saisie_Estime2!AE$2,PL_Saisie_Estime2!AE$1,PL_Saisie_Estime2!$C281),"")</f>
        <v/>
      </c>
      <c r="AF281" s="204"/>
      <c r="AG281" s="53"/>
      <c r="AH281" s="53"/>
      <c r="AI281" s="53"/>
      <c r="AJ281" s="53"/>
      <c r="AK281" s="53"/>
      <c r="AL281" s="53"/>
      <c r="AM281" s="53"/>
      <c r="AN281" s="53"/>
      <c r="AO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:53" s="9" customFormat="1" ht="24" customHeight="1" x14ac:dyDescent="0.35">
      <c r="A282" s="181"/>
      <c r="B282" s="163"/>
      <c r="C282" s="158"/>
      <c r="E282" s="270"/>
      <c r="F282" s="270"/>
      <c r="G282" s="270"/>
      <c r="H282" s="40"/>
      <c r="I282" s="130"/>
      <c r="J282" s="130"/>
      <c r="K282" s="130"/>
      <c r="L282" s="130"/>
      <c r="M282" s="130"/>
      <c r="N282" s="126"/>
      <c r="O282" s="204"/>
      <c r="P282" s="126"/>
      <c r="Q282" s="124"/>
      <c r="R282" s="192"/>
      <c r="S282" s="126"/>
      <c r="T282" s="200"/>
      <c r="U282" s="200"/>
      <c r="V282" s="200"/>
      <c r="W282" s="200"/>
      <c r="X282" s="200"/>
      <c r="Y282" s="200"/>
      <c r="Z282" s="192" t="str">
        <f ca="1">IF(Flag_Send_Data=1,_xll.DBSW(PL_Saisie_Estime2!Z282,Server&amp;Cube1,PL_Saisie_Estime2!$F$17,PL_Saisie_Estime2!$F$18,PL_Saisie_Estime2!$F$19,PL_Saisie_Estime2!$F$16,PL_Saisie_Estime2!$C$14,PL_Saisie_Estime2!$F$15,PL_Saisie_Estime2!$F$14,PL_Saisie_Estime2!$F$20,PL_Saisie_Estime2!Z$2,PL_Saisie_Estime2!Z$1,PL_Saisie_Estime2!$C282),"")</f>
        <v/>
      </c>
      <c r="AA282" s="192" t="str">
        <f ca="1">IF(Flag_Send_Data=1,_xll.DBSW(PL_Saisie_Estime2!AA282,Server&amp;Cube1,PL_Saisie_Estime2!$F$17,PL_Saisie_Estime2!$F$18,PL_Saisie_Estime2!$F$19,PL_Saisie_Estime2!$F$16,PL_Saisie_Estime2!$C$14,PL_Saisie_Estime2!$F$15,PL_Saisie_Estime2!$F$14,PL_Saisie_Estime2!$F$20,PL_Saisie_Estime2!AA$2,PL_Saisie_Estime2!AA$1,PL_Saisie_Estime2!$C282),"")</f>
        <v/>
      </c>
      <c r="AB282" s="192" t="str">
        <f ca="1">IF(Flag_Send_Data=1,_xll.DBSW(PL_Saisie_Estime2!AB282,Server&amp;Cube1,PL_Saisie_Estime2!$F$17,PL_Saisie_Estime2!$F$18,PL_Saisie_Estime2!$F$19,PL_Saisie_Estime2!$F$16,PL_Saisie_Estime2!$C$14,PL_Saisie_Estime2!$F$15,PL_Saisie_Estime2!$F$14,PL_Saisie_Estime2!$F$20,PL_Saisie_Estime2!AB$2,PL_Saisie_Estime2!AB$1,PL_Saisie_Estime2!$C282),"")</f>
        <v/>
      </c>
      <c r="AC282" s="192" t="str">
        <f ca="1">IF(Flag_Send_Data=1,_xll.DBSW(PL_Saisie_Estime2!AC282,Server&amp;Cube1,PL_Saisie_Estime2!$F$17,PL_Saisie_Estime2!$F$18,PL_Saisie_Estime2!$F$19,PL_Saisie_Estime2!$F$16,PL_Saisie_Estime2!$C$14,PL_Saisie_Estime2!$F$15,PL_Saisie_Estime2!$F$14,PL_Saisie_Estime2!$F$20,PL_Saisie_Estime2!AC$2,PL_Saisie_Estime2!AC$1,PL_Saisie_Estime2!$C282),"")</f>
        <v/>
      </c>
      <c r="AD282" s="192" t="str">
        <f ca="1">IF(Flag_Send_Data=1,_xll.DBSW(PL_Saisie_Estime2!AD282,Server&amp;Cube1,PL_Saisie_Estime2!$F$17,PL_Saisie_Estime2!$F$18,PL_Saisie_Estime2!$F$19,PL_Saisie_Estime2!$F$16,PL_Saisie_Estime2!$C$14,PL_Saisie_Estime2!$F$15,PL_Saisie_Estime2!$F$14,PL_Saisie_Estime2!$F$20,PL_Saisie_Estime2!AD$2,PL_Saisie_Estime2!AD$1,PL_Saisie_Estime2!$C282),"")</f>
        <v/>
      </c>
      <c r="AE282" s="192" t="str">
        <f ca="1">IF(Flag_Send_Data=1,_xll.DBSW(PL_Saisie_Estime2!AE282,Server&amp;Cube1,PL_Saisie_Estime2!$F$17,PL_Saisie_Estime2!$F$18,PL_Saisie_Estime2!$F$19,PL_Saisie_Estime2!$F$16,PL_Saisie_Estime2!$C$14,PL_Saisie_Estime2!$F$15,PL_Saisie_Estime2!$F$14,PL_Saisie_Estime2!$F$20,PL_Saisie_Estime2!AE$2,PL_Saisie_Estime2!AE$1,PL_Saisie_Estime2!$C282),"")</f>
        <v/>
      </c>
      <c r="AF282" s="204"/>
      <c r="AG282" s="53"/>
      <c r="AH282" s="53"/>
      <c r="AI282" s="53"/>
      <c r="AJ282" s="53"/>
      <c r="AK282" s="53"/>
      <c r="AL282" s="53"/>
      <c r="AM282" s="53"/>
      <c r="AN282" s="53"/>
      <c r="AO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:53" s="9" customFormat="1" ht="24" customHeight="1" x14ac:dyDescent="0.35">
      <c r="A283" s="181"/>
      <c r="B283" s="163"/>
      <c r="C283" s="158"/>
      <c r="E283" s="270"/>
      <c r="F283" s="270"/>
      <c r="G283" s="270"/>
      <c r="H283" s="40"/>
      <c r="I283" s="130"/>
      <c r="J283" s="130"/>
      <c r="K283" s="130"/>
      <c r="L283" s="130"/>
      <c r="M283" s="130"/>
      <c r="N283" s="126"/>
      <c r="O283" s="204"/>
      <c r="P283" s="126"/>
      <c r="Q283" s="124"/>
      <c r="R283" s="192"/>
      <c r="S283" s="126"/>
      <c r="T283" s="200"/>
      <c r="U283" s="200"/>
      <c r="V283" s="200"/>
      <c r="W283" s="200"/>
      <c r="X283" s="200"/>
      <c r="Y283" s="200"/>
      <c r="Z283" s="192" t="str">
        <f ca="1">IF(Flag_Send_Data=1,_xll.DBSW(PL_Saisie_Estime2!Z283,Server&amp;Cube1,PL_Saisie_Estime2!$F$17,PL_Saisie_Estime2!$F$18,PL_Saisie_Estime2!$F$19,PL_Saisie_Estime2!$F$16,PL_Saisie_Estime2!$C$14,PL_Saisie_Estime2!$F$15,PL_Saisie_Estime2!$F$14,PL_Saisie_Estime2!$F$20,PL_Saisie_Estime2!Z$2,PL_Saisie_Estime2!Z$1,PL_Saisie_Estime2!$C283),"")</f>
        <v/>
      </c>
      <c r="AA283" s="192" t="str">
        <f ca="1">IF(Flag_Send_Data=1,_xll.DBSW(PL_Saisie_Estime2!AA283,Server&amp;Cube1,PL_Saisie_Estime2!$F$17,PL_Saisie_Estime2!$F$18,PL_Saisie_Estime2!$F$19,PL_Saisie_Estime2!$F$16,PL_Saisie_Estime2!$C$14,PL_Saisie_Estime2!$F$15,PL_Saisie_Estime2!$F$14,PL_Saisie_Estime2!$F$20,PL_Saisie_Estime2!AA$2,PL_Saisie_Estime2!AA$1,PL_Saisie_Estime2!$C283),"")</f>
        <v/>
      </c>
      <c r="AB283" s="192" t="str">
        <f ca="1">IF(Flag_Send_Data=1,_xll.DBSW(PL_Saisie_Estime2!AB283,Server&amp;Cube1,PL_Saisie_Estime2!$F$17,PL_Saisie_Estime2!$F$18,PL_Saisie_Estime2!$F$19,PL_Saisie_Estime2!$F$16,PL_Saisie_Estime2!$C$14,PL_Saisie_Estime2!$F$15,PL_Saisie_Estime2!$F$14,PL_Saisie_Estime2!$F$20,PL_Saisie_Estime2!AB$2,PL_Saisie_Estime2!AB$1,PL_Saisie_Estime2!$C283),"")</f>
        <v/>
      </c>
      <c r="AC283" s="192" t="str">
        <f ca="1">IF(Flag_Send_Data=1,_xll.DBSW(PL_Saisie_Estime2!AC283,Server&amp;Cube1,PL_Saisie_Estime2!$F$17,PL_Saisie_Estime2!$F$18,PL_Saisie_Estime2!$F$19,PL_Saisie_Estime2!$F$16,PL_Saisie_Estime2!$C$14,PL_Saisie_Estime2!$F$15,PL_Saisie_Estime2!$F$14,PL_Saisie_Estime2!$F$20,PL_Saisie_Estime2!AC$2,PL_Saisie_Estime2!AC$1,PL_Saisie_Estime2!$C283),"")</f>
        <v/>
      </c>
      <c r="AD283" s="192" t="str">
        <f ca="1">IF(Flag_Send_Data=1,_xll.DBSW(PL_Saisie_Estime2!AD283,Server&amp;Cube1,PL_Saisie_Estime2!$F$17,PL_Saisie_Estime2!$F$18,PL_Saisie_Estime2!$F$19,PL_Saisie_Estime2!$F$16,PL_Saisie_Estime2!$C$14,PL_Saisie_Estime2!$F$15,PL_Saisie_Estime2!$F$14,PL_Saisie_Estime2!$F$20,PL_Saisie_Estime2!AD$2,PL_Saisie_Estime2!AD$1,PL_Saisie_Estime2!$C283),"")</f>
        <v/>
      </c>
      <c r="AE283" s="192" t="str">
        <f ca="1">IF(Flag_Send_Data=1,_xll.DBSW(PL_Saisie_Estime2!AE283,Server&amp;Cube1,PL_Saisie_Estime2!$F$17,PL_Saisie_Estime2!$F$18,PL_Saisie_Estime2!$F$19,PL_Saisie_Estime2!$F$16,PL_Saisie_Estime2!$C$14,PL_Saisie_Estime2!$F$15,PL_Saisie_Estime2!$F$14,PL_Saisie_Estime2!$F$20,PL_Saisie_Estime2!AE$2,PL_Saisie_Estime2!AE$1,PL_Saisie_Estime2!$C283),"")</f>
        <v/>
      </c>
      <c r="AF283" s="204"/>
      <c r="AG283" s="53"/>
      <c r="AH283" s="53"/>
      <c r="AI283" s="53"/>
      <c r="AJ283" s="53"/>
      <c r="AK283" s="53"/>
      <c r="AL283" s="53"/>
      <c r="AM283" s="53"/>
      <c r="AN283" s="53"/>
      <c r="AO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:53" s="9" customFormat="1" ht="24" customHeight="1" x14ac:dyDescent="0.35">
      <c r="A284" s="181"/>
      <c r="B284" s="163"/>
      <c r="C284" s="158"/>
      <c r="E284" s="270"/>
      <c r="F284" s="270"/>
      <c r="G284" s="270"/>
      <c r="H284" s="40"/>
      <c r="I284" s="130"/>
      <c r="J284" s="130"/>
      <c r="K284" s="130"/>
      <c r="L284" s="130"/>
      <c r="M284" s="130"/>
      <c r="N284" s="126"/>
      <c r="O284" s="204"/>
      <c r="P284" s="126"/>
      <c r="Q284" s="124"/>
      <c r="R284" s="192"/>
      <c r="S284" s="126"/>
      <c r="T284" s="200"/>
      <c r="U284" s="200"/>
      <c r="V284" s="200"/>
      <c r="W284" s="200"/>
      <c r="X284" s="200"/>
      <c r="Y284" s="200"/>
      <c r="Z284" s="192" t="str">
        <f ca="1">IF(Flag_Send_Data=1,_xll.DBSW(PL_Saisie_Estime2!Z284,Server&amp;Cube1,PL_Saisie_Estime2!$F$17,PL_Saisie_Estime2!$F$18,PL_Saisie_Estime2!$F$19,PL_Saisie_Estime2!$F$16,PL_Saisie_Estime2!$C$14,PL_Saisie_Estime2!$F$15,PL_Saisie_Estime2!$F$14,PL_Saisie_Estime2!$F$20,PL_Saisie_Estime2!Z$2,PL_Saisie_Estime2!Z$1,PL_Saisie_Estime2!$C284),"")</f>
        <v/>
      </c>
      <c r="AA284" s="192" t="str">
        <f ca="1">IF(Flag_Send_Data=1,_xll.DBSW(PL_Saisie_Estime2!AA284,Server&amp;Cube1,PL_Saisie_Estime2!$F$17,PL_Saisie_Estime2!$F$18,PL_Saisie_Estime2!$F$19,PL_Saisie_Estime2!$F$16,PL_Saisie_Estime2!$C$14,PL_Saisie_Estime2!$F$15,PL_Saisie_Estime2!$F$14,PL_Saisie_Estime2!$F$20,PL_Saisie_Estime2!AA$2,PL_Saisie_Estime2!AA$1,PL_Saisie_Estime2!$C284),"")</f>
        <v/>
      </c>
      <c r="AB284" s="192" t="str">
        <f ca="1">IF(Flag_Send_Data=1,_xll.DBSW(PL_Saisie_Estime2!AB284,Server&amp;Cube1,PL_Saisie_Estime2!$F$17,PL_Saisie_Estime2!$F$18,PL_Saisie_Estime2!$F$19,PL_Saisie_Estime2!$F$16,PL_Saisie_Estime2!$C$14,PL_Saisie_Estime2!$F$15,PL_Saisie_Estime2!$F$14,PL_Saisie_Estime2!$F$20,PL_Saisie_Estime2!AB$2,PL_Saisie_Estime2!AB$1,PL_Saisie_Estime2!$C284),"")</f>
        <v/>
      </c>
      <c r="AC284" s="192" t="str">
        <f ca="1">IF(Flag_Send_Data=1,_xll.DBSW(PL_Saisie_Estime2!AC284,Server&amp;Cube1,PL_Saisie_Estime2!$F$17,PL_Saisie_Estime2!$F$18,PL_Saisie_Estime2!$F$19,PL_Saisie_Estime2!$F$16,PL_Saisie_Estime2!$C$14,PL_Saisie_Estime2!$F$15,PL_Saisie_Estime2!$F$14,PL_Saisie_Estime2!$F$20,PL_Saisie_Estime2!AC$2,PL_Saisie_Estime2!AC$1,PL_Saisie_Estime2!$C284),"")</f>
        <v/>
      </c>
      <c r="AD284" s="192" t="str">
        <f ca="1">IF(Flag_Send_Data=1,_xll.DBSW(PL_Saisie_Estime2!AD284,Server&amp;Cube1,PL_Saisie_Estime2!$F$17,PL_Saisie_Estime2!$F$18,PL_Saisie_Estime2!$F$19,PL_Saisie_Estime2!$F$16,PL_Saisie_Estime2!$C$14,PL_Saisie_Estime2!$F$15,PL_Saisie_Estime2!$F$14,PL_Saisie_Estime2!$F$20,PL_Saisie_Estime2!AD$2,PL_Saisie_Estime2!AD$1,PL_Saisie_Estime2!$C284),"")</f>
        <v/>
      </c>
      <c r="AE284" s="192" t="str">
        <f ca="1">IF(Flag_Send_Data=1,_xll.DBSW(PL_Saisie_Estime2!AE284,Server&amp;Cube1,PL_Saisie_Estime2!$F$17,PL_Saisie_Estime2!$F$18,PL_Saisie_Estime2!$F$19,PL_Saisie_Estime2!$F$16,PL_Saisie_Estime2!$C$14,PL_Saisie_Estime2!$F$15,PL_Saisie_Estime2!$F$14,PL_Saisie_Estime2!$F$20,PL_Saisie_Estime2!AE$2,PL_Saisie_Estime2!AE$1,PL_Saisie_Estime2!$C284),"")</f>
        <v/>
      </c>
      <c r="AF284" s="204"/>
      <c r="AG284" s="53"/>
      <c r="AH284" s="53"/>
      <c r="AI284" s="53"/>
      <c r="AJ284" s="53"/>
      <c r="AK284" s="53"/>
      <c r="AL284" s="53"/>
      <c r="AM284" s="53"/>
      <c r="AN284" s="53"/>
      <c r="AO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:53" s="9" customFormat="1" ht="24" customHeight="1" x14ac:dyDescent="0.35">
      <c r="A285" s="181"/>
      <c r="B285" s="163"/>
      <c r="C285" s="158"/>
      <c r="E285" s="270"/>
      <c r="F285" s="270"/>
      <c r="G285" s="270"/>
      <c r="H285" s="40"/>
      <c r="I285" s="130"/>
      <c r="J285" s="130"/>
      <c r="K285" s="130"/>
      <c r="L285" s="130"/>
      <c r="M285" s="130"/>
      <c r="N285" s="126"/>
      <c r="O285" s="204"/>
      <c r="P285" s="126"/>
      <c r="Q285" s="124"/>
      <c r="R285" s="192"/>
      <c r="S285" s="126"/>
      <c r="T285" s="200"/>
      <c r="U285" s="200"/>
      <c r="V285" s="200"/>
      <c r="W285" s="200"/>
      <c r="X285" s="200"/>
      <c r="Y285" s="200"/>
      <c r="Z285" s="192" t="str">
        <f ca="1">IF(Flag_Send_Data=1,_xll.DBSW(PL_Saisie_Estime2!Z285,Server&amp;Cube1,PL_Saisie_Estime2!$F$17,PL_Saisie_Estime2!$F$18,PL_Saisie_Estime2!$F$19,PL_Saisie_Estime2!$F$16,PL_Saisie_Estime2!$C$14,PL_Saisie_Estime2!$F$15,PL_Saisie_Estime2!$F$14,PL_Saisie_Estime2!$F$20,PL_Saisie_Estime2!Z$2,PL_Saisie_Estime2!Z$1,PL_Saisie_Estime2!$C285),"")</f>
        <v/>
      </c>
      <c r="AA285" s="192" t="str">
        <f ca="1">IF(Flag_Send_Data=1,_xll.DBSW(PL_Saisie_Estime2!AA285,Server&amp;Cube1,PL_Saisie_Estime2!$F$17,PL_Saisie_Estime2!$F$18,PL_Saisie_Estime2!$F$19,PL_Saisie_Estime2!$F$16,PL_Saisie_Estime2!$C$14,PL_Saisie_Estime2!$F$15,PL_Saisie_Estime2!$F$14,PL_Saisie_Estime2!$F$20,PL_Saisie_Estime2!AA$2,PL_Saisie_Estime2!AA$1,PL_Saisie_Estime2!$C285),"")</f>
        <v/>
      </c>
      <c r="AB285" s="192" t="str">
        <f ca="1">IF(Flag_Send_Data=1,_xll.DBSW(PL_Saisie_Estime2!AB285,Server&amp;Cube1,PL_Saisie_Estime2!$F$17,PL_Saisie_Estime2!$F$18,PL_Saisie_Estime2!$F$19,PL_Saisie_Estime2!$F$16,PL_Saisie_Estime2!$C$14,PL_Saisie_Estime2!$F$15,PL_Saisie_Estime2!$F$14,PL_Saisie_Estime2!$F$20,PL_Saisie_Estime2!AB$2,PL_Saisie_Estime2!AB$1,PL_Saisie_Estime2!$C285),"")</f>
        <v/>
      </c>
      <c r="AC285" s="192" t="str">
        <f ca="1">IF(Flag_Send_Data=1,_xll.DBSW(PL_Saisie_Estime2!AC285,Server&amp;Cube1,PL_Saisie_Estime2!$F$17,PL_Saisie_Estime2!$F$18,PL_Saisie_Estime2!$F$19,PL_Saisie_Estime2!$F$16,PL_Saisie_Estime2!$C$14,PL_Saisie_Estime2!$F$15,PL_Saisie_Estime2!$F$14,PL_Saisie_Estime2!$F$20,PL_Saisie_Estime2!AC$2,PL_Saisie_Estime2!AC$1,PL_Saisie_Estime2!$C285),"")</f>
        <v/>
      </c>
      <c r="AD285" s="192" t="str">
        <f ca="1">IF(Flag_Send_Data=1,_xll.DBSW(PL_Saisie_Estime2!AD285,Server&amp;Cube1,PL_Saisie_Estime2!$F$17,PL_Saisie_Estime2!$F$18,PL_Saisie_Estime2!$F$19,PL_Saisie_Estime2!$F$16,PL_Saisie_Estime2!$C$14,PL_Saisie_Estime2!$F$15,PL_Saisie_Estime2!$F$14,PL_Saisie_Estime2!$F$20,PL_Saisie_Estime2!AD$2,PL_Saisie_Estime2!AD$1,PL_Saisie_Estime2!$C285),"")</f>
        <v/>
      </c>
      <c r="AE285" s="192" t="str">
        <f ca="1">IF(Flag_Send_Data=1,_xll.DBSW(PL_Saisie_Estime2!AE285,Server&amp;Cube1,PL_Saisie_Estime2!$F$17,PL_Saisie_Estime2!$F$18,PL_Saisie_Estime2!$F$19,PL_Saisie_Estime2!$F$16,PL_Saisie_Estime2!$C$14,PL_Saisie_Estime2!$F$15,PL_Saisie_Estime2!$F$14,PL_Saisie_Estime2!$F$20,PL_Saisie_Estime2!AE$2,PL_Saisie_Estime2!AE$1,PL_Saisie_Estime2!$C285),"")</f>
        <v/>
      </c>
      <c r="AF285" s="204"/>
      <c r="AG285" s="53"/>
      <c r="AH285" s="53"/>
      <c r="AI285" s="53"/>
      <c r="AJ285" s="53"/>
      <c r="AK285" s="53"/>
      <c r="AL285" s="53"/>
      <c r="AM285" s="53"/>
      <c r="AN285" s="53"/>
      <c r="AO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:53" s="9" customFormat="1" ht="24" customHeight="1" x14ac:dyDescent="0.35">
      <c r="A286" s="181"/>
      <c r="B286" s="163"/>
      <c r="C286" s="158"/>
      <c r="E286" s="270"/>
      <c r="F286" s="270"/>
      <c r="G286" s="270"/>
      <c r="H286" s="40"/>
      <c r="I286" s="130"/>
      <c r="J286" s="130"/>
      <c r="K286" s="130"/>
      <c r="L286" s="130"/>
      <c r="M286" s="130"/>
      <c r="N286" s="126"/>
      <c r="O286" s="204"/>
      <c r="P286" s="126"/>
      <c r="Q286" s="124"/>
      <c r="R286" s="192"/>
      <c r="S286" s="126"/>
      <c r="T286" s="200"/>
      <c r="U286" s="200"/>
      <c r="V286" s="200"/>
      <c r="W286" s="200"/>
      <c r="X286" s="200"/>
      <c r="Y286" s="200"/>
      <c r="Z286" s="192" t="str">
        <f ca="1">IF(Flag_Send_Data=1,_xll.DBSW(PL_Saisie_Estime2!Z286,Server&amp;Cube1,PL_Saisie_Estime2!$F$17,PL_Saisie_Estime2!$F$18,PL_Saisie_Estime2!$F$19,PL_Saisie_Estime2!$F$16,PL_Saisie_Estime2!$C$14,PL_Saisie_Estime2!$F$15,PL_Saisie_Estime2!$F$14,PL_Saisie_Estime2!$F$20,PL_Saisie_Estime2!Z$2,PL_Saisie_Estime2!Z$1,PL_Saisie_Estime2!$C286),"")</f>
        <v/>
      </c>
      <c r="AA286" s="192" t="str">
        <f ca="1">IF(Flag_Send_Data=1,_xll.DBSW(PL_Saisie_Estime2!AA286,Server&amp;Cube1,PL_Saisie_Estime2!$F$17,PL_Saisie_Estime2!$F$18,PL_Saisie_Estime2!$F$19,PL_Saisie_Estime2!$F$16,PL_Saisie_Estime2!$C$14,PL_Saisie_Estime2!$F$15,PL_Saisie_Estime2!$F$14,PL_Saisie_Estime2!$F$20,PL_Saisie_Estime2!AA$2,PL_Saisie_Estime2!AA$1,PL_Saisie_Estime2!$C286),"")</f>
        <v/>
      </c>
      <c r="AB286" s="192" t="str">
        <f ca="1">IF(Flag_Send_Data=1,_xll.DBSW(PL_Saisie_Estime2!AB286,Server&amp;Cube1,PL_Saisie_Estime2!$F$17,PL_Saisie_Estime2!$F$18,PL_Saisie_Estime2!$F$19,PL_Saisie_Estime2!$F$16,PL_Saisie_Estime2!$C$14,PL_Saisie_Estime2!$F$15,PL_Saisie_Estime2!$F$14,PL_Saisie_Estime2!$F$20,PL_Saisie_Estime2!AB$2,PL_Saisie_Estime2!AB$1,PL_Saisie_Estime2!$C286),"")</f>
        <v/>
      </c>
      <c r="AC286" s="192" t="str">
        <f ca="1">IF(Flag_Send_Data=1,_xll.DBSW(PL_Saisie_Estime2!AC286,Server&amp;Cube1,PL_Saisie_Estime2!$F$17,PL_Saisie_Estime2!$F$18,PL_Saisie_Estime2!$F$19,PL_Saisie_Estime2!$F$16,PL_Saisie_Estime2!$C$14,PL_Saisie_Estime2!$F$15,PL_Saisie_Estime2!$F$14,PL_Saisie_Estime2!$F$20,PL_Saisie_Estime2!AC$2,PL_Saisie_Estime2!AC$1,PL_Saisie_Estime2!$C286),"")</f>
        <v/>
      </c>
      <c r="AD286" s="192" t="str">
        <f ca="1">IF(Flag_Send_Data=1,_xll.DBSW(PL_Saisie_Estime2!AD286,Server&amp;Cube1,PL_Saisie_Estime2!$F$17,PL_Saisie_Estime2!$F$18,PL_Saisie_Estime2!$F$19,PL_Saisie_Estime2!$F$16,PL_Saisie_Estime2!$C$14,PL_Saisie_Estime2!$F$15,PL_Saisie_Estime2!$F$14,PL_Saisie_Estime2!$F$20,PL_Saisie_Estime2!AD$2,PL_Saisie_Estime2!AD$1,PL_Saisie_Estime2!$C286),"")</f>
        <v/>
      </c>
      <c r="AE286" s="192" t="str">
        <f ca="1">IF(Flag_Send_Data=1,_xll.DBSW(PL_Saisie_Estime2!AE286,Server&amp;Cube1,PL_Saisie_Estime2!$F$17,PL_Saisie_Estime2!$F$18,PL_Saisie_Estime2!$F$19,PL_Saisie_Estime2!$F$16,PL_Saisie_Estime2!$C$14,PL_Saisie_Estime2!$F$15,PL_Saisie_Estime2!$F$14,PL_Saisie_Estime2!$F$20,PL_Saisie_Estime2!AE$2,PL_Saisie_Estime2!AE$1,PL_Saisie_Estime2!$C286),"")</f>
        <v/>
      </c>
      <c r="AF286" s="204"/>
      <c r="AG286" s="53"/>
      <c r="AH286" s="53"/>
      <c r="AI286" s="53"/>
      <c r="AJ286" s="53"/>
      <c r="AK286" s="53"/>
      <c r="AL286" s="53"/>
      <c r="AM286" s="53"/>
      <c r="AN286" s="53"/>
      <c r="AO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:53" s="9" customFormat="1" ht="24" customHeight="1" x14ac:dyDescent="0.35">
      <c r="A287" s="181"/>
      <c r="B287" s="163"/>
      <c r="C287" s="158"/>
      <c r="E287" s="270"/>
      <c r="F287" s="270"/>
      <c r="G287" s="270"/>
      <c r="H287" s="40"/>
      <c r="I287" s="130"/>
      <c r="J287" s="130"/>
      <c r="K287" s="130"/>
      <c r="L287" s="130"/>
      <c r="M287" s="130"/>
      <c r="N287" s="126"/>
      <c r="O287" s="204"/>
      <c r="P287" s="126"/>
      <c r="Q287" s="124"/>
      <c r="R287" s="192"/>
      <c r="S287" s="126"/>
      <c r="T287" s="200"/>
      <c r="U287" s="200"/>
      <c r="V287" s="200"/>
      <c r="W287" s="200"/>
      <c r="X287" s="200"/>
      <c r="Y287" s="200"/>
      <c r="Z287" s="192" t="str">
        <f ca="1">IF(Flag_Send_Data=1,_xll.DBSW(PL_Saisie_Estime2!Z287,Server&amp;Cube1,PL_Saisie_Estime2!$F$17,PL_Saisie_Estime2!$F$18,PL_Saisie_Estime2!$F$19,PL_Saisie_Estime2!$F$16,PL_Saisie_Estime2!$C$14,PL_Saisie_Estime2!$F$15,PL_Saisie_Estime2!$F$14,PL_Saisie_Estime2!$F$20,PL_Saisie_Estime2!Z$2,PL_Saisie_Estime2!Z$1,PL_Saisie_Estime2!$C287),"")</f>
        <v/>
      </c>
      <c r="AA287" s="192" t="str">
        <f ca="1">IF(Flag_Send_Data=1,_xll.DBSW(PL_Saisie_Estime2!AA287,Server&amp;Cube1,PL_Saisie_Estime2!$F$17,PL_Saisie_Estime2!$F$18,PL_Saisie_Estime2!$F$19,PL_Saisie_Estime2!$F$16,PL_Saisie_Estime2!$C$14,PL_Saisie_Estime2!$F$15,PL_Saisie_Estime2!$F$14,PL_Saisie_Estime2!$F$20,PL_Saisie_Estime2!AA$2,PL_Saisie_Estime2!AA$1,PL_Saisie_Estime2!$C287),"")</f>
        <v/>
      </c>
      <c r="AB287" s="192" t="str">
        <f ca="1">IF(Flag_Send_Data=1,_xll.DBSW(PL_Saisie_Estime2!AB287,Server&amp;Cube1,PL_Saisie_Estime2!$F$17,PL_Saisie_Estime2!$F$18,PL_Saisie_Estime2!$F$19,PL_Saisie_Estime2!$F$16,PL_Saisie_Estime2!$C$14,PL_Saisie_Estime2!$F$15,PL_Saisie_Estime2!$F$14,PL_Saisie_Estime2!$F$20,PL_Saisie_Estime2!AB$2,PL_Saisie_Estime2!AB$1,PL_Saisie_Estime2!$C287),"")</f>
        <v/>
      </c>
      <c r="AC287" s="192" t="str">
        <f ca="1">IF(Flag_Send_Data=1,_xll.DBSW(PL_Saisie_Estime2!AC287,Server&amp;Cube1,PL_Saisie_Estime2!$F$17,PL_Saisie_Estime2!$F$18,PL_Saisie_Estime2!$F$19,PL_Saisie_Estime2!$F$16,PL_Saisie_Estime2!$C$14,PL_Saisie_Estime2!$F$15,PL_Saisie_Estime2!$F$14,PL_Saisie_Estime2!$F$20,PL_Saisie_Estime2!AC$2,PL_Saisie_Estime2!AC$1,PL_Saisie_Estime2!$C287),"")</f>
        <v/>
      </c>
      <c r="AD287" s="192" t="str">
        <f ca="1">IF(Flag_Send_Data=1,_xll.DBSW(PL_Saisie_Estime2!AD287,Server&amp;Cube1,PL_Saisie_Estime2!$F$17,PL_Saisie_Estime2!$F$18,PL_Saisie_Estime2!$F$19,PL_Saisie_Estime2!$F$16,PL_Saisie_Estime2!$C$14,PL_Saisie_Estime2!$F$15,PL_Saisie_Estime2!$F$14,PL_Saisie_Estime2!$F$20,PL_Saisie_Estime2!AD$2,PL_Saisie_Estime2!AD$1,PL_Saisie_Estime2!$C287),"")</f>
        <v/>
      </c>
      <c r="AE287" s="192" t="str">
        <f ca="1">IF(Flag_Send_Data=1,_xll.DBSW(PL_Saisie_Estime2!AE287,Server&amp;Cube1,PL_Saisie_Estime2!$F$17,PL_Saisie_Estime2!$F$18,PL_Saisie_Estime2!$F$19,PL_Saisie_Estime2!$F$16,PL_Saisie_Estime2!$C$14,PL_Saisie_Estime2!$F$15,PL_Saisie_Estime2!$F$14,PL_Saisie_Estime2!$F$20,PL_Saisie_Estime2!AE$2,PL_Saisie_Estime2!AE$1,PL_Saisie_Estime2!$C287),"")</f>
        <v/>
      </c>
      <c r="AF287" s="204"/>
      <c r="AG287" s="53"/>
      <c r="AH287" s="53"/>
      <c r="AI287" s="53"/>
      <c r="AJ287" s="53"/>
      <c r="AK287" s="53"/>
      <c r="AL287" s="53"/>
      <c r="AM287" s="53"/>
      <c r="AN287" s="53"/>
      <c r="AO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:53" s="9" customFormat="1" ht="24" customHeight="1" x14ac:dyDescent="0.35">
      <c r="A288" s="181"/>
      <c r="B288" s="163"/>
      <c r="C288" s="158"/>
      <c r="E288" s="270"/>
      <c r="F288" s="270"/>
      <c r="G288" s="270"/>
      <c r="H288" s="40"/>
      <c r="I288" s="130"/>
      <c r="J288" s="130"/>
      <c r="K288" s="130"/>
      <c r="L288" s="130"/>
      <c r="M288" s="130"/>
      <c r="N288" s="126"/>
      <c r="O288" s="204"/>
      <c r="P288" s="126"/>
      <c r="Q288" s="124"/>
      <c r="R288" s="192"/>
      <c r="S288" s="126"/>
      <c r="T288" s="200"/>
      <c r="U288" s="200"/>
      <c r="V288" s="200"/>
      <c r="W288" s="200"/>
      <c r="X288" s="200"/>
      <c r="Y288" s="200"/>
      <c r="Z288" s="192" t="str">
        <f ca="1">IF(Flag_Send_Data=1,_xll.DBSW(PL_Saisie_Estime2!Z288,Server&amp;Cube1,PL_Saisie_Estime2!$F$17,PL_Saisie_Estime2!$F$18,PL_Saisie_Estime2!$F$19,PL_Saisie_Estime2!$F$16,PL_Saisie_Estime2!$C$14,PL_Saisie_Estime2!$F$15,PL_Saisie_Estime2!$F$14,PL_Saisie_Estime2!$F$20,PL_Saisie_Estime2!Z$2,PL_Saisie_Estime2!Z$1,PL_Saisie_Estime2!$C288),"")</f>
        <v/>
      </c>
      <c r="AA288" s="192" t="str">
        <f ca="1">IF(Flag_Send_Data=1,_xll.DBSW(PL_Saisie_Estime2!AA288,Server&amp;Cube1,PL_Saisie_Estime2!$F$17,PL_Saisie_Estime2!$F$18,PL_Saisie_Estime2!$F$19,PL_Saisie_Estime2!$F$16,PL_Saisie_Estime2!$C$14,PL_Saisie_Estime2!$F$15,PL_Saisie_Estime2!$F$14,PL_Saisie_Estime2!$F$20,PL_Saisie_Estime2!AA$2,PL_Saisie_Estime2!AA$1,PL_Saisie_Estime2!$C288),"")</f>
        <v/>
      </c>
      <c r="AB288" s="192" t="str">
        <f ca="1">IF(Flag_Send_Data=1,_xll.DBSW(PL_Saisie_Estime2!AB288,Server&amp;Cube1,PL_Saisie_Estime2!$F$17,PL_Saisie_Estime2!$F$18,PL_Saisie_Estime2!$F$19,PL_Saisie_Estime2!$F$16,PL_Saisie_Estime2!$C$14,PL_Saisie_Estime2!$F$15,PL_Saisie_Estime2!$F$14,PL_Saisie_Estime2!$F$20,PL_Saisie_Estime2!AB$2,PL_Saisie_Estime2!AB$1,PL_Saisie_Estime2!$C288),"")</f>
        <v/>
      </c>
      <c r="AC288" s="192" t="str">
        <f ca="1">IF(Flag_Send_Data=1,_xll.DBSW(PL_Saisie_Estime2!AC288,Server&amp;Cube1,PL_Saisie_Estime2!$F$17,PL_Saisie_Estime2!$F$18,PL_Saisie_Estime2!$F$19,PL_Saisie_Estime2!$F$16,PL_Saisie_Estime2!$C$14,PL_Saisie_Estime2!$F$15,PL_Saisie_Estime2!$F$14,PL_Saisie_Estime2!$F$20,PL_Saisie_Estime2!AC$2,PL_Saisie_Estime2!AC$1,PL_Saisie_Estime2!$C288),"")</f>
        <v/>
      </c>
      <c r="AD288" s="192" t="str">
        <f ca="1">IF(Flag_Send_Data=1,_xll.DBSW(PL_Saisie_Estime2!AD288,Server&amp;Cube1,PL_Saisie_Estime2!$F$17,PL_Saisie_Estime2!$F$18,PL_Saisie_Estime2!$F$19,PL_Saisie_Estime2!$F$16,PL_Saisie_Estime2!$C$14,PL_Saisie_Estime2!$F$15,PL_Saisie_Estime2!$F$14,PL_Saisie_Estime2!$F$20,PL_Saisie_Estime2!AD$2,PL_Saisie_Estime2!AD$1,PL_Saisie_Estime2!$C288),"")</f>
        <v/>
      </c>
      <c r="AE288" s="192" t="str">
        <f ca="1">IF(Flag_Send_Data=1,_xll.DBSW(PL_Saisie_Estime2!AE288,Server&amp;Cube1,PL_Saisie_Estime2!$F$17,PL_Saisie_Estime2!$F$18,PL_Saisie_Estime2!$F$19,PL_Saisie_Estime2!$F$16,PL_Saisie_Estime2!$C$14,PL_Saisie_Estime2!$F$15,PL_Saisie_Estime2!$F$14,PL_Saisie_Estime2!$F$20,PL_Saisie_Estime2!AE$2,PL_Saisie_Estime2!AE$1,PL_Saisie_Estime2!$C288),"")</f>
        <v/>
      </c>
      <c r="AF288" s="204"/>
      <c r="AG288" s="53"/>
      <c r="AH288" s="53"/>
      <c r="AI288" s="53"/>
      <c r="AJ288" s="53"/>
      <c r="AK288" s="53"/>
      <c r="AL288" s="53"/>
      <c r="AM288" s="53"/>
      <c r="AN288" s="53"/>
      <c r="AO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:53" s="9" customFormat="1" ht="24" customHeight="1" x14ac:dyDescent="0.35">
      <c r="A289" s="181"/>
      <c r="B289" s="163"/>
      <c r="C289" s="158"/>
      <c r="E289" s="270"/>
      <c r="F289" s="270"/>
      <c r="G289" s="270"/>
      <c r="H289" s="40"/>
      <c r="I289" s="130"/>
      <c r="J289" s="130"/>
      <c r="K289" s="130"/>
      <c r="L289" s="130"/>
      <c r="M289" s="130"/>
      <c r="N289" s="126"/>
      <c r="O289" s="204"/>
      <c r="P289" s="126"/>
      <c r="Q289" s="124"/>
      <c r="R289" s="192"/>
      <c r="S289" s="126"/>
      <c r="T289" s="200"/>
      <c r="U289" s="200"/>
      <c r="V289" s="200"/>
      <c r="W289" s="200"/>
      <c r="X289" s="200"/>
      <c r="Y289" s="200"/>
      <c r="Z289" s="192" t="str">
        <f ca="1">IF(Flag_Send_Data=1,_xll.DBSW(PL_Saisie_Estime2!Z289,Server&amp;Cube1,PL_Saisie_Estime2!$F$17,PL_Saisie_Estime2!$F$18,PL_Saisie_Estime2!$F$19,PL_Saisie_Estime2!$F$16,PL_Saisie_Estime2!$C$14,PL_Saisie_Estime2!$F$15,PL_Saisie_Estime2!$F$14,PL_Saisie_Estime2!$F$20,PL_Saisie_Estime2!Z$2,PL_Saisie_Estime2!Z$1,PL_Saisie_Estime2!$C289),"")</f>
        <v/>
      </c>
      <c r="AA289" s="192" t="str">
        <f ca="1">IF(Flag_Send_Data=1,_xll.DBSW(PL_Saisie_Estime2!AA289,Server&amp;Cube1,PL_Saisie_Estime2!$F$17,PL_Saisie_Estime2!$F$18,PL_Saisie_Estime2!$F$19,PL_Saisie_Estime2!$F$16,PL_Saisie_Estime2!$C$14,PL_Saisie_Estime2!$F$15,PL_Saisie_Estime2!$F$14,PL_Saisie_Estime2!$F$20,PL_Saisie_Estime2!AA$2,PL_Saisie_Estime2!AA$1,PL_Saisie_Estime2!$C289),"")</f>
        <v/>
      </c>
      <c r="AB289" s="192" t="str">
        <f ca="1">IF(Flag_Send_Data=1,_xll.DBSW(PL_Saisie_Estime2!AB289,Server&amp;Cube1,PL_Saisie_Estime2!$F$17,PL_Saisie_Estime2!$F$18,PL_Saisie_Estime2!$F$19,PL_Saisie_Estime2!$F$16,PL_Saisie_Estime2!$C$14,PL_Saisie_Estime2!$F$15,PL_Saisie_Estime2!$F$14,PL_Saisie_Estime2!$F$20,PL_Saisie_Estime2!AB$2,PL_Saisie_Estime2!AB$1,PL_Saisie_Estime2!$C289),"")</f>
        <v/>
      </c>
      <c r="AC289" s="192" t="str">
        <f ca="1">IF(Flag_Send_Data=1,_xll.DBSW(PL_Saisie_Estime2!AC289,Server&amp;Cube1,PL_Saisie_Estime2!$F$17,PL_Saisie_Estime2!$F$18,PL_Saisie_Estime2!$F$19,PL_Saisie_Estime2!$F$16,PL_Saisie_Estime2!$C$14,PL_Saisie_Estime2!$F$15,PL_Saisie_Estime2!$F$14,PL_Saisie_Estime2!$F$20,PL_Saisie_Estime2!AC$2,PL_Saisie_Estime2!AC$1,PL_Saisie_Estime2!$C289),"")</f>
        <v/>
      </c>
      <c r="AD289" s="192" t="str">
        <f ca="1">IF(Flag_Send_Data=1,_xll.DBSW(PL_Saisie_Estime2!AD289,Server&amp;Cube1,PL_Saisie_Estime2!$F$17,PL_Saisie_Estime2!$F$18,PL_Saisie_Estime2!$F$19,PL_Saisie_Estime2!$F$16,PL_Saisie_Estime2!$C$14,PL_Saisie_Estime2!$F$15,PL_Saisie_Estime2!$F$14,PL_Saisie_Estime2!$F$20,PL_Saisie_Estime2!AD$2,PL_Saisie_Estime2!AD$1,PL_Saisie_Estime2!$C289),"")</f>
        <v/>
      </c>
      <c r="AE289" s="192" t="str">
        <f ca="1">IF(Flag_Send_Data=1,_xll.DBSW(PL_Saisie_Estime2!AE289,Server&amp;Cube1,PL_Saisie_Estime2!$F$17,PL_Saisie_Estime2!$F$18,PL_Saisie_Estime2!$F$19,PL_Saisie_Estime2!$F$16,PL_Saisie_Estime2!$C$14,PL_Saisie_Estime2!$F$15,PL_Saisie_Estime2!$F$14,PL_Saisie_Estime2!$F$20,PL_Saisie_Estime2!AE$2,PL_Saisie_Estime2!AE$1,PL_Saisie_Estime2!$C289),"")</f>
        <v/>
      </c>
      <c r="AF289" s="204"/>
      <c r="AG289" s="53"/>
      <c r="AH289" s="53"/>
      <c r="AI289" s="53"/>
      <c r="AJ289" s="53"/>
      <c r="AK289" s="53"/>
      <c r="AL289" s="53"/>
      <c r="AM289" s="53"/>
      <c r="AN289" s="53"/>
      <c r="AO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:53" s="9" customFormat="1" ht="24" customHeight="1" x14ac:dyDescent="0.35">
      <c r="A290" s="181"/>
      <c r="B290" s="163"/>
      <c r="C290" s="158"/>
      <c r="E290" s="270"/>
      <c r="F290" s="270"/>
      <c r="G290" s="270"/>
      <c r="H290" s="40"/>
      <c r="I290" s="130"/>
      <c r="J290" s="130"/>
      <c r="K290" s="130"/>
      <c r="L290" s="130"/>
      <c r="M290" s="130"/>
      <c r="N290" s="126"/>
      <c r="O290" s="204"/>
      <c r="P290" s="126"/>
      <c r="Q290" s="124"/>
      <c r="R290" s="192"/>
      <c r="S290" s="126"/>
      <c r="T290" s="200"/>
      <c r="U290" s="200"/>
      <c r="V290" s="200"/>
      <c r="W290" s="200"/>
      <c r="X290" s="200"/>
      <c r="Y290" s="200"/>
      <c r="Z290" s="192" t="str">
        <f ca="1">IF(Flag_Send_Data=1,_xll.DBSW(PL_Saisie_Estime2!Z290,Server&amp;Cube1,PL_Saisie_Estime2!$F$17,PL_Saisie_Estime2!$F$18,PL_Saisie_Estime2!$F$19,PL_Saisie_Estime2!$F$16,PL_Saisie_Estime2!$C$14,PL_Saisie_Estime2!$F$15,PL_Saisie_Estime2!$F$14,PL_Saisie_Estime2!$F$20,PL_Saisie_Estime2!Z$2,PL_Saisie_Estime2!Z$1,PL_Saisie_Estime2!$C290),"")</f>
        <v/>
      </c>
      <c r="AA290" s="192" t="str">
        <f ca="1">IF(Flag_Send_Data=1,_xll.DBSW(PL_Saisie_Estime2!AA290,Server&amp;Cube1,PL_Saisie_Estime2!$F$17,PL_Saisie_Estime2!$F$18,PL_Saisie_Estime2!$F$19,PL_Saisie_Estime2!$F$16,PL_Saisie_Estime2!$C$14,PL_Saisie_Estime2!$F$15,PL_Saisie_Estime2!$F$14,PL_Saisie_Estime2!$F$20,PL_Saisie_Estime2!AA$2,PL_Saisie_Estime2!AA$1,PL_Saisie_Estime2!$C290),"")</f>
        <v/>
      </c>
      <c r="AB290" s="192" t="str">
        <f ca="1">IF(Flag_Send_Data=1,_xll.DBSW(PL_Saisie_Estime2!AB290,Server&amp;Cube1,PL_Saisie_Estime2!$F$17,PL_Saisie_Estime2!$F$18,PL_Saisie_Estime2!$F$19,PL_Saisie_Estime2!$F$16,PL_Saisie_Estime2!$C$14,PL_Saisie_Estime2!$F$15,PL_Saisie_Estime2!$F$14,PL_Saisie_Estime2!$F$20,PL_Saisie_Estime2!AB$2,PL_Saisie_Estime2!AB$1,PL_Saisie_Estime2!$C290),"")</f>
        <v/>
      </c>
      <c r="AC290" s="192" t="str">
        <f ca="1">IF(Flag_Send_Data=1,_xll.DBSW(PL_Saisie_Estime2!AC290,Server&amp;Cube1,PL_Saisie_Estime2!$F$17,PL_Saisie_Estime2!$F$18,PL_Saisie_Estime2!$F$19,PL_Saisie_Estime2!$F$16,PL_Saisie_Estime2!$C$14,PL_Saisie_Estime2!$F$15,PL_Saisie_Estime2!$F$14,PL_Saisie_Estime2!$F$20,PL_Saisie_Estime2!AC$2,PL_Saisie_Estime2!AC$1,PL_Saisie_Estime2!$C290),"")</f>
        <v/>
      </c>
      <c r="AD290" s="192" t="str">
        <f ca="1">IF(Flag_Send_Data=1,_xll.DBSW(PL_Saisie_Estime2!AD290,Server&amp;Cube1,PL_Saisie_Estime2!$F$17,PL_Saisie_Estime2!$F$18,PL_Saisie_Estime2!$F$19,PL_Saisie_Estime2!$F$16,PL_Saisie_Estime2!$C$14,PL_Saisie_Estime2!$F$15,PL_Saisie_Estime2!$F$14,PL_Saisie_Estime2!$F$20,PL_Saisie_Estime2!AD$2,PL_Saisie_Estime2!AD$1,PL_Saisie_Estime2!$C290),"")</f>
        <v/>
      </c>
      <c r="AE290" s="192" t="str">
        <f ca="1">IF(Flag_Send_Data=1,_xll.DBSW(PL_Saisie_Estime2!AE290,Server&amp;Cube1,PL_Saisie_Estime2!$F$17,PL_Saisie_Estime2!$F$18,PL_Saisie_Estime2!$F$19,PL_Saisie_Estime2!$F$16,PL_Saisie_Estime2!$C$14,PL_Saisie_Estime2!$F$15,PL_Saisie_Estime2!$F$14,PL_Saisie_Estime2!$F$20,PL_Saisie_Estime2!AE$2,PL_Saisie_Estime2!AE$1,PL_Saisie_Estime2!$C290),"")</f>
        <v/>
      </c>
      <c r="AF290" s="204"/>
      <c r="AG290" s="53"/>
      <c r="AH290" s="53"/>
      <c r="AI290" s="53"/>
      <c r="AJ290" s="53"/>
      <c r="AK290" s="53"/>
      <c r="AL290" s="53"/>
      <c r="AM290" s="53"/>
      <c r="AN290" s="53"/>
      <c r="AO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:53" s="9" customFormat="1" ht="24" customHeight="1" x14ac:dyDescent="0.35">
      <c r="A291" s="181"/>
      <c r="B291" s="163"/>
      <c r="C291" s="158"/>
      <c r="E291" s="270"/>
      <c r="F291" s="270"/>
      <c r="G291" s="270"/>
      <c r="H291" s="40"/>
      <c r="I291" s="130"/>
      <c r="J291" s="130"/>
      <c r="K291" s="130"/>
      <c r="L291" s="130"/>
      <c r="M291" s="130"/>
      <c r="N291" s="126"/>
      <c r="O291" s="204"/>
      <c r="P291" s="126"/>
      <c r="Q291" s="124"/>
      <c r="R291" s="192"/>
      <c r="S291" s="126"/>
      <c r="T291" s="200"/>
      <c r="U291" s="200"/>
      <c r="V291" s="200"/>
      <c r="W291" s="200"/>
      <c r="X291" s="200"/>
      <c r="Y291" s="200"/>
      <c r="Z291" s="192" t="str">
        <f ca="1">IF(Flag_Send_Data=1,_xll.DBSW(PL_Saisie_Estime2!Z291,Server&amp;Cube1,PL_Saisie_Estime2!$F$17,PL_Saisie_Estime2!$F$18,PL_Saisie_Estime2!$F$19,PL_Saisie_Estime2!$F$16,PL_Saisie_Estime2!$C$14,PL_Saisie_Estime2!$F$15,PL_Saisie_Estime2!$F$14,PL_Saisie_Estime2!$F$20,PL_Saisie_Estime2!Z$2,PL_Saisie_Estime2!Z$1,PL_Saisie_Estime2!$C291),"")</f>
        <v/>
      </c>
      <c r="AA291" s="192" t="str">
        <f ca="1">IF(Flag_Send_Data=1,_xll.DBSW(PL_Saisie_Estime2!AA291,Server&amp;Cube1,PL_Saisie_Estime2!$F$17,PL_Saisie_Estime2!$F$18,PL_Saisie_Estime2!$F$19,PL_Saisie_Estime2!$F$16,PL_Saisie_Estime2!$C$14,PL_Saisie_Estime2!$F$15,PL_Saisie_Estime2!$F$14,PL_Saisie_Estime2!$F$20,PL_Saisie_Estime2!AA$2,PL_Saisie_Estime2!AA$1,PL_Saisie_Estime2!$C291),"")</f>
        <v/>
      </c>
      <c r="AB291" s="192" t="str">
        <f ca="1">IF(Flag_Send_Data=1,_xll.DBSW(PL_Saisie_Estime2!AB291,Server&amp;Cube1,PL_Saisie_Estime2!$F$17,PL_Saisie_Estime2!$F$18,PL_Saisie_Estime2!$F$19,PL_Saisie_Estime2!$F$16,PL_Saisie_Estime2!$C$14,PL_Saisie_Estime2!$F$15,PL_Saisie_Estime2!$F$14,PL_Saisie_Estime2!$F$20,PL_Saisie_Estime2!AB$2,PL_Saisie_Estime2!AB$1,PL_Saisie_Estime2!$C291),"")</f>
        <v/>
      </c>
      <c r="AC291" s="192" t="str">
        <f ca="1">IF(Flag_Send_Data=1,_xll.DBSW(PL_Saisie_Estime2!AC291,Server&amp;Cube1,PL_Saisie_Estime2!$F$17,PL_Saisie_Estime2!$F$18,PL_Saisie_Estime2!$F$19,PL_Saisie_Estime2!$F$16,PL_Saisie_Estime2!$C$14,PL_Saisie_Estime2!$F$15,PL_Saisie_Estime2!$F$14,PL_Saisie_Estime2!$F$20,PL_Saisie_Estime2!AC$2,PL_Saisie_Estime2!AC$1,PL_Saisie_Estime2!$C291),"")</f>
        <v/>
      </c>
      <c r="AD291" s="192" t="str">
        <f ca="1">IF(Flag_Send_Data=1,_xll.DBSW(PL_Saisie_Estime2!AD291,Server&amp;Cube1,PL_Saisie_Estime2!$F$17,PL_Saisie_Estime2!$F$18,PL_Saisie_Estime2!$F$19,PL_Saisie_Estime2!$F$16,PL_Saisie_Estime2!$C$14,PL_Saisie_Estime2!$F$15,PL_Saisie_Estime2!$F$14,PL_Saisie_Estime2!$F$20,PL_Saisie_Estime2!AD$2,PL_Saisie_Estime2!AD$1,PL_Saisie_Estime2!$C291),"")</f>
        <v/>
      </c>
      <c r="AE291" s="192" t="str">
        <f ca="1">IF(Flag_Send_Data=1,_xll.DBSW(PL_Saisie_Estime2!AE291,Server&amp;Cube1,PL_Saisie_Estime2!$F$17,PL_Saisie_Estime2!$F$18,PL_Saisie_Estime2!$F$19,PL_Saisie_Estime2!$F$16,PL_Saisie_Estime2!$C$14,PL_Saisie_Estime2!$F$15,PL_Saisie_Estime2!$F$14,PL_Saisie_Estime2!$F$20,PL_Saisie_Estime2!AE$2,PL_Saisie_Estime2!AE$1,PL_Saisie_Estime2!$C291),"")</f>
        <v/>
      </c>
      <c r="AF291" s="204"/>
      <c r="AG291" s="53"/>
      <c r="AH291" s="53"/>
      <c r="AI291" s="53"/>
      <c r="AJ291" s="53"/>
      <c r="AK291" s="53"/>
      <c r="AL291" s="53"/>
      <c r="AM291" s="53"/>
      <c r="AN291" s="53"/>
      <c r="AO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:53" s="9" customFormat="1" ht="24" customHeight="1" x14ac:dyDescent="0.35">
      <c r="A292" s="181"/>
      <c r="B292" s="163"/>
      <c r="C292" s="158"/>
      <c r="E292" s="270"/>
      <c r="F292" s="270"/>
      <c r="G292" s="270"/>
      <c r="H292" s="40"/>
      <c r="I292" s="130"/>
      <c r="J292" s="130"/>
      <c r="K292" s="130"/>
      <c r="L292" s="130"/>
      <c r="M292" s="130"/>
      <c r="N292" s="126"/>
      <c r="O292" s="204"/>
      <c r="P292" s="126"/>
      <c r="Q292" s="124"/>
      <c r="R292" s="192"/>
      <c r="S292" s="126"/>
      <c r="T292" s="200"/>
      <c r="U292" s="200"/>
      <c r="V292" s="200"/>
      <c r="W292" s="200"/>
      <c r="X292" s="200"/>
      <c r="Y292" s="200"/>
      <c r="Z292" s="192" t="str">
        <f ca="1">IF(Flag_Send_Data=1,_xll.DBSW(PL_Saisie_Estime2!Z292,Server&amp;Cube1,PL_Saisie_Estime2!$F$17,PL_Saisie_Estime2!$F$18,PL_Saisie_Estime2!$F$19,PL_Saisie_Estime2!$F$16,PL_Saisie_Estime2!$C$14,PL_Saisie_Estime2!$F$15,PL_Saisie_Estime2!$F$14,PL_Saisie_Estime2!$F$20,PL_Saisie_Estime2!Z$2,PL_Saisie_Estime2!Z$1,PL_Saisie_Estime2!$C292),"")</f>
        <v/>
      </c>
      <c r="AA292" s="192" t="str">
        <f ca="1">IF(Flag_Send_Data=1,_xll.DBSW(PL_Saisie_Estime2!AA292,Server&amp;Cube1,PL_Saisie_Estime2!$F$17,PL_Saisie_Estime2!$F$18,PL_Saisie_Estime2!$F$19,PL_Saisie_Estime2!$F$16,PL_Saisie_Estime2!$C$14,PL_Saisie_Estime2!$F$15,PL_Saisie_Estime2!$F$14,PL_Saisie_Estime2!$F$20,PL_Saisie_Estime2!AA$2,PL_Saisie_Estime2!AA$1,PL_Saisie_Estime2!$C292),"")</f>
        <v/>
      </c>
      <c r="AB292" s="192" t="str">
        <f ca="1">IF(Flag_Send_Data=1,_xll.DBSW(PL_Saisie_Estime2!AB292,Server&amp;Cube1,PL_Saisie_Estime2!$F$17,PL_Saisie_Estime2!$F$18,PL_Saisie_Estime2!$F$19,PL_Saisie_Estime2!$F$16,PL_Saisie_Estime2!$C$14,PL_Saisie_Estime2!$F$15,PL_Saisie_Estime2!$F$14,PL_Saisie_Estime2!$F$20,PL_Saisie_Estime2!AB$2,PL_Saisie_Estime2!AB$1,PL_Saisie_Estime2!$C292),"")</f>
        <v/>
      </c>
      <c r="AC292" s="192" t="str">
        <f ca="1">IF(Flag_Send_Data=1,_xll.DBSW(PL_Saisie_Estime2!AC292,Server&amp;Cube1,PL_Saisie_Estime2!$F$17,PL_Saisie_Estime2!$F$18,PL_Saisie_Estime2!$F$19,PL_Saisie_Estime2!$F$16,PL_Saisie_Estime2!$C$14,PL_Saisie_Estime2!$F$15,PL_Saisie_Estime2!$F$14,PL_Saisie_Estime2!$F$20,PL_Saisie_Estime2!AC$2,PL_Saisie_Estime2!AC$1,PL_Saisie_Estime2!$C292),"")</f>
        <v/>
      </c>
      <c r="AD292" s="192" t="str">
        <f ca="1">IF(Flag_Send_Data=1,_xll.DBSW(PL_Saisie_Estime2!AD292,Server&amp;Cube1,PL_Saisie_Estime2!$F$17,PL_Saisie_Estime2!$F$18,PL_Saisie_Estime2!$F$19,PL_Saisie_Estime2!$F$16,PL_Saisie_Estime2!$C$14,PL_Saisie_Estime2!$F$15,PL_Saisie_Estime2!$F$14,PL_Saisie_Estime2!$F$20,PL_Saisie_Estime2!AD$2,PL_Saisie_Estime2!AD$1,PL_Saisie_Estime2!$C292),"")</f>
        <v/>
      </c>
      <c r="AE292" s="192" t="str">
        <f ca="1">IF(Flag_Send_Data=1,_xll.DBSW(PL_Saisie_Estime2!AE292,Server&amp;Cube1,PL_Saisie_Estime2!$F$17,PL_Saisie_Estime2!$F$18,PL_Saisie_Estime2!$F$19,PL_Saisie_Estime2!$F$16,PL_Saisie_Estime2!$C$14,PL_Saisie_Estime2!$F$15,PL_Saisie_Estime2!$F$14,PL_Saisie_Estime2!$F$20,PL_Saisie_Estime2!AE$2,PL_Saisie_Estime2!AE$1,PL_Saisie_Estime2!$C292),"")</f>
        <v/>
      </c>
      <c r="AF292" s="204"/>
      <c r="AG292" s="53"/>
      <c r="AH292" s="53"/>
      <c r="AI292" s="53"/>
      <c r="AJ292" s="53"/>
      <c r="AK292" s="53"/>
      <c r="AL292" s="53"/>
      <c r="AM292" s="53"/>
      <c r="AN292" s="53"/>
      <c r="AO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:53" s="9" customFormat="1" ht="24" customHeight="1" x14ac:dyDescent="0.35">
      <c r="A293" s="181"/>
      <c r="B293" s="163"/>
      <c r="C293" s="158"/>
      <c r="E293" s="270"/>
      <c r="F293" s="270"/>
      <c r="G293" s="270"/>
      <c r="H293" s="40"/>
      <c r="I293" s="130"/>
      <c r="J293" s="130"/>
      <c r="K293" s="130"/>
      <c r="L293" s="130"/>
      <c r="M293" s="130"/>
      <c r="N293" s="126"/>
      <c r="O293" s="204"/>
      <c r="P293" s="126"/>
      <c r="Q293" s="124"/>
      <c r="R293" s="192"/>
      <c r="S293" s="126"/>
      <c r="T293" s="200"/>
      <c r="U293" s="200"/>
      <c r="V293" s="200"/>
      <c r="W293" s="200"/>
      <c r="X293" s="200"/>
      <c r="Y293" s="200"/>
      <c r="Z293" s="192" t="str">
        <f ca="1">IF(Flag_Send_Data=1,_xll.DBSW(PL_Saisie_Estime2!Z293,Server&amp;Cube1,PL_Saisie_Estime2!$F$17,PL_Saisie_Estime2!$F$18,PL_Saisie_Estime2!$F$19,PL_Saisie_Estime2!$F$16,PL_Saisie_Estime2!$C$14,PL_Saisie_Estime2!$F$15,PL_Saisie_Estime2!$F$14,PL_Saisie_Estime2!$F$20,PL_Saisie_Estime2!Z$2,PL_Saisie_Estime2!Z$1,PL_Saisie_Estime2!$C293),"")</f>
        <v/>
      </c>
      <c r="AA293" s="192" t="str">
        <f ca="1">IF(Flag_Send_Data=1,_xll.DBSW(PL_Saisie_Estime2!AA293,Server&amp;Cube1,PL_Saisie_Estime2!$F$17,PL_Saisie_Estime2!$F$18,PL_Saisie_Estime2!$F$19,PL_Saisie_Estime2!$F$16,PL_Saisie_Estime2!$C$14,PL_Saisie_Estime2!$F$15,PL_Saisie_Estime2!$F$14,PL_Saisie_Estime2!$F$20,PL_Saisie_Estime2!AA$2,PL_Saisie_Estime2!AA$1,PL_Saisie_Estime2!$C293),"")</f>
        <v/>
      </c>
      <c r="AB293" s="192" t="str">
        <f ca="1">IF(Flag_Send_Data=1,_xll.DBSW(PL_Saisie_Estime2!AB293,Server&amp;Cube1,PL_Saisie_Estime2!$F$17,PL_Saisie_Estime2!$F$18,PL_Saisie_Estime2!$F$19,PL_Saisie_Estime2!$F$16,PL_Saisie_Estime2!$C$14,PL_Saisie_Estime2!$F$15,PL_Saisie_Estime2!$F$14,PL_Saisie_Estime2!$F$20,PL_Saisie_Estime2!AB$2,PL_Saisie_Estime2!AB$1,PL_Saisie_Estime2!$C293),"")</f>
        <v/>
      </c>
      <c r="AC293" s="192" t="str">
        <f ca="1">IF(Flag_Send_Data=1,_xll.DBSW(PL_Saisie_Estime2!AC293,Server&amp;Cube1,PL_Saisie_Estime2!$F$17,PL_Saisie_Estime2!$F$18,PL_Saisie_Estime2!$F$19,PL_Saisie_Estime2!$F$16,PL_Saisie_Estime2!$C$14,PL_Saisie_Estime2!$F$15,PL_Saisie_Estime2!$F$14,PL_Saisie_Estime2!$F$20,PL_Saisie_Estime2!AC$2,PL_Saisie_Estime2!AC$1,PL_Saisie_Estime2!$C293),"")</f>
        <v/>
      </c>
      <c r="AD293" s="192" t="str">
        <f ca="1">IF(Flag_Send_Data=1,_xll.DBSW(PL_Saisie_Estime2!AD293,Server&amp;Cube1,PL_Saisie_Estime2!$F$17,PL_Saisie_Estime2!$F$18,PL_Saisie_Estime2!$F$19,PL_Saisie_Estime2!$F$16,PL_Saisie_Estime2!$C$14,PL_Saisie_Estime2!$F$15,PL_Saisie_Estime2!$F$14,PL_Saisie_Estime2!$F$20,PL_Saisie_Estime2!AD$2,PL_Saisie_Estime2!AD$1,PL_Saisie_Estime2!$C293),"")</f>
        <v/>
      </c>
      <c r="AE293" s="192" t="str">
        <f ca="1">IF(Flag_Send_Data=1,_xll.DBSW(PL_Saisie_Estime2!AE293,Server&amp;Cube1,PL_Saisie_Estime2!$F$17,PL_Saisie_Estime2!$F$18,PL_Saisie_Estime2!$F$19,PL_Saisie_Estime2!$F$16,PL_Saisie_Estime2!$C$14,PL_Saisie_Estime2!$F$15,PL_Saisie_Estime2!$F$14,PL_Saisie_Estime2!$F$20,PL_Saisie_Estime2!AE$2,PL_Saisie_Estime2!AE$1,PL_Saisie_Estime2!$C293),"")</f>
        <v/>
      </c>
      <c r="AF293" s="204"/>
      <c r="AG293" s="53"/>
      <c r="AH293" s="53"/>
      <c r="AI293" s="53"/>
      <c r="AJ293" s="53"/>
      <c r="AK293" s="53"/>
      <c r="AL293" s="53"/>
      <c r="AM293" s="53"/>
      <c r="AN293" s="53"/>
      <c r="AO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:53" s="9" customFormat="1" ht="24" customHeight="1" thickBot="1" x14ac:dyDescent="0.4">
      <c r="A294" s="181"/>
      <c r="B294" s="163"/>
      <c r="C294" s="116"/>
      <c r="E294" s="298"/>
      <c r="F294" s="298"/>
      <c r="G294" s="298"/>
      <c r="H294" s="40"/>
      <c r="I294" s="128"/>
      <c r="J294" s="128"/>
      <c r="K294" s="128"/>
      <c r="L294" s="128"/>
      <c r="M294" s="128"/>
      <c r="N294" s="129"/>
      <c r="O294" s="128"/>
      <c r="P294" s="129"/>
      <c r="Q294" s="124"/>
      <c r="R294" s="128"/>
      <c r="S294" s="129"/>
      <c r="T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53"/>
      <c r="AH294" s="53"/>
      <c r="AI294" s="53"/>
      <c r="AJ294" s="53"/>
      <c r="AK294" s="53"/>
      <c r="AL294" s="53"/>
      <c r="AM294" s="53"/>
      <c r="AN294" s="53"/>
      <c r="AO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:53" s="9" customFormat="1" ht="24" customHeight="1" x14ac:dyDescent="0.35">
      <c r="A295" s="181"/>
      <c r="B295" s="163"/>
      <c r="C295" s="119"/>
      <c r="E295" s="269"/>
      <c r="F295" s="269"/>
      <c r="G295" s="269"/>
      <c r="H295" s="40"/>
      <c r="I295" s="159"/>
      <c r="J295" s="159"/>
      <c r="K295" s="159"/>
      <c r="L295" s="159"/>
      <c r="M295" s="159"/>
      <c r="N295" s="125"/>
      <c r="O295" s="161"/>
      <c r="P295" s="125"/>
      <c r="Q295" s="124"/>
      <c r="R295" s="161"/>
      <c r="S295" s="125"/>
      <c r="T295" s="202"/>
      <c r="U295" s="202"/>
      <c r="V295" s="202"/>
      <c r="W295" s="202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53"/>
      <c r="AH295" s="53"/>
      <c r="AI295" s="53"/>
      <c r="AJ295" s="53"/>
      <c r="AK295" s="53"/>
      <c r="AL295" s="53"/>
      <c r="AM295" s="53"/>
      <c r="AN295" s="53"/>
      <c r="AO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:53" s="9" customFormat="1" ht="24" customHeight="1" x14ac:dyDescent="0.35">
      <c r="A296" s="181"/>
      <c r="B296" s="163"/>
      <c r="C296" s="117"/>
      <c r="E296" s="270"/>
      <c r="F296" s="270"/>
      <c r="G296" s="270"/>
      <c r="H296" s="40"/>
      <c r="I296" s="130"/>
      <c r="J296" s="130"/>
      <c r="K296" s="130"/>
      <c r="L296" s="130"/>
      <c r="M296" s="130"/>
      <c r="N296" s="125"/>
      <c r="O296" s="125"/>
      <c r="P296" s="125"/>
      <c r="Q296" s="124"/>
      <c r="R296" s="125"/>
      <c r="S296" s="125"/>
      <c r="T296" s="201"/>
      <c r="U296" s="201"/>
      <c r="V296" s="201"/>
      <c r="W296" s="201"/>
      <c r="X296" s="125"/>
      <c r="Y296" s="125"/>
      <c r="Z296" s="125"/>
      <c r="AA296" s="125"/>
      <c r="AB296" s="125"/>
      <c r="AC296" s="125"/>
      <c r="AD296" s="125"/>
      <c r="AE296" s="125"/>
      <c r="AF296" s="125"/>
      <c r="AG296" s="53"/>
      <c r="AH296" s="53"/>
      <c r="AI296" s="53"/>
      <c r="AJ296" s="53"/>
      <c r="AK296" s="53"/>
      <c r="AL296" s="53"/>
      <c r="AM296" s="53"/>
      <c r="AN296" s="53"/>
      <c r="AO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:53" s="9" customFormat="1" ht="24" customHeight="1" x14ac:dyDescent="0.35">
      <c r="A297" s="181"/>
      <c r="B297" s="163"/>
      <c r="C297" s="158"/>
      <c r="E297" s="268"/>
      <c r="F297" s="268"/>
      <c r="G297" s="268"/>
      <c r="H297" s="40"/>
      <c r="I297" s="130"/>
      <c r="J297" s="130"/>
      <c r="K297" s="130"/>
      <c r="L297" s="130"/>
      <c r="M297" s="130"/>
      <c r="N297" s="126"/>
      <c r="O297" s="204"/>
      <c r="P297" s="126"/>
      <c r="Q297" s="124"/>
      <c r="R297" s="192"/>
      <c r="S297" s="126"/>
      <c r="T297" s="200"/>
      <c r="U297" s="200"/>
      <c r="V297" s="200"/>
      <c r="W297" s="200"/>
      <c r="X297" s="200"/>
      <c r="Y297" s="200"/>
      <c r="Z297" s="192" t="str">
        <f ca="1">IF(Flag_Send_Data=1,_xll.DBSW(PL_Saisie_Estime2!Z297,Server&amp;Cube1,PL_Saisie_Estime2!$F$17,PL_Saisie_Estime2!$F$18,PL_Saisie_Estime2!$F$19,PL_Saisie_Estime2!$F$16,PL_Saisie_Estime2!$C$14,PL_Saisie_Estime2!$F$15,PL_Saisie_Estime2!$F$14,PL_Saisie_Estime2!$F$20,PL_Saisie_Estime2!Z$2,PL_Saisie_Estime2!Z$1,PL_Saisie_Estime2!$C297),"")</f>
        <v/>
      </c>
      <c r="AA297" s="192" t="str">
        <f ca="1">IF(Flag_Send_Data=1,_xll.DBSW(PL_Saisie_Estime2!AA297,Server&amp;Cube1,PL_Saisie_Estime2!$F$17,PL_Saisie_Estime2!$F$18,PL_Saisie_Estime2!$F$19,PL_Saisie_Estime2!$F$16,PL_Saisie_Estime2!$C$14,PL_Saisie_Estime2!$F$15,PL_Saisie_Estime2!$F$14,PL_Saisie_Estime2!$F$20,PL_Saisie_Estime2!AA$2,PL_Saisie_Estime2!AA$1,PL_Saisie_Estime2!$C297),"")</f>
        <v/>
      </c>
      <c r="AB297" s="192" t="str">
        <f ca="1">IF(Flag_Send_Data=1,_xll.DBSW(PL_Saisie_Estime2!AB297,Server&amp;Cube1,PL_Saisie_Estime2!$F$17,PL_Saisie_Estime2!$F$18,PL_Saisie_Estime2!$F$19,PL_Saisie_Estime2!$F$16,PL_Saisie_Estime2!$C$14,PL_Saisie_Estime2!$F$15,PL_Saisie_Estime2!$F$14,PL_Saisie_Estime2!$F$20,PL_Saisie_Estime2!AB$2,PL_Saisie_Estime2!AB$1,PL_Saisie_Estime2!$C297),"")</f>
        <v/>
      </c>
      <c r="AC297" s="192" t="str">
        <f ca="1">IF(Flag_Send_Data=1,_xll.DBSW(PL_Saisie_Estime2!AC297,Server&amp;Cube1,PL_Saisie_Estime2!$F$17,PL_Saisie_Estime2!$F$18,PL_Saisie_Estime2!$F$19,PL_Saisie_Estime2!$F$16,PL_Saisie_Estime2!$C$14,PL_Saisie_Estime2!$F$15,PL_Saisie_Estime2!$F$14,PL_Saisie_Estime2!$F$20,PL_Saisie_Estime2!AC$2,PL_Saisie_Estime2!AC$1,PL_Saisie_Estime2!$C297),"")</f>
        <v/>
      </c>
      <c r="AD297" s="192" t="str">
        <f ca="1">IF(Flag_Send_Data=1,_xll.DBSW(PL_Saisie_Estime2!AD297,Server&amp;Cube1,PL_Saisie_Estime2!$F$17,PL_Saisie_Estime2!$F$18,PL_Saisie_Estime2!$F$19,PL_Saisie_Estime2!$F$16,PL_Saisie_Estime2!$C$14,PL_Saisie_Estime2!$F$15,PL_Saisie_Estime2!$F$14,PL_Saisie_Estime2!$F$20,PL_Saisie_Estime2!AD$2,PL_Saisie_Estime2!AD$1,PL_Saisie_Estime2!$C297),"")</f>
        <v/>
      </c>
      <c r="AE297" s="192" t="str">
        <f ca="1">IF(Flag_Send_Data=1,_xll.DBSW(PL_Saisie_Estime2!AE297,Server&amp;Cube1,PL_Saisie_Estime2!$F$17,PL_Saisie_Estime2!$F$18,PL_Saisie_Estime2!$F$19,PL_Saisie_Estime2!$F$16,PL_Saisie_Estime2!$C$14,PL_Saisie_Estime2!$F$15,PL_Saisie_Estime2!$F$14,PL_Saisie_Estime2!$F$20,PL_Saisie_Estime2!AE$2,PL_Saisie_Estime2!AE$1,PL_Saisie_Estime2!$C297),"")</f>
        <v/>
      </c>
      <c r="AF297" s="204"/>
      <c r="AG297" s="53"/>
      <c r="AH297" s="53"/>
      <c r="AI297" s="53"/>
      <c r="AJ297" s="53"/>
      <c r="AK297" s="53"/>
      <c r="AL297" s="53"/>
      <c r="AM297" s="53"/>
      <c r="AN297" s="53"/>
      <c r="AO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:53" s="9" customFormat="1" ht="24" customHeight="1" x14ac:dyDescent="0.35">
      <c r="A298" s="181"/>
      <c r="B298" s="163"/>
      <c r="C298" s="158"/>
      <c r="E298" s="268"/>
      <c r="F298" s="268"/>
      <c r="G298" s="268"/>
      <c r="H298" s="40"/>
      <c r="I298" s="130"/>
      <c r="J298" s="130"/>
      <c r="K298" s="130"/>
      <c r="L298" s="130"/>
      <c r="M298" s="130"/>
      <c r="N298" s="126"/>
      <c r="O298" s="204"/>
      <c r="P298" s="126"/>
      <c r="Q298" s="124"/>
      <c r="R298" s="192"/>
      <c r="S298" s="126"/>
      <c r="T298" s="200"/>
      <c r="U298" s="200"/>
      <c r="V298" s="200"/>
      <c r="W298" s="200"/>
      <c r="X298" s="200"/>
      <c r="Y298" s="200"/>
      <c r="Z298" s="192" t="str">
        <f ca="1">IF(Flag_Send_Data=1,_xll.DBSW(PL_Saisie_Estime2!Z298,Server&amp;Cube1,PL_Saisie_Estime2!$F$17,PL_Saisie_Estime2!$F$18,PL_Saisie_Estime2!$F$19,PL_Saisie_Estime2!$F$16,PL_Saisie_Estime2!$C$14,PL_Saisie_Estime2!$F$15,PL_Saisie_Estime2!$F$14,PL_Saisie_Estime2!$F$20,PL_Saisie_Estime2!Z$2,PL_Saisie_Estime2!Z$1,PL_Saisie_Estime2!$C298),"")</f>
        <v/>
      </c>
      <c r="AA298" s="192" t="str">
        <f ca="1">IF(Flag_Send_Data=1,_xll.DBSW(PL_Saisie_Estime2!AA298,Server&amp;Cube1,PL_Saisie_Estime2!$F$17,PL_Saisie_Estime2!$F$18,PL_Saisie_Estime2!$F$19,PL_Saisie_Estime2!$F$16,PL_Saisie_Estime2!$C$14,PL_Saisie_Estime2!$F$15,PL_Saisie_Estime2!$F$14,PL_Saisie_Estime2!$F$20,PL_Saisie_Estime2!AA$2,PL_Saisie_Estime2!AA$1,PL_Saisie_Estime2!$C298),"")</f>
        <v/>
      </c>
      <c r="AB298" s="192" t="str">
        <f ca="1">IF(Flag_Send_Data=1,_xll.DBSW(PL_Saisie_Estime2!AB298,Server&amp;Cube1,PL_Saisie_Estime2!$F$17,PL_Saisie_Estime2!$F$18,PL_Saisie_Estime2!$F$19,PL_Saisie_Estime2!$F$16,PL_Saisie_Estime2!$C$14,PL_Saisie_Estime2!$F$15,PL_Saisie_Estime2!$F$14,PL_Saisie_Estime2!$F$20,PL_Saisie_Estime2!AB$2,PL_Saisie_Estime2!AB$1,PL_Saisie_Estime2!$C298),"")</f>
        <v/>
      </c>
      <c r="AC298" s="192" t="str">
        <f ca="1">IF(Flag_Send_Data=1,_xll.DBSW(PL_Saisie_Estime2!AC298,Server&amp;Cube1,PL_Saisie_Estime2!$F$17,PL_Saisie_Estime2!$F$18,PL_Saisie_Estime2!$F$19,PL_Saisie_Estime2!$F$16,PL_Saisie_Estime2!$C$14,PL_Saisie_Estime2!$F$15,PL_Saisie_Estime2!$F$14,PL_Saisie_Estime2!$F$20,PL_Saisie_Estime2!AC$2,PL_Saisie_Estime2!AC$1,PL_Saisie_Estime2!$C298),"")</f>
        <v/>
      </c>
      <c r="AD298" s="192" t="str">
        <f ca="1">IF(Flag_Send_Data=1,_xll.DBSW(PL_Saisie_Estime2!AD298,Server&amp;Cube1,PL_Saisie_Estime2!$F$17,PL_Saisie_Estime2!$F$18,PL_Saisie_Estime2!$F$19,PL_Saisie_Estime2!$F$16,PL_Saisie_Estime2!$C$14,PL_Saisie_Estime2!$F$15,PL_Saisie_Estime2!$F$14,PL_Saisie_Estime2!$F$20,PL_Saisie_Estime2!AD$2,PL_Saisie_Estime2!AD$1,PL_Saisie_Estime2!$C298),"")</f>
        <v/>
      </c>
      <c r="AE298" s="192" t="str">
        <f ca="1">IF(Flag_Send_Data=1,_xll.DBSW(PL_Saisie_Estime2!AE298,Server&amp;Cube1,PL_Saisie_Estime2!$F$17,PL_Saisie_Estime2!$F$18,PL_Saisie_Estime2!$F$19,PL_Saisie_Estime2!$F$16,PL_Saisie_Estime2!$C$14,PL_Saisie_Estime2!$F$15,PL_Saisie_Estime2!$F$14,PL_Saisie_Estime2!$F$20,PL_Saisie_Estime2!AE$2,PL_Saisie_Estime2!AE$1,PL_Saisie_Estime2!$C298),"")</f>
        <v/>
      </c>
      <c r="AF298" s="204"/>
      <c r="AG298" s="53"/>
      <c r="AH298" s="53"/>
      <c r="AI298" s="53"/>
      <c r="AJ298" s="53"/>
      <c r="AK298" s="53"/>
      <c r="AL298" s="53"/>
      <c r="AM298" s="53"/>
      <c r="AN298" s="53"/>
      <c r="AO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:53" s="9" customFormat="1" ht="24" customHeight="1" x14ac:dyDescent="0.35">
      <c r="A299" s="181"/>
      <c r="B299" s="163"/>
      <c r="C299" s="158"/>
      <c r="E299" s="268"/>
      <c r="F299" s="268"/>
      <c r="G299" s="268"/>
      <c r="H299" s="40"/>
      <c r="I299" s="130"/>
      <c r="J299" s="130"/>
      <c r="K299" s="130"/>
      <c r="L299" s="130"/>
      <c r="M299" s="130"/>
      <c r="N299" s="126"/>
      <c r="O299" s="204"/>
      <c r="P299" s="126"/>
      <c r="Q299" s="124"/>
      <c r="R299" s="192"/>
      <c r="S299" s="126"/>
      <c r="T299" s="200"/>
      <c r="U299" s="200"/>
      <c r="V299" s="200"/>
      <c r="W299" s="200"/>
      <c r="X299" s="200"/>
      <c r="Y299" s="200"/>
      <c r="Z299" s="192" t="str">
        <f ca="1">IF(Flag_Send_Data=1,_xll.DBSW(PL_Saisie_Estime2!Z299,Server&amp;Cube1,PL_Saisie_Estime2!$F$17,PL_Saisie_Estime2!$F$18,PL_Saisie_Estime2!$F$19,PL_Saisie_Estime2!$F$16,PL_Saisie_Estime2!$C$14,PL_Saisie_Estime2!$F$15,PL_Saisie_Estime2!$F$14,PL_Saisie_Estime2!$F$20,PL_Saisie_Estime2!Z$2,PL_Saisie_Estime2!Z$1,PL_Saisie_Estime2!$C299),"")</f>
        <v/>
      </c>
      <c r="AA299" s="192" t="str">
        <f ca="1">IF(Flag_Send_Data=1,_xll.DBSW(PL_Saisie_Estime2!AA299,Server&amp;Cube1,PL_Saisie_Estime2!$F$17,PL_Saisie_Estime2!$F$18,PL_Saisie_Estime2!$F$19,PL_Saisie_Estime2!$F$16,PL_Saisie_Estime2!$C$14,PL_Saisie_Estime2!$F$15,PL_Saisie_Estime2!$F$14,PL_Saisie_Estime2!$F$20,PL_Saisie_Estime2!AA$2,PL_Saisie_Estime2!AA$1,PL_Saisie_Estime2!$C299),"")</f>
        <v/>
      </c>
      <c r="AB299" s="192" t="str">
        <f ca="1">IF(Flag_Send_Data=1,_xll.DBSW(PL_Saisie_Estime2!AB299,Server&amp;Cube1,PL_Saisie_Estime2!$F$17,PL_Saisie_Estime2!$F$18,PL_Saisie_Estime2!$F$19,PL_Saisie_Estime2!$F$16,PL_Saisie_Estime2!$C$14,PL_Saisie_Estime2!$F$15,PL_Saisie_Estime2!$F$14,PL_Saisie_Estime2!$F$20,PL_Saisie_Estime2!AB$2,PL_Saisie_Estime2!AB$1,PL_Saisie_Estime2!$C299),"")</f>
        <v/>
      </c>
      <c r="AC299" s="192" t="str">
        <f ca="1">IF(Flag_Send_Data=1,_xll.DBSW(PL_Saisie_Estime2!AC299,Server&amp;Cube1,PL_Saisie_Estime2!$F$17,PL_Saisie_Estime2!$F$18,PL_Saisie_Estime2!$F$19,PL_Saisie_Estime2!$F$16,PL_Saisie_Estime2!$C$14,PL_Saisie_Estime2!$F$15,PL_Saisie_Estime2!$F$14,PL_Saisie_Estime2!$F$20,PL_Saisie_Estime2!AC$2,PL_Saisie_Estime2!AC$1,PL_Saisie_Estime2!$C299),"")</f>
        <v/>
      </c>
      <c r="AD299" s="192" t="str">
        <f ca="1">IF(Flag_Send_Data=1,_xll.DBSW(PL_Saisie_Estime2!AD299,Server&amp;Cube1,PL_Saisie_Estime2!$F$17,PL_Saisie_Estime2!$F$18,PL_Saisie_Estime2!$F$19,PL_Saisie_Estime2!$F$16,PL_Saisie_Estime2!$C$14,PL_Saisie_Estime2!$F$15,PL_Saisie_Estime2!$F$14,PL_Saisie_Estime2!$F$20,PL_Saisie_Estime2!AD$2,PL_Saisie_Estime2!AD$1,PL_Saisie_Estime2!$C299),"")</f>
        <v/>
      </c>
      <c r="AE299" s="192" t="str">
        <f ca="1">IF(Flag_Send_Data=1,_xll.DBSW(PL_Saisie_Estime2!AE299,Server&amp;Cube1,PL_Saisie_Estime2!$F$17,PL_Saisie_Estime2!$F$18,PL_Saisie_Estime2!$F$19,PL_Saisie_Estime2!$F$16,PL_Saisie_Estime2!$C$14,PL_Saisie_Estime2!$F$15,PL_Saisie_Estime2!$F$14,PL_Saisie_Estime2!$F$20,PL_Saisie_Estime2!AE$2,PL_Saisie_Estime2!AE$1,PL_Saisie_Estime2!$C299),"")</f>
        <v/>
      </c>
      <c r="AF299" s="204"/>
      <c r="AG299" s="53"/>
      <c r="AH299" s="53"/>
      <c r="AI299" s="53"/>
      <c r="AJ299" s="53"/>
      <c r="AK299" s="53"/>
      <c r="AL299" s="53"/>
      <c r="AM299" s="53"/>
      <c r="AN299" s="53"/>
      <c r="AO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:53" s="9" customFormat="1" ht="24" customHeight="1" x14ac:dyDescent="0.35">
      <c r="A300" s="181"/>
      <c r="B300" s="163"/>
      <c r="C300" s="158"/>
      <c r="E300" s="268"/>
      <c r="F300" s="268"/>
      <c r="G300" s="268"/>
      <c r="H300" s="40"/>
      <c r="I300" s="130"/>
      <c r="J300" s="130"/>
      <c r="K300" s="130"/>
      <c r="L300" s="130"/>
      <c r="M300" s="130"/>
      <c r="N300" s="126"/>
      <c r="O300" s="204"/>
      <c r="P300" s="126"/>
      <c r="Q300" s="124"/>
      <c r="R300" s="192"/>
      <c r="S300" s="126"/>
      <c r="T300" s="200"/>
      <c r="U300" s="200"/>
      <c r="V300" s="200"/>
      <c r="W300" s="200"/>
      <c r="X300" s="200"/>
      <c r="Y300" s="200"/>
      <c r="Z300" s="192" t="str">
        <f ca="1">IF(Flag_Send_Data=1,_xll.DBSW(PL_Saisie_Estime2!Z300,Server&amp;Cube1,PL_Saisie_Estime2!$F$17,PL_Saisie_Estime2!$F$18,PL_Saisie_Estime2!$F$19,PL_Saisie_Estime2!$F$16,PL_Saisie_Estime2!$C$14,PL_Saisie_Estime2!$F$15,PL_Saisie_Estime2!$F$14,PL_Saisie_Estime2!$F$20,PL_Saisie_Estime2!Z$2,PL_Saisie_Estime2!Z$1,PL_Saisie_Estime2!$C300),"")</f>
        <v/>
      </c>
      <c r="AA300" s="192" t="str">
        <f ca="1">IF(Flag_Send_Data=1,_xll.DBSW(PL_Saisie_Estime2!AA300,Server&amp;Cube1,PL_Saisie_Estime2!$F$17,PL_Saisie_Estime2!$F$18,PL_Saisie_Estime2!$F$19,PL_Saisie_Estime2!$F$16,PL_Saisie_Estime2!$C$14,PL_Saisie_Estime2!$F$15,PL_Saisie_Estime2!$F$14,PL_Saisie_Estime2!$F$20,PL_Saisie_Estime2!AA$2,PL_Saisie_Estime2!AA$1,PL_Saisie_Estime2!$C300),"")</f>
        <v/>
      </c>
      <c r="AB300" s="192" t="str">
        <f ca="1">IF(Flag_Send_Data=1,_xll.DBSW(PL_Saisie_Estime2!AB300,Server&amp;Cube1,PL_Saisie_Estime2!$F$17,PL_Saisie_Estime2!$F$18,PL_Saisie_Estime2!$F$19,PL_Saisie_Estime2!$F$16,PL_Saisie_Estime2!$C$14,PL_Saisie_Estime2!$F$15,PL_Saisie_Estime2!$F$14,PL_Saisie_Estime2!$F$20,PL_Saisie_Estime2!AB$2,PL_Saisie_Estime2!AB$1,PL_Saisie_Estime2!$C300),"")</f>
        <v/>
      </c>
      <c r="AC300" s="192" t="str">
        <f ca="1">IF(Flag_Send_Data=1,_xll.DBSW(PL_Saisie_Estime2!AC300,Server&amp;Cube1,PL_Saisie_Estime2!$F$17,PL_Saisie_Estime2!$F$18,PL_Saisie_Estime2!$F$19,PL_Saisie_Estime2!$F$16,PL_Saisie_Estime2!$C$14,PL_Saisie_Estime2!$F$15,PL_Saisie_Estime2!$F$14,PL_Saisie_Estime2!$F$20,PL_Saisie_Estime2!AC$2,PL_Saisie_Estime2!AC$1,PL_Saisie_Estime2!$C300),"")</f>
        <v/>
      </c>
      <c r="AD300" s="192" t="str">
        <f ca="1">IF(Flag_Send_Data=1,_xll.DBSW(PL_Saisie_Estime2!AD300,Server&amp;Cube1,PL_Saisie_Estime2!$F$17,PL_Saisie_Estime2!$F$18,PL_Saisie_Estime2!$F$19,PL_Saisie_Estime2!$F$16,PL_Saisie_Estime2!$C$14,PL_Saisie_Estime2!$F$15,PL_Saisie_Estime2!$F$14,PL_Saisie_Estime2!$F$20,PL_Saisie_Estime2!AD$2,PL_Saisie_Estime2!AD$1,PL_Saisie_Estime2!$C300),"")</f>
        <v/>
      </c>
      <c r="AE300" s="192" t="str">
        <f ca="1">IF(Flag_Send_Data=1,_xll.DBSW(PL_Saisie_Estime2!AE300,Server&amp;Cube1,PL_Saisie_Estime2!$F$17,PL_Saisie_Estime2!$F$18,PL_Saisie_Estime2!$F$19,PL_Saisie_Estime2!$F$16,PL_Saisie_Estime2!$C$14,PL_Saisie_Estime2!$F$15,PL_Saisie_Estime2!$F$14,PL_Saisie_Estime2!$F$20,PL_Saisie_Estime2!AE$2,PL_Saisie_Estime2!AE$1,PL_Saisie_Estime2!$C300),"")</f>
        <v/>
      </c>
      <c r="AF300" s="204"/>
      <c r="AG300" s="53"/>
      <c r="AH300" s="53"/>
      <c r="AI300" s="53"/>
      <c r="AJ300" s="53"/>
      <c r="AK300" s="53"/>
      <c r="AL300" s="53"/>
      <c r="AM300" s="53"/>
      <c r="AN300" s="53"/>
      <c r="AO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:53" s="9" customFormat="1" ht="24" customHeight="1" x14ac:dyDescent="0.35">
      <c r="A301" s="181"/>
      <c r="B301" s="163"/>
      <c r="C301" s="158"/>
      <c r="E301" s="268"/>
      <c r="F301" s="268"/>
      <c r="G301" s="268"/>
      <c r="H301" s="40"/>
      <c r="I301" s="130"/>
      <c r="J301" s="130"/>
      <c r="K301" s="130"/>
      <c r="L301" s="130"/>
      <c r="M301" s="130"/>
      <c r="N301" s="126"/>
      <c r="O301" s="204"/>
      <c r="P301" s="126"/>
      <c r="Q301" s="124"/>
      <c r="R301" s="192"/>
      <c r="S301" s="126"/>
      <c r="T301" s="200"/>
      <c r="U301" s="200"/>
      <c r="V301" s="200"/>
      <c r="W301" s="200"/>
      <c r="X301" s="200"/>
      <c r="Y301" s="200"/>
      <c r="Z301" s="192" t="str">
        <f ca="1">IF(Flag_Send_Data=1,_xll.DBSW(PL_Saisie_Estime2!Z301,Server&amp;Cube1,PL_Saisie_Estime2!$F$17,PL_Saisie_Estime2!$F$18,PL_Saisie_Estime2!$F$19,PL_Saisie_Estime2!$F$16,PL_Saisie_Estime2!$C$14,PL_Saisie_Estime2!$F$15,PL_Saisie_Estime2!$F$14,PL_Saisie_Estime2!$F$20,PL_Saisie_Estime2!Z$2,PL_Saisie_Estime2!Z$1,PL_Saisie_Estime2!$C301),"")</f>
        <v/>
      </c>
      <c r="AA301" s="192" t="str">
        <f ca="1">IF(Flag_Send_Data=1,_xll.DBSW(PL_Saisie_Estime2!AA301,Server&amp;Cube1,PL_Saisie_Estime2!$F$17,PL_Saisie_Estime2!$F$18,PL_Saisie_Estime2!$F$19,PL_Saisie_Estime2!$F$16,PL_Saisie_Estime2!$C$14,PL_Saisie_Estime2!$F$15,PL_Saisie_Estime2!$F$14,PL_Saisie_Estime2!$F$20,PL_Saisie_Estime2!AA$2,PL_Saisie_Estime2!AA$1,PL_Saisie_Estime2!$C301),"")</f>
        <v/>
      </c>
      <c r="AB301" s="192" t="str">
        <f ca="1">IF(Flag_Send_Data=1,_xll.DBSW(PL_Saisie_Estime2!AB301,Server&amp;Cube1,PL_Saisie_Estime2!$F$17,PL_Saisie_Estime2!$F$18,PL_Saisie_Estime2!$F$19,PL_Saisie_Estime2!$F$16,PL_Saisie_Estime2!$C$14,PL_Saisie_Estime2!$F$15,PL_Saisie_Estime2!$F$14,PL_Saisie_Estime2!$F$20,PL_Saisie_Estime2!AB$2,PL_Saisie_Estime2!AB$1,PL_Saisie_Estime2!$C301),"")</f>
        <v/>
      </c>
      <c r="AC301" s="192" t="str">
        <f ca="1">IF(Flag_Send_Data=1,_xll.DBSW(PL_Saisie_Estime2!AC301,Server&amp;Cube1,PL_Saisie_Estime2!$F$17,PL_Saisie_Estime2!$F$18,PL_Saisie_Estime2!$F$19,PL_Saisie_Estime2!$F$16,PL_Saisie_Estime2!$C$14,PL_Saisie_Estime2!$F$15,PL_Saisie_Estime2!$F$14,PL_Saisie_Estime2!$F$20,PL_Saisie_Estime2!AC$2,PL_Saisie_Estime2!AC$1,PL_Saisie_Estime2!$C301),"")</f>
        <v/>
      </c>
      <c r="AD301" s="192" t="str">
        <f ca="1">IF(Flag_Send_Data=1,_xll.DBSW(PL_Saisie_Estime2!AD301,Server&amp;Cube1,PL_Saisie_Estime2!$F$17,PL_Saisie_Estime2!$F$18,PL_Saisie_Estime2!$F$19,PL_Saisie_Estime2!$F$16,PL_Saisie_Estime2!$C$14,PL_Saisie_Estime2!$F$15,PL_Saisie_Estime2!$F$14,PL_Saisie_Estime2!$F$20,PL_Saisie_Estime2!AD$2,PL_Saisie_Estime2!AD$1,PL_Saisie_Estime2!$C301),"")</f>
        <v/>
      </c>
      <c r="AE301" s="192" t="str">
        <f ca="1">IF(Flag_Send_Data=1,_xll.DBSW(PL_Saisie_Estime2!AE301,Server&amp;Cube1,PL_Saisie_Estime2!$F$17,PL_Saisie_Estime2!$F$18,PL_Saisie_Estime2!$F$19,PL_Saisie_Estime2!$F$16,PL_Saisie_Estime2!$C$14,PL_Saisie_Estime2!$F$15,PL_Saisie_Estime2!$F$14,PL_Saisie_Estime2!$F$20,PL_Saisie_Estime2!AE$2,PL_Saisie_Estime2!AE$1,PL_Saisie_Estime2!$C301),"")</f>
        <v/>
      </c>
      <c r="AF301" s="204"/>
      <c r="AG301" s="53"/>
      <c r="AH301" s="53"/>
      <c r="AI301" s="53"/>
      <c r="AJ301" s="53"/>
      <c r="AK301" s="53"/>
      <c r="AL301" s="53"/>
      <c r="AM301" s="53"/>
      <c r="AN301" s="53"/>
      <c r="AO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:53" s="9" customFormat="1" ht="24" customHeight="1" x14ac:dyDescent="0.35">
      <c r="A302" s="181"/>
      <c r="B302" s="163"/>
      <c r="C302" s="158"/>
      <c r="E302" s="268"/>
      <c r="F302" s="268"/>
      <c r="G302" s="268"/>
      <c r="H302" s="40"/>
      <c r="I302" s="130"/>
      <c r="J302" s="130"/>
      <c r="K302" s="130"/>
      <c r="L302" s="130"/>
      <c r="M302" s="130"/>
      <c r="N302" s="126"/>
      <c r="O302" s="204"/>
      <c r="P302" s="126"/>
      <c r="Q302" s="124"/>
      <c r="R302" s="192"/>
      <c r="S302" s="126"/>
      <c r="T302" s="200"/>
      <c r="U302" s="200"/>
      <c r="V302" s="200"/>
      <c r="W302" s="200"/>
      <c r="X302" s="200"/>
      <c r="Y302" s="200"/>
      <c r="Z302" s="192" t="str">
        <f ca="1">IF(Flag_Send_Data=1,_xll.DBSW(PL_Saisie_Estime2!Z302,Server&amp;Cube1,PL_Saisie_Estime2!$F$17,PL_Saisie_Estime2!$F$18,PL_Saisie_Estime2!$F$19,PL_Saisie_Estime2!$F$16,PL_Saisie_Estime2!$C$14,PL_Saisie_Estime2!$F$15,PL_Saisie_Estime2!$F$14,PL_Saisie_Estime2!$F$20,PL_Saisie_Estime2!Z$2,PL_Saisie_Estime2!Z$1,PL_Saisie_Estime2!$C302),"")</f>
        <v/>
      </c>
      <c r="AA302" s="192" t="str">
        <f ca="1">IF(Flag_Send_Data=1,_xll.DBSW(PL_Saisie_Estime2!AA302,Server&amp;Cube1,PL_Saisie_Estime2!$F$17,PL_Saisie_Estime2!$F$18,PL_Saisie_Estime2!$F$19,PL_Saisie_Estime2!$F$16,PL_Saisie_Estime2!$C$14,PL_Saisie_Estime2!$F$15,PL_Saisie_Estime2!$F$14,PL_Saisie_Estime2!$F$20,PL_Saisie_Estime2!AA$2,PL_Saisie_Estime2!AA$1,PL_Saisie_Estime2!$C302),"")</f>
        <v/>
      </c>
      <c r="AB302" s="192" t="str">
        <f ca="1">IF(Flag_Send_Data=1,_xll.DBSW(PL_Saisie_Estime2!AB302,Server&amp;Cube1,PL_Saisie_Estime2!$F$17,PL_Saisie_Estime2!$F$18,PL_Saisie_Estime2!$F$19,PL_Saisie_Estime2!$F$16,PL_Saisie_Estime2!$C$14,PL_Saisie_Estime2!$F$15,PL_Saisie_Estime2!$F$14,PL_Saisie_Estime2!$F$20,PL_Saisie_Estime2!AB$2,PL_Saisie_Estime2!AB$1,PL_Saisie_Estime2!$C302),"")</f>
        <v/>
      </c>
      <c r="AC302" s="192" t="str">
        <f ca="1">IF(Flag_Send_Data=1,_xll.DBSW(PL_Saisie_Estime2!AC302,Server&amp;Cube1,PL_Saisie_Estime2!$F$17,PL_Saisie_Estime2!$F$18,PL_Saisie_Estime2!$F$19,PL_Saisie_Estime2!$F$16,PL_Saisie_Estime2!$C$14,PL_Saisie_Estime2!$F$15,PL_Saisie_Estime2!$F$14,PL_Saisie_Estime2!$F$20,PL_Saisie_Estime2!AC$2,PL_Saisie_Estime2!AC$1,PL_Saisie_Estime2!$C302),"")</f>
        <v/>
      </c>
      <c r="AD302" s="192" t="str">
        <f ca="1">IF(Flag_Send_Data=1,_xll.DBSW(PL_Saisie_Estime2!AD302,Server&amp;Cube1,PL_Saisie_Estime2!$F$17,PL_Saisie_Estime2!$F$18,PL_Saisie_Estime2!$F$19,PL_Saisie_Estime2!$F$16,PL_Saisie_Estime2!$C$14,PL_Saisie_Estime2!$F$15,PL_Saisie_Estime2!$F$14,PL_Saisie_Estime2!$F$20,PL_Saisie_Estime2!AD$2,PL_Saisie_Estime2!AD$1,PL_Saisie_Estime2!$C302),"")</f>
        <v/>
      </c>
      <c r="AE302" s="192" t="str">
        <f ca="1">IF(Flag_Send_Data=1,_xll.DBSW(PL_Saisie_Estime2!AE302,Server&amp;Cube1,PL_Saisie_Estime2!$F$17,PL_Saisie_Estime2!$F$18,PL_Saisie_Estime2!$F$19,PL_Saisie_Estime2!$F$16,PL_Saisie_Estime2!$C$14,PL_Saisie_Estime2!$F$15,PL_Saisie_Estime2!$F$14,PL_Saisie_Estime2!$F$20,PL_Saisie_Estime2!AE$2,PL_Saisie_Estime2!AE$1,PL_Saisie_Estime2!$C302),"")</f>
        <v/>
      </c>
      <c r="AF302" s="204"/>
      <c r="AG302" s="53"/>
      <c r="AH302" s="53"/>
      <c r="AI302" s="53"/>
      <c r="AJ302" s="53"/>
      <c r="AK302" s="53"/>
      <c r="AL302" s="53"/>
      <c r="AM302" s="53"/>
      <c r="AN302" s="53"/>
      <c r="AO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:53" s="9" customFormat="1" ht="24" customHeight="1" x14ac:dyDescent="0.35">
      <c r="A303" s="181"/>
      <c r="B303" s="163"/>
      <c r="C303" s="158"/>
      <c r="E303" s="268"/>
      <c r="F303" s="268"/>
      <c r="G303" s="268"/>
      <c r="H303" s="40"/>
      <c r="I303" s="130"/>
      <c r="J303" s="130"/>
      <c r="K303" s="130"/>
      <c r="L303" s="130"/>
      <c r="M303" s="130"/>
      <c r="N303" s="126"/>
      <c r="O303" s="204"/>
      <c r="P303" s="126"/>
      <c r="Q303" s="124"/>
      <c r="R303" s="192"/>
      <c r="S303" s="126"/>
      <c r="T303" s="200"/>
      <c r="U303" s="200"/>
      <c r="V303" s="200"/>
      <c r="W303" s="200"/>
      <c r="X303" s="200"/>
      <c r="Y303" s="200"/>
      <c r="Z303" s="192" t="str">
        <f ca="1">IF(Flag_Send_Data=1,_xll.DBSW(PL_Saisie_Estime2!Z303,Server&amp;Cube1,PL_Saisie_Estime2!$F$17,PL_Saisie_Estime2!$F$18,PL_Saisie_Estime2!$F$19,PL_Saisie_Estime2!$F$16,PL_Saisie_Estime2!$C$14,PL_Saisie_Estime2!$F$15,PL_Saisie_Estime2!$F$14,PL_Saisie_Estime2!$F$20,PL_Saisie_Estime2!Z$2,PL_Saisie_Estime2!Z$1,PL_Saisie_Estime2!$C303),"")</f>
        <v/>
      </c>
      <c r="AA303" s="192" t="str">
        <f ca="1">IF(Flag_Send_Data=1,_xll.DBSW(PL_Saisie_Estime2!AA303,Server&amp;Cube1,PL_Saisie_Estime2!$F$17,PL_Saisie_Estime2!$F$18,PL_Saisie_Estime2!$F$19,PL_Saisie_Estime2!$F$16,PL_Saisie_Estime2!$C$14,PL_Saisie_Estime2!$F$15,PL_Saisie_Estime2!$F$14,PL_Saisie_Estime2!$F$20,PL_Saisie_Estime2!AA$2,PL_Saisie_Estime2!AA$1,PL_Saisie_Estime2!$C303),"")</f>
        <v/>
      </c>
      <c r="AB303" s="192" t="str">
        <f ca="1">IF(Flag_Send_Data=1,_xll.DBSW(PL_Saisie_Estime2!AB303,Server&amp;Cube1,PL_Saisie_Estime2!$F$17,PL_Saisie_Estime2!$F$18,PL_Saisie_Estime2!$F$19,PL_Saisie_Estime2!$F$16,PL_Saisie_Estime2!$C$14,PL_Saisie_Estime2!$F$15,PL_Saisie_Estime2!$F$14,PL_Saisie_Estime2!$F$20,PL_Saisie_Estime2!AB$2,PL_Saisie_Estime2!AB$1,PL_Saisie_Estime2!$C303),"")</f>
        <v/>
      </c>
      <c r="AC303" s="192" t="str">
        <f ca="1">IF(Flag_Send_Data=1,_xll.DBSW(PL_Saisie_Estime2!AC303,Server&amp;Cube1,PL_Saisie_Estime2!$F$17,PL_Saisie_Estime2!$F$18,PL_Saisie_Estime2!$F$19,PL_Saisie_Estime2!$F$16,PL_Saisie_Estime2!$C$14,PL_Saisie_Estime2!$F$15,PL_Saisie_Estime2!$F$14,PL_Saisie_Estime2!$F$20,PL_Saisie_Estime2!AC$2,PL_Saisie_Estime2!AC$1,PL_Saisie_Estime2!$C303),"")</f>
        <v/>
      </c>
      <c r="AD303" s="192" t="str">
        <f ca="1">IF(Flag_Send_Data=1,_xll.DBSW(PL_Saisie_Estime2!AD303,Server&amp;Cube1,PL_Saisie_Estime2!$F$17,PL_Saisie_Estime2!$F$18,PL_Saisie_Estime2!$F$19,PL_Saisie_Estime2!$F$16,PL_Saisie_Estime2!$C$14,PL_Saisie_Estime2!$F$15,PL_Saisie_Estime2!$F$14,PL_Saisie_Estime2!$F$20,PL_Saisie_Estime2!AD$2,PL_Saisie_Estime2!AD$1,PL_Saisie_Estime2!$C303),"")</f>
        <v/>
      </c>
      <c r="AE303" s="192" t="str">
        <f ca="1">IF(Flag_Send_Data=1,_xll.DBSW(PL_Saisie_Estime2!AE303,Server&amp;Cube1,PL_Saisie_Estime2!$F$17,PL_Saisie_Estime2!$F$18,PL_Saisie_Estime2!$F$19,PL_Saisie_Estime2!$F$16,PL_Saisie_Estime2!$C$14,PL_Saisie_Estime2!$F$15,PL_Saisie_Estime2!$F$14,PL_Saisie_Estime2!$F$20,PL_Saisie_Estime2!AE$2,PL_Saisie_Estime2!AE$1,PL_Saisie_Estime2!$C303),"")</f>
        <v/>
      </c>
      <c r="AF303" s="204"/>
      <c r="AG303" s="53"/>
      <c r="AH303" s="53"/>
      <c r="AI303" s="53"/>
      <c r="AJ303" s="53"/>
      <c r="AK303" s="53"/>
      <c r="AL303" s="53"/>
      <c r="AM303" s="53"/>
      <c r="AN303" s="53"/>
      <c r="AO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:53" s="9" customFormat="1" ht="24" customHeight="1" x14ac:dyDescent="0.35">
      <c r="A304" s="181"/>
      <c r="B304" s="163"/>
      <c r="C304" s="158"/>
      <c r="E304" s="268"/>
      <c r="F304" s="268"/>
      <c r="G304" s="268"/>
      <c r="H304" s="40"/>
      <c r="I304" s="130"/>
      <c r="J304" s="130"/>
      <c r="K304" s="130"/>
      <c r="L304" s="130"/>
      <c r="M304" s="130"/>
      <c r="N304" s="126"/>
      <c r="O304" s="204"/>
      <c r="P304" s="126"/>
      <c r="Q304" s="124"/>
      <c r="R304" s="192"/>
      <c r="S304" s="126"/>
      <c r="T304" s="200"/>
      <c r="U304" s="200"/>
      <c r="V304" s="200"/>
      <c r="W304" s="200"/>
      <c r="X304" s="200"/>
      <c r="Y304" s="200"/>
      <c r="Z304" s="192" t="str">
        <f ca="1">IF(Flag_Send_Data=1,_xll.DBSW(PL_Saisie_Estime2!Z304,Server&amp;Cube1,PL_Saisie_Estime2!$F$17,PL_Saisie_Estime2!$F$18,PL_Saisie_Estime2!$F$19,PL_Saisie_Estime2!$F$16,PL_Saisie_Estime2!$C$14,PL_Saisie_Estime2!$F$15,PL_Saisie_Estime2!$F$14,PL_Saisie_Estime2!$F$20,PL_Saisie_Estime2!Z$2,PL_Saisie_Estime2!Z$1,PL_Saisie_Estime2!$C304),"")</f>
        <v/>
      </c>
      <c r="AA304" s="192" t="str">
        <f ca="1">IF(Flag_Send_Data=1,_xll.DBSW(PL_Saisie_Estime2!AA304,Server&amp;Cube1,PL_Saisie_Estime2!$F$17,PL_Saisie_Estime2!$F$18,PL_Saisie_Estime2!$F$19,PL_Saisie_Estime2!$F$16,PL_Saisie_Estime2!$C$14,PL_Saisie_Estime2!$F$15,PL_Saisie_Estime2!$F$14,PL_Saisie_Estime2!$F$20,PL_Saisie_Estime2!AA$2,PL_Saisie_Estime2!AA$1,PL_Saisie_Estime2!$C304),"")</f>
        <v/>
      </c>
      <c r="AB304" s="192" t="str">
        <f ca="1">IF(Flag_Send_Data=1,_xll.DBSW(PL_Saisie_Estime2!AB304,Server&amp;Cube1,PL_Saisie_Estime2!$F$17,PL_Saisie_Estime2!$F$18,PL_Saisie_Estime2!$F$19,PL_Saisie_Estime2!$F$16,PL_Saisie_Estime2!$C$14,PL_Saisie_Estime2!$F$15,PL_Saisie_Estime2!$F$14,PL_Saisie_Estime2!$F$20,PL_Saisie_Estime2!AB$2,PL_Saisie_Estime2!AB$1,PL_Saisie_Estime2!$C304),"")</f>
        <v/>
      </c>
      <c r="AC304" s="192" t="str">
        <f ca="1">IF(Flag_Send_Data=1,_xll.DBSW(PL_Saisie_Estime2!AC304,Server&amp;Cube1,PL_Saisie_Estime2!$F$17,PL_Saisie_Estime2!$F$18,PL_Saisie_Estime2!$F$19,PL_Saisie_Estime2!$F$16,PL_Saisie_Estime2!$C$14,PL_Saisie_Estime2!$F$15,PL_Saisie_Estime2!$F$14,PL_Saisie_Estime2!$F$20,PL_Saisie_Estime2!AC$2,PL_Saisie_Estime2!AC$1,PL_Saisie_Estime2!$C304),"")</f>
        <v/>
      </c>
      <c r="AD304" s="192" t="str">
        <f ca="1">IF(Flag_Send_Data=1,_xll.DBSW(PL_Saisie_Estime2!AD304,Server&amp;Cube1,PL_Saisie_Estime2!$F$17,PL_Saisie_Estime2!$F$18,PL_Saisie_Estime2!$F$19,PL_Saisie_Estime2!$F$16,PL_Saisie_Estime2!$C$14,PL_Saisie_Estime2!$F$15,PL_Saisie_Estime2!$F$14,PL_Saisie_Estime2!$F$20,PL_Saisie_Estime2!AD$2,PL_Saisie_Estime2!AD$1,PL_Saisie_Estime2!$C304),"")</f>
        <v/>
      </c>
      <c r="AE304" s="192" t="str">
        <f ca="1">IF(Flag_Send_Data=1,_xll.DBSW(PL_Saisie_Estime2!AE304,Server&amp;Cube1,PL_Saisie_Estime2!$F$17,PL_Saisie_Estime2!$F$18,PL_Saisie_Estime2!$F$19,PL_Saisie_Estime2!$F$16,PL_Saisie_Estime2!$C$14,PL_Saisie_Estime2!$F$15,PL_Saisie_Estime2!$F$14,PL_Saisie_Estime2!$F$20,PL_Saisie_Estime2!AE$2,PL_Saisie_Estime2!AE$1,PL_Saisie_Estime2!$C304),"")</f>
        <v/>
      </c>
      <c r="AF304" s="204"/>
      <c r="AG304" s="53"/>
      <c r="AH304" s="53"/>
      <c r="AI304" s="53"/>
      <c r="AJ304" s="53"/>
      <c r="AK304" s="53"/>
      <c r="AL304" s="53"/>
      <c r="AM304" s="53"/>
      <c r="AN304" s="53"/>
      <c r="AO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:53" s="9" customFormat="1" ht="24" customHeight="1" x14ac:dyDescent="0.35">
      <c r="A305" s="181"/>
      <c r="B305" s="163"/>
      <c r="C305" s="158"/>
      <c r="E305" s="268"/>
      <c r="F305" s="268"/>
      <c r="G305" s="268"/>
      <c r="H305" s="40"/>
      <c r="I305" s="130"/>
      <c r="J305" s="130"/>
      <c r="K305" s="130"/>
      <c r="L305" s="130"/>
      <c r="M305" s="130"/>
      <c r="N305" s="126"/>
      <c r="O305" s="204"/>
      <c r="P305" s="126"/>
      <c r="Q305" s="124"/>
      <c r="R305" s="192"/>
      <c r="S305" s="126"/>
      <c r="T305" s="200"/>
      <c r="U305" s="200"/>
      <c r="V305" s="200"/>
      <c r="W305" s="200"/>
      <c r="X305" s="200"/>
      <c r="Y305" s="200"/>
      <c r="Z305" s="192" t="str">
        <f ca="1">IF(Flag_Send_Data=1,_xll.DBSW(PL_Saisie_Estime2!Z305,Server&amp;Cube1,PL_Saisie_Estime2!$F$17,PL_Saisie_Estime2!$F$18,PL_Saisie_Estime2!$F$19,PL_Saisie_Estime2!$F$16,PL_Saisie_Estime2!$C$14,PL_Saisie_Estime2!$F$15,PL_Saisie_Estime2!$F$14,PL_Saisie_Estime2!$F$20,PL_Saisie_Estime2!Z$2,PL_Saisie_Estime2!Z$1,PL_Saisie_Estime2!$C305),"")</f>
        <v/>
      </c>
      <c r="AA305" s="192" t="str">
        <f ca="1">IF(Flag_Send_Data=1,_xll.DBSW(PL_Saisie_Estime2!AA305,Server&amp;Cube1,PL_Saisie_Estime2!$F$17,PL_Saisie_Estime2!$F$18,PL_Saisie_Estime2!$F$19,PL_Saisie_Estime2!$F$16,PL_Saisie_Estime2!$C$14,PL_Saisie_Estime2!$F$15,PL_Saisie_Estime2!$F$14,PL_Saisie_Estime2!$F$20,PL_Saisie_Estime2!AA$2,PL_Saisie_Estime2!AA$1,PL_Saisie_Estime2!$C305),"")</f>
        <v/>
      </c>
      <c r="AB305" s="192" t="str">
        <f ca="1">IF(Flag_Send_Data=1,_xll.DBSW(PL_Saisie_Estime2!AB305,Server&amp;Cube1,PL_Saisie_Estime2!$F$17,PL_Saisie_Estime2!$F$18,PL_Saisie_Estime2!$F$19,PL_Saisie_Estime2!$F$16,PL_Saisie_Estime2!$C$14,PL_Saisie_Estime2!$F$15,PL_Saisie_Estime2!$F$14,PL_Saisie_Estime2!$F$20,PL_Saisie_Estime2!AB$2,PL_Saisie_Estime2!AB$1,PL_Saisie_Estime2!$C305),"")</f>
        <v/>
      </c>
      <c r="AC305" s="192" t="str">
        <f ca="1">IF(Flag_Send_Data=1,_xll.DBSW(PL_Saisie_Estime2!AC305,Server&amp;Cube1,PL_Saisie_Estime2!$F$17,PL_Saisie_Estime2!$F$18,PL_Saisie_Estime2!$F$19,PL_Saisie_Estime2!$F$16,PL_Saisie_Estime2!$C$14,PL_Saisie_Estime2!$F$15,PL_Saisie_Estime2!$F$14,PL_Saisie_Estime2!$F$20,PL_Saisie_Estime2!AC$2,PL_Saisie_Estime2!AC$1,PL_Saisie_Estime2!$C305),"")</f>
        <v/>
      </c>
      <c r="AD305" s="192" t="str">
        <f ca="1">IF(Flag_Send_Data=1,_xll.DBSW(PL_Saisie_Estime2!AD305,Server&amp;Cube1,PL_Saisie_Estime2!$F$17,PL_Saisie_Estime2!$F$18,PL_Saisie_Estime2!$F$19,PL_Saisie_Estime2!$F$16,PL_Saisie_Estime2!$C$14,PL_Saisie_Estime2!$F$15,PL_Saisie_Estime2!$F$14,PL_Saisie_Estime2!$F$20,PL_Saisie_Estime2!AD$2,PL_Saisie_Estime2!AD$1,PL_Saisie_Estime2!$C305),"")</f>
        <v/>
      </c>
      <c r="AE305" s="192" t="str">
        <f ca="1">IF(Flag_Send_Data=1,_xll.DBSW(PL_Saisie_Estime2!AE305,Server&amp;Cube1,PL_Saisie_Estime2!$F$17,PL_Saisie_Estime2!$F$18,PL_Saisie_Estime2!$F$19,PL_Saisie_Estime2!$F$16,PL_Saisie_Estime2!$C$14,PL_Saisie_Estime2!$F$15,PL_Saisie_Estime2!$F$14,PL_Saisie_Estime2!$F$20,PL_Saisie_Estime2!AE$2,PL_Saisie_Estime2!AE$1,PL_Saisie_Estime2!$C305),"")</f>
        <v/>
      </c>
      <c r="AF305" s="204"/>
      <c r="AG305" s="53"/>
      <c r="AH305" s="53"/>
      <c r="AI305" s="53"/>
      <c r="AJ305" s="53"/>
      <c r="AK305" s="53"/>
      <c r="AL305" s="53"/>
      <c r="AM305" s="53"/>
      <c r="AN305" s="53"/>
      <c r="AO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:53" s="9" customFormat="1" ht="24" customHeight="1" x14ac:dyDescent="0.35">
      <c r="A306" s="181"/>
      <c r="B306" s="163"/>
      <c r="C306" s="158"/>
      <c r="E306" s="268"/>
      <c r="F306" s="268"/>
      <c r="G306" s="268"/>
      <c r="H306" s="40"/>
      <c r="I306" s="130"/>
      <c r="J306" s="130"/>
      <c r="K306" s="130"/>
      <c r="L306" s="130"/>
      <c r="M306" s="130"/>
      <c r="N306" s="126"/>
      <c r="O306" s="204"/>
      <c r="P306" s="126"/>
      <c r="Q306" s="124"/>
      <c r="R306" s="192"/>
      <c r="S306" s="126"/>
      <c r="T306" s="200"/>
      <c r="U306" s="200"/>
      <c r="V306" s="200"/>
      <c r="W306" s="200"/>
      <c r="X306" s="200"/>
      <c r="Y306" s="200"/>
      <c r="Z306" s="192" t="str">
        <f ca="1">IF(Flag_Send_Data=1,_xll.DBSW(PL_Saisie_Estime2!Z306,Server&amp;Cube1,PL_Saisie_Estime2!$F$17,PL_Saisie_Estime2!$F$18,PL_Saisie_Estime2!$F$19,PL_Saisie_Estime2!$F$16,PL_Saisie_Estime2!$C$14,PL_Saisie_Estime2!$F$15,PL_Saisie_Estime2!$F$14,PL_Saisie_Estime2!$F$20,PL_Saisie_Estime2!Z$2,PL_Saisie_Estime2!Z$1,PL_Saisie_Estime2!$C306),"")</f>
        <v/>
      </c>
      <c r="AA306" s="192" t="str">
        <f ca="1">IF(Flag_Send_Data=1,_xll.DBSW(PL_Saisie_Estime2!AA306,Server&amp;Cube1,PL_Saisie_Estime2!$F$17,PL_Saisie_Estime2!$F$18,PL_Saisie_Estime2!$F$19,PL_Saisie_Estime2!$F$16,PL_Saisie_Estime2!$C$14,PL_Saisie_Estime2!$F$15,PL_Saisie_Estime2!$F$14,PL_Saisie_Estime2!$F$20,PL_Saisie_Estime2!AA$2,PL_Saisie_Estime2!AA$1,PL_Saisie_Estime2!$C306),"")</f>
        <v/>
      </c>
      <c r="AB306" s="192" t="str">
        <f ca="1">IF(Flag_Send_Data=1,_xll.DBSW(PL_Saisie_Estime2!AB306,Server&amp;Cube1,PL_Saisie_Estime2!$F$17,PL_Saisie_Estime2!$F$18,PL_Saisie_Estime2!$F$19,PL_Saisie_Estime2!$F$16,PL_Saisie_Estime2!$C$14,PL_Saisie_Estime2!$F$15,PL_Saisie_Estime2!$F$14,PL_Saisie_Estime2!$F$20,PL_Saisie_Estime2!AB$2,PL_Saisie_Estime2!AB$1,PL_Saisie_Estime2!$C306),"")</f>
        <v/>
      </c>
      <c r="AC306" s="192" t="str">
        <f ca="1">IF(Flag_Send_Data=1,_xll.DBSW(PL_Saisie_Estime2!AC306,Server&amp;Cube1,PL_Saisie_Estime2!$F$17,PL_Saisie_Estime2!$F$18,PL_Saisie_Estime2!$F$19,PL_Saisie_Estime2!$F$16,PL_Saisie_Estime2!$C$14,PL_Saisie_Estime2!$F$15,PL_Saisie_Estime2!$F$14,PL_Saisie_Estime2!$F$20,PL_Saisie_Estime2!AC$2,PL_Saisie_Estime2!AC$1,PL_Saisie_Estime2!$C306),"")</f>
        <v/>
      </c>
      <c r="AD306" s="192" t="str">
        <f ca="1">IF(Flag_Send_Data=1,_xll.DBSW(PL_Saisie_Estime2!AD306,Server&amp;Cube1,PL_Saisie_Estime2!$F$17,PL_Saisie_Estime2!$F$18,PL_Saisie_Estime2!$F$19,PL_Saisie_Estime2!$F$16,PL_Saisie_Estime2!$C$14,PL_Saisie_Estime2!$F$15,PL_Saisie_Estime2!$F$14,PL_Saisie_Estime2!$F$20,PL_Saisie_Estime2!AD$2,PL_Saisie_Estime2!AD$1,PL_Saisie_Estime2!$C306),"")</f>
        <v/>
      </c>
      <c r="AE306" s="192" t="str">
        <f ca="1">IF(Flag_Send_Data=1,_xll.DBSW(PL_Saisie_Estime2!AE306,Server&amp;Cube1,PL_Saisie_Estime2!$F$17,PL_Saisie_Estime2!$F$18,PL_Saisie_Estime2!$F$19,PL_Saisie_Estime2!$F$16,PL_Saisie_Estime2!$C$14,PL_Saisie_Estime2!$F$15,PL_Saisie_Estime2!$F$14,PL_Saisie_Estime2!$F$20,PL_Saisie_Estime2!AE$2,PL_Saisie_Estime2!AE$1,PL_Saisie_Estime2!$C306),"")</f>
        <v/>
      </c>
      <c r="AF306" s="204"/>
      <c r="AG306" s="53"/>
      <c r="AH306" s="53"/>
      <c r="AI306" s="53"/>
      <c r="AJ306" s="53"/>
      <c r="AK306" s="53"/>
      <c r="AL306" s="53"/>
      <c r="AM306" s="53"/>
      <c r="AN306" s="53"/>
      <c r="AO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:53" s="9" customFormat="1" ht="24" customHeight="1" x14ac:dyDescent="0.35">
      <c r="A307" s="181"/>
      <c r="B307" s="163"/>
      <c r="C307" s="158"/>
      <c r="E307" s="268"/>
      <c r="F307" s="268"/>
      <c r="G307" s="268"/>
      <c r="H307" s="40"/>
      <c r="I307" s="130"/>
      <c r="J307" s="130"/>
      <c r="K307" s="130"/>
      <c r="L307" s="130"/>
      <c r="M307" s="130"/>
      <c r="N307" s="126"/>
      <c r="O307" s="204"/>
      <c r="P307" s="126"/>
      <c r="Q307" s="124"/>
      <c r="R307" s="192"/>
      <c r="S307" s="126"/>
      <c r="T307" s="200"/>
      <c r="U307" s="200"/>
      <c r="V307" s="200"/>
      <c r="W307" s="200"/>
      <c r="X307" s="200"/>
      <c r="Y307" s="200"/>
      <c r="Z307" s="192" t="str">
        <f ca="1">IF(Flag_Send_Data=1,_xll.DBSW(PL_Saisie_Estime2!Z307,Server&amp;Cube1,PL_Saisie_Estime2!$F$17,PL_Saisie_Estime2!$F$18,PL_Saisie_Estime2!$F$19,PL_Saisie_Estime2!$F$16,PL_Saisie_Estime2!$C$14,PL_Saisie_Estime2!$F$15,PL_Saisie_Estime2!$F$14,PL_Saisie_Estime2!$F$20,PL_Saisie_Estime2!Z$2,PL_Saisie_Estime2!Z$1,PL_Saisie_Estime2!$C307),"")</f>
        <v/>
      </c>
      <c r="AA307" s="192" t="str">
        <f ca="1">IF(Flag_Send_Data=1,_xll.DBSW(PL_Saisie_Estime2!AA307,Server&amp;Cube1,PL_Saisie_Estime2!$F$17,PL_Saisie_Estime2!$F$18,PL_Saisie_Estime2!$F$19,PL_Saisie_Estime2!$F$16,PL_Saisie_Estime2!$C$14,PL_Saisie_Estime2!$F$15,PL_Saisie_Estime2!$F$14,PL_Saisie_Estime2!$F$20,PL_Saisie_Estime2!AA$2,PL_Saisie_Estime2!AA$1,PL_Saisie_Estime2!$C307),"")</f>
        <v/>
      </c>
      <c r="AB307" s="192" t="str">
        <f ca="1">IF(Flag_Send_Data=1,_xll.DBSW(PL_Saisie_Estime2!AB307,Server&amp;Cube1,PL_Saisie_Estime2!$F$17,PL_Saisie_Estime2!$F$18,PL_Saisie_Estime2!$F$19,PL_Saisie_Estime2!$F$16,PL_Saisie_Estime2!$C$14,PL_Saisie_Estime2!$F$15,PL_Saisie_Estime2!$F$14,PL_Saisie_Estime2!$F$20,PL_Saisie_Estime2!AB$2,PL_Saisie_Estime2!AB$1,PL_Saisie_Estime2!$C307),"")</f>
        <v/>
      </c>
      <c r="AC307" s="192" t="str">
        <f ca="1">IF(Flag_Send_Data=1,_xll.DBSW(PL_Saisie_Estime2!AC307,Server&amp;Cube1,PL_Saisie_Estime2!$F$17,PL_Saisie_Estime2!$F$18,PL_Saisie_Estime2!$F$19,PL_Saisie_Estime2!$F$16,PL_Saisie_Estime2!$C$14,PL_Saisie_Estime2!$F$15,PL_Saisie_Estime2!$F$14,PL_Saisie_Estime2!$F$20,PL_Saisie_Estime2!AC$2,PL_Saisie_Estime2!AC$1,PL_Saisie_Estime2!$C307),"")</f>
        <v/>
      </c>
      <c r="AD307" s="192" t="str">
        <f ca="1">IF(Flag_Send_Data=1,_xll.DBSW(PL_Saisie_Estime2!AD307,Server&amp;Cube1,PL_Saisie_Estime2!$F$17,PL_Saisie_Estime2!$F$18,PL_Saisie_Estime2!$F$19,PL_Saisie_Estime2!$F$16,PL_Saisie_Estime2!$C$14,PL_Saisie_Estime2!$F$15,PL_Saisie_Estime2!$F$14,PL_Saisie_Estime2!$F$20,PL_Saisie_Estime2!AD$2,PL_Saisie_Estime2!AD$1,PL_Saisie_Estime2!$C307),"")</f>
        <v/>
      </c>
      <c r="AE307" s="192" t="str">
        <f ca="1">IF(Flag_Send_Data=1,_xll.DBSW(PL_Saisie_Estime2!AE307,Server&amp;Cube1,PL_Saisie_Estime2!$F$17,PL_Saisie_Estime2!$F$18,PL_Saisie_Estime2!$F$19,PL_Saisie_Estime2!$F$16,PL_Saisie_Estime2!$C$14,PL_Saisie_Estime2!$F$15,PL_Saisie_Estime2!$F$14,PL_Saisie_Estime2!$F$20,PL_Saisie_Estime2!AE$2,PL_Saisie_Estime2!AE$1,PL_Saisie_Estime2!$C307),"")</f>
        <v/>
      </c>
      <c r="AF307" s="204"/>
      <c r="AG307" s="53"/>
      <c r="AH307" s="53"/>
      <c r="AI307" s="53"/>
      <c r="AJ307" s="53"/>
      <c r="AK307" s="53"/>
      <c r="AL307" s="53"/>
      <c r="AM307" s="53"/>
      <c r="AN307" s="53"/>
      <c r="AO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:53" s="9" customFormat="1" ht="24" customHeight="1" x14ac:dyDescent="0.35">
      <c r="A308" s="181"/>
      <c r="B308" s="163"/>
      <c r="C308" s="158"/>
      <c r="E308" s="268"/>
      <c r="F308" s="268"/>
      <c r="G308" s="268"/>
      <c r="H308" s="40"/>
      <c r="I308" s="130"/>
      <c r="J308" s="130"/>
      <c r="K308" s="130"/>
      <c r="L308" s="130"/>
      <c r="M308" s="130"/>
      <c r="N308" s="126"/>
      <c r="O308" s="204"/>
      <c r="P308" s="126"/>
      <c r="Q308" s="124"/>
      <c r="R308" s="192"/>
      <c r="S308" s="126"/>
      <c r="T308" s="200"/>
      <c r="U308" s="200"/>
      <c r="V308" s="200"/>
      <c r="W308" s="200"/>
      <c r="X308" s="200"/>
      <c r="Y308" s="200"/>
      <c r="Z308" s="192" t="str">
        <f ca="1">IF(Flag_Send_Data=1,_xll.DBSW(PL_Saisie_Estime2!Z308,Server&amp;Cube1,PL_Saisie_Estime2!$F$17,PL_Saisie_Estime2!$F$18,PL_Saisie_Estime2!$F$19,PL_Saisie_Estime2!$F$16,PL_Saisie_Estime2!$C$14,PL_Saisie_Estime2!$F$15,PL_Saisie_Estime2!$F$14,PL_Saisie_Estime2!$F$20,PL_Saisie_Estime2!Z$2,PL_Saisie_Estime2!Z$1,PL_Saisie_Estime2!$C308),"")</f>
        <v/>
      </c>
      <c r="AA308" s="192" t="str">
        <f ca="1">IF(Flag_Send_Data=1,_xll.DBSW(PL_Saisie_Estime2!AA308,Server&amp;Cube1,PL_Saisie_Estime2!$F$17,PL_Saisie_Estime2!$F$18,PL_Saisie_Estime2!$F$19,PL_Saisie_Estime2!$F$16,PL_Saisie_Estime2!$C$14,PL_Saisie_Estime2!$F$15,PL_Saisie_Estime2!$F$14,PL_Saisie_Estime2!$F$20,PL_Saisie_Estime2!AA$2,PL_Saisie_Estime2!AA$1,PL_Saisie_Estime2!$C308),"")</f>
        <v/>
      </c>
      <c r="AB308" s="192" t="str">
        <f ca="1">IF(Flag_Send_Data=1,_xll.DBSW(PL_Saisie_Estime2!AB308,Server&amp;Cube1,PL_Saisie_Estime2!$F$17,PL_Saisie_Estime2!$F$18,PL_Saisie_Estime2!$F$19,PL_Saisie_Estime2!$F$16,PL_Saisie_Estime2!$C$14,PL_Saisie_Estime2!$F$15,PL_Saisie_Estime2!$F$14,PL_Saisie_Estime2!$F$20,PL_Saisie_Estime2!AB$2,PL_Saisie_Estime2!AB$1,PL_Saisie_Estime2!$C308),"")</f>
        <v/>
      </c>
      <c r="AC308" s="192" t="str">
        <f ca="1">IF(Flag_Send_Data=1,_xll.DBSW(PL_Saisie_Estime2!AC308,Server&amp;Cube1,PL_Saisie_Estime2!$F$17,PL_Saisie_Estime2!$F$18,PL_Saisie_Estime2!$F$19,PL_Saisie_Estime2!$F$16,PL_Saisie_Estime2!$C$14,PL_Saisie_Estime2!$F$15,PL_Saisie_Estime2!$F$14,PL_Saisie_Estime2!$F$20,PL_Saisie_Estime2!AC$2,PL_Saisie_Estime2!AC$1,PL_Saisie_Estime2!$C308),"")</f>
        <v/>
      </c>
      <c r="AD308" s="192" t="str">
        <f ca="1">IF(Flag_Send_Data=1,_xll.DBSW(PL_Saisie_Estime2!AD308,Server&amp;Cube1,PL_Saisie_Estime2!$F$17,PL_Saisie_Estime2!$F$18,PL_Saisie_Estime2!$F$19,PL_Saisie_Estime2!$F$16,PL_Saisie_Estime2!$C$14,PL_Saisie_Estime2!$F$15,PL_Saisie_Estime2!$F$14,PL_Saisie_Estime2!$F$20,PL_Saisie_Estime2!AD$2,PL_Saisie_Estime2!AD$1,PL_Saisie_Estime2!$C308),"")</f>
        <v/>
      </c>
      <c r="AE308" s="192" t="str">
        <f ca="1">IF(Flag_Send_Data=1,_xll.DBSW(PL_Saisie_Estime2!AE308,Server&amp;Cube1,PL_Saisie_Estime2!$F$17,PL_Saisie_Estime2!$F$18,PL_Saisie_Estime2!$F$19,PL_Saisie_Estime2!$F$16,PL_Saisie_Estime2!$C$14,PL_Saisie_Estime2!$F$15,PL_Saisie_Estime2!$F$14,PL_Saisie_Estime2!$F$20,PL_Saisie_Estime2!AE$2,PL_Saisie_Estime2!AE$1,PL_Saisie_Estime2!$C308),"")</f>
        <v/>
      </c>
      <c r="AF308" s="204"/>
      <c r="AG308" s="53"/>
      <c r="AH308" s="53"/>
      <c r="AI308" s="53"/>
      <c r="AJ308" s="53"/>
      <c r="AK308" s="53"/>
      <c r="AL308" s="53"/>
      <c r="AM308" s="53"/>
      <c r="AN308" s="53"/>
      <c r="AO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:53" s="9" customFormat="1" ht="24" customHeight="1" x14ac:dyDescent="0.35">
      <c r="A309" s="181"/>
      <c r="B309" s="163"/>
      <c r="C309" s="158"/>
      <c r="E309" s="268"/>
      <c r="F309" s="268"/>
      <c r="G309" s="268"/>
      <c r="H309" s="40"/>
      <c r="I309" s="130"/>
      <c r="J309" s="130"/>
      <c r="K309" s="130"/>
      <c r="L309" s="130"/>
      <c r="M309" s="130"/>
      <c r="N309" s="126"/>
      <c r="O309" s="204"/>
      <c r="P309" s="126"/>
      <c r="Q309" s="124"/>
      <c r="R309" s="192"/>
      <c r="S309" s="126"/>
      <c r="T309" s="200"/>
      <c r="U309" s="200"/>
      <c r="V309" s="200"/>
      <c r="W309" s="200"/>
      <c r="X309" s="200"/>
      <c r="Y309" s="200"/>
      <c r="Z309" s="192" t="str">
        <f ca="1">IF(Flag_Send_Data=1,_xll.DBSW(PL_Saisie_Estime2!Z309,Server&amp;Cube1,PL_Saisie_Estime2!$F$17,PL_Saisie_Estime2!$F$18,PL_Saisie_Estime2!$F$19,PL_Saisie_Estime2!$F$16,PL_Saisie_Estime2!$C$14,PL_Saisie_Estime2!$F$15,PL_Saisie_Estime2!$F$14,PL_Saisie_Estime2!$F$20,PL_Saisie_Estime2!Z$2,PL_Saisie_Estime2!Z$1,PL_Saisie_Estime2!$C309),"")</f>
        <v/>
      </c>
      <c r="AA309" s="192" t="str">
        <f ca="1">IF(Flag_Send_Data=1,_xll.DBSW(PL_Saisie_Estime2!AA309,Server&amp;Cube1,PL_Saisie_Estime2!$F$17,PL_Saisie_Estime2!$F$18,PL_Saisie_Estime2!$F$19,PL_Saisie_Estime2!$F$16,PL_Saisie_Estime2!$C$14,PL_Saisie_Estime2!$F$15,PL_Saisie_Estime2!$F$14,PL_Saisie_Estime2!$F$20,PL_Saisie_Estime2!AA$2,PL_Saisie_Estime2!AA$1,PL_Saisie_Estime2!$C309),"")</f>
        <v/>
      </c>
      <c r="AB309" s="192" t="str">
        <f ca="1">IF(Flag_Send_Data=1,_xll.DBSW(PL_Saisie_Estime2!AB309,Server&amp;Cube1,PL_Saisie_Estime2!$F$17,PL_Saisie_Estime2!$F$18,PL_Saisie_Estime2!$F$19,PL_Saisie_Estime2!$F$16,PL_Saisie_Estime2!$C$14,PL_Saisie_Estime2!$F$15,PL_Saisie_Estime2!$F$14,PL_Saisie_Estime2!$F$20,PL_Saisie_Estime2!AB$2,PL_Saisie_Estime2!AB$1,PL_Saisie_Estime2!$C309),"")</f>
        <v/>
      </c>
      <c r="AC309" s="192" t="str">
        <f ca="1">IF(Flag_Send_Data=1,_xll.DBSW(PL_Saisie_Estime2!AC309,Server&amp;Cube1,PL_Saisie_Estime2!$F$17,PL_Saisie_Estime2!$F$18,PL_Saisie_Estime2!$F$19,PL_Saisie_Estime2!$F$16,PL_Saisie_Estime2!$C$14,PL_Saisie_Estime2!$F$15,PL_Saisie_Estime2!$F$14,PL_Saisie_Estime2!$F$20,PL_Saisie_Estime2!AC$2,PL_Saisie_Estime2!AC$1,PL_Saisie_Estime2!$C309),"")</f>
        <v/>
      </c>
      <c r="AD309" s="192" t="str">
        <f ca="1">IF(Flag_Send_Data=1,_xll.DBSW(PL_Saisie_Estime2!AD309,Server&amp;Cube1,PL_Saisie_Estime2!$F$17,PL_Saisie_Estime2!$F$18,PL_Saisie_Estime2!$F$19,PL_Saisie_Estime2!$F$16,PL_Saisie_Estime2!$C$14,PL_Saisie_Estime2!$F$15,PL_Saisie_Estime2!$F$14,PL_Saisie_Estime2!$F$20,PL_Saisie_Estime2!AD$2,PL_Saisie_Estime2!AD$1,PL_Saisie_Estime2!$C309),"")</f>
        <v/>
      </c>
      <c r="AE309" s="192" t="str">
        <f ca="1">IF(Flag_Send_Data=1,_xll.DBSW(PL_Saisie_Estime2!AE309,Server&amp;Cube1,PL_Saisie_Estime2!$F$17,PL_Saisie_Estime2!$F$18,PL_Saisie_Estime2!$F$19,PL_Saisie_Estime2!$F$16,PL_Saisie_Estime2!$C$14,PL_Saisie_Estime2!$F$15,PL_Saisie_Estime2!$F$14,PL_Saisie_Estime2!$F$20,PL_Saisie_Estime2!AE$2,PL_Saisie_Estime2!AE$1,PL_Saisie_Estime2!$C309),"")</f>
        <v/>
      </c>
      <c r="AF309" s="204"/>
      <c r="AG309" s="53"/>
      <c r="AH309" s="53"/>
      <c r="AI309" s="53"/>
      <c r="AJ309" s="53"/>
      <c r="AK309" s="53"/>
      <c r="AL309" s="53"/>
      <c r="AM309" s="53"/>
      <c r="AN309" s="53"/>
      <c r="AO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:53" s="9" customFormat="1" ht="24" customHeight="1" x14ac:dyDescent="0.35">
      <c r="A310" s="181"/>
      <c r="B310" s="163"/>
      <c r="C310" s="117"/>
      <c r="E310" s="270"/>
      <c r="F310" s="270"/>
      <c r="G310" s="270"/>
      <c r="H310" s="40"/>
      <c r="I310" s="130"/>
      <c r="J310" s="130"/>
      <c r="K310" s="130"/>
      <c r="L310" s="130"/>
      <c r="M310" s="130"/>
      <c r="N310" s="125"/>
      <c r="O310" s="125"/>
      <c r="P310" s="125"/>
      <c r="Q310" s="124"/>
      <c r="R310" s="125"/>
      <c r="S310" s="125"/>
      <c r="T310" s="201"/>
      <c r="U310" s="201"/>
      <c r="V310" s="201"/>
      <c r="W310" s="201"/>
      <c r="X310" s="125"/>
      <c r="Y310" s="125"/>
      <c r="Z310" s="125"/>
      <c r="AA310" s="125"/>
      <c r="AB310" s="125"/>
      <c r="AC310" s="125"/>
      <c r="AD310" s="125"/>
      <c r="AE310" s="125"/>
      <c r="AF310" s="125"/>
      <c r="AG310" s="53"/>
      <c r="AH310" s="53"/>
      <c r="AI310" s="53"/>
      <c r="AJ310" s="53"/>
      <c r="AK310" s="53"/>
      <c r="AL310" s="53"/>
      <c r="AM310" s="53"/>
      <c r="AN310" s="53"/>
      <c r="AO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:53" s="9" customFormat="1" ht="24" customHeight="1" x14ac:dyDescent="0.35">
      <c r="A311" s="181"/>
      <c r="B311" s="163"/>
      <c r="C311" s="158"/>
      <c r="E311" s="268"/>
      <c r="F311" s="268"/>
      <c r="G311" s="268"/>
      <c r="H311" s="40"/>
      <c r="I311" s="130"/>
      <c r="J311" s="130"/>
      <c r="K311" s="130"/>
      <c r="L311" s="130"/>
      <c r="M311" s="130"/>
      <c r="N311" s="126"/>
      <c r="O311" s="204"/>
      <c r="P311" s="126"/>
      <c r="Q311" s="124"/>
      <c r="R311" s="192"/>
      <c r="S311" s="126"/>
      <c r="T311" s="200"/>
      <c r="U311" s="200"/>
      <c r="V311" s="200"/>
      <c r="W311" s="200"/>
      <c r="X311" s="200"/>
      <c r="Y311" s="200"/>
      <c r="Z311" s="192" t="str">
        <f ca="1">IF(Flag_Send_Data=1,_xll.DBSW(PL_Saisie_Estime2!Z311,Server&amp;Cube1,PL_Saisie_Estime2!$F$17,PL_Saisie_Estime2!$F$18,PL_Saisie_Estime2!$F$19,PL_Saisie_Estime2!$F$16,PL_Saisie_Estime2!$C$14,PL_Saisie_Estime2!$F$15,PL_Saisie_Estime2!$F$14,PL_Saisie_Estime2!$F$20,PL_Saisie_Estime2!Z$2,PL_Saisie_Estime2!Z$1,PL_Saisie_Estime2!$C311),"")</f>
        <v/>
      </c>
      <c r="AA311" s="192" t="str">
        <f ca="1">IF(Flag_Send_Data=1,_xll.DBSW(PL_Saisie_Estime2!AA311,Server&amp;Cube1,PL_Saisie_Estime2!$F$17,PL_Saisie_Estime2!$F$18,PL_Saisie_Estime2!$F$19,PL_Saisie_Estime2!$F$16,PL_Saisie_Estime2!$C$14,PL_Saisie_Estime2!$F$15,PL_Saisie_Estime2!$F$14,PL_Saisie_Estime2!$F$20,PL_Saisie_Estime2!AA$2,PL_Saisie_Estime2!AA$1,PL_Saisie_Estime2!$C311),"")</f>
        <v/>
      </c>
      <c r="AB311" s="192" t="str">
        <f ca="1">IF(Flag_Send_Data=1,_xll.DBSW(PL_Saisie_Estime2!AB311,Server&amp;Cube1,PL_Saisie_Estime2!$F$17,PL_Saisie_Estime2!$F$18,PL_Saisie_Estime2!$F$19,PL_Saisie_Estime2!$F$16,PL_Saisie_Estime2!$C$14,PL_Saisie_Estime2!$F$15,PL_Saisie_Estime2!$F$14,PL_Saisie_Estime2!$F$20,PL_Saisie_Estime2!AB$2,PL_Saisie_Estime2!AB$1,PL_Saisie_Estime2!$C311),"")</f>
        <v/>
      </c>
      <c r="AC311" s="192" t="str">
        <f ca="1">IF(Flag_Send_Data=1,_xll.DBSW(PL_Saisie_Estime2!AC311,Server&amp;Cube1,PL_Saisie_Estime2!$F$17,PL_Saisie_Estime2!$F$18,PL_Saisie_Estime2!$F$19,PL_Saisie_Estime2!$F$16,PL_Saisie_Estime2!$C$14,PL_Saisie_Estime2!$F$15,PL_Saisie_Estime2!$F$14,PL_Saisie_Estime2!$F$20,PL_Saisie_Estime2!AC$2,PL_Saisie_Estime2!AC$1,PL_Saisie_Estime2!$C311),"")</f>
        <v/>
      </c>
      <c r="AD311" s="192" t="str">
        <f ca="1">IF(Flag_Send_Data=1,_xll.DBSW(PL_Saisie_Estime2!AD311,Server&amp;Cube1,PL_Saisie_Estime2!$F$17,PL_Saisie_Estime2!$F$18,PL_Saisie_Estime2!$F$19,PL_Saisie_Estime2!$F$16,PL_Saisie_Estime2!$C$14,PL_Saisie_Estime2!$F$15,PL_Saisie_Estime2!$F$14,PL_Saisie_Estime2!$F$20,PL_Saisie_Estime2!AD$2,PL_Saisie_Estime2!AD$1,PL_Saisie_Estime2!$C311),"")</f>
        <v/>
      </c>
      <c r="AE311" s="192" t="str">
        <f ca="1">IF(Flag_Send_Data=1,_xll.DBSW(PL_Saisie_Estime2!AE311,Server&amp;Cube1,PL_Saisie_Estime2!$F$17,PL_Saisie_Estime2!$F$18,PL_Saisie_Estime2!$F$19,PL_Saisie_Estime2!$F$16,PL_Saisie_Estime2!$C$14,PL_Saisie_Estime2!$F$15,PL_Saisie_Estime2!$F$14,PL_Saisie_Estime2!$F$20,PL_Saisie_Estime2!AE$2,PL_Saisie_Estime2!AE$1,PL_Saisie_Estime2!$C311),"")</f>
        <v/>
      </c>
      <c r="AF311" s="204"/>
      <c r="AG311" s="53"/>
      <c r="AH311" s="53"/>
      <c r="AI311" s="53"/>
      <c r="AJ311" s="53"/>
      <c r="AK311" s="53"/>
      <c r="AL311" s="53"/>
      <c r="AM311" s="53"/>
      <c r="AN311" s="53"/>
      <c r="AO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:53" s="9" customFormat="1" ht="24" customHeight="1" x14ac:dyDescent="0.35">
      <c r="A312" s="181"/>
      <c r="B312" s="163"/>
      <c r="C312" s="158"/>
      <c r="E312" s="268"/>
      <c r="F312" s="268"/>
      <c r="G312" s="268"/>
      <c r="H312" s="40"/>
      <c r="I312" s="130"/>
      <c r="J312" s="130"/>
      <c r="K312" s="130"/>
      <c r="L312" s="130"/>
      <c r="M312" s="130"/>
      <c r="N312" s="126"/>
      <c r="O312" s="204"/>
      <c r="P312" s="126"/>
      <c r="Q312" s="124"/>
      <c r="R312" s="192"/>
      <c r="S312" s="126"/>
      <c r="T312" s="200"/>
      <c r="U312" s="200"/>
      <c r="V312" s="200"/>
      <c r="W312" s="200"/>
      <c r="X312" s="200"/>
      <c r="Y312" s="200"/>
      <c r="Z312" s="192" t="str">
        <f ca="1">IF(Flag_Send_Data=1,_xll.DBSW(PL_Saisie_Estime2!Z312,Server&amp;Cube1,PL_Saisie_Estime2!$F$17,PL_Saisie_Estime2!$F$18,PL_Saisie_Estime2!$F$19,PL_Saisie_Estime2!$F$16,PL_Saisie_Estime2!$C$14,PL_Saisie_Estime2!$F$15,PL_Saisie_Estime2!$F$14,PL_Saisie_Estime2!$F$20,PL_Saisie_Estime2!Z$2,PL_Saisie_Estime2!Z$1,PL_Saisie_Estime2!$C312),"")</f>
        <v/>
      </c>
      <c r="AA312" s="192" t="str">
        <f ca="1">IF(Flag_Send_Data=1,_xll.DBSW(PL_Saisie_Estime2!AA312,Server&amp;Cube1,PL_Saisie_Estime2!$F$17,PL_Saisie_Estime2!$F$18,PL_Saisie_Estime2!$F$19,PL_Saisie_Estime2!$F$16,PL_Saisie_Estime2!$C$14,PL_Saisie_Estime2!$F$15,PL_Saisie_Estime2!$F$14,PL_Saisie_Estime2!$F$20,PL_Saisie_Estime2!AA$2,PL_Saisie_Estime2!AA$1,PL_Saisie_Estime2!$C312),"")</f>
        <v/>
      </c>
      <c r="AB312" s="192" t="str">
        <f ca="1">IF(Flag_Send_Data=1,_xll.DBSW(PL_Saisie_Estime2!AB312,Server&amp;Cube1,PL_Saisie_Estime2!$F$17,PL_Saisie_Estime2!$F$18,PL_Saisie_Estime2!$F$19,PL_Saisie_Estime2!$F$16,PL_Saisie_Estime2!$C$14,PL_Saisie_Estime2!$F$15,PL_Saisie_Estime2!$F$14,PL_Saisie_Estime2!$F$20,PL_Saisie_Estime2!AB$2,PL_Saisie_Estime2!AB$1,PL_Saisie_Estime2!$C312),"")</f>
        <v/>
      </c>
      <c r="AC312" s="192" t="str">
        <f ca="1">IF(Flag_Send_Data=1,_xll.DBSW(PL_Saisie_Estime2!AC312,Server&amp;Cube1,PL_Saisie_Estime2!$F$17,PL_Saisie_Estime2!$F$18,PL_Saisie_Estime2!$F$19,PL_Saisie_Estime2!$F$16,PL_Saisie_Estime2!$C$14,PL_Saisie_Estime2!$F$15,PL_Saisie_Estime2!$F$14,PL_Saisie_Estime2!$F$20,PL_Saisie_Estime2!AC$2,PL_Saisie_Estime2!AC$1,PL_Saisie_Estime2!$C312),"")</f>
        <v/>
      </c>
      <c r="AD312" s="192" t="str">
        <f ca="1">IF(Flag_Send_Data=1,_xll.DBSW(PL_Saisie_Estime2!AD312,Server&amp;Cube1,PL_Saisie_Estime2!$F$17,PL_Saisie_Estime2!$F$18,PL_Saisie_Estime2!$F$19,PL_Saisie_Estime2!$F$16,PL_Saisie_Estime2!$C$14,PL_Saisie_Estime2!$F$15,PL_Saisie_Estime2!$F$14,PL_Saisie_Estime2!$F$20,PL_Saisie_Estime2!AD$2,PL_Saisie_Estime2!AD$1,PL_Saisie_Estime2!$C312),"")</f>
        <v/>
      </c>
      <c r="AE312" s="192" t="str">
        <f ca="1">IF(Flag_Send_Data=1,_xll.DBSW(PL_Saisie_Estime2!AE312,Server&amp;Cube1,PL_Saisie_Estime2!$F$17,PL_Saisie_Estime2!$F$18,PL_Saisie_Estime2!$F$19,PL_Saisie_Estime2!$F$16,PL_Saisie_Estime2!$C$14,PL_Saisie_Estime2!$F$15,PL_Saisie_Estime2!$F$14,PL_Saisie_Estime2!$F$20,PL_Saisie_Estime2!AE$2,PL_Saisie_Estime2!AE$1,PL_Saisie_Estime2!$C312),"")</f>
        <v/>
      </c>
      <c r="AF312" s="204"/>
      <c r="AG312" s="53"/>
      <c r="AH312" s="53"/>
      <c r="AI312" s="53"/>
      <c r="AJ312" s="53"/>
      <c r="AK312" s="53"/>
      <c r="AL312" s="53"/>
      <c r="AM312" s="53"/>
      <c r="AN312" s="53"/>
      <c r="AO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:53" s="9" customFormat="1" ht="24" customHeight="1" x14ac:dyDescent="0.35">
      <c r="A313" s="181"/>
      <c r="B313" s="163"/>
      <c r="C313" s="158"/>
      <c r="E313" s="268"/>
      <c r="F313" s="268"/>
      <c r="G313" s="268"/>
      <c r="H313" s="40"/>
      <c r="I313" s="130"/>
      <c r="J313" s="130"/>
      <c r="K313" s="130"/>
      <c r="L313" s="130"/>
      <c r="M313" s="130"/>
      <c r="N313" s="126"/>
      <c r="O313" s="204"/>
      <c r="P313" s="126"/>
      <c r="Q313" s="124"/>
      <c r="R313" s="192"/>
      <c r="S313" s="126"/>
      <c r="T313" s="200"/>
      <c r="U313" s="200"/>
      <c r="V313" s="200"/>
      <c r="W313" s="200"/>
      <c r="X313" s="200"/>
      <c r="Y313" s="200"/>
      <c r="Z313" s="192" t="str">
        <f ca="1">IF(Flag_Send_Data=1,_xll.DBSW(PL_Saisie_Estime2!Z313,Server&amp;Cube1,PL_Saisie_Estime2!$F$17,PL_Saisie_Estime2!$F$18,PL_Saisie_Estime2!$F$19,PL_Saisie_Estime2!$F$16,PL_Saisie_Estime2!$C$14,PL_Saisie_Estime2!$F$15,PL_Saisie_Estime2!$F$14,PL_Saisie_Estime2!$F$20,PL_Saisie_Estime2!Z$2,PL_Saisie_Estime2!Z$1,PL_Saisie_Estime2!$C313),"")</f>
        <v/>
      </c>
      <c r="AA313" s="192" t="str">
        <f ca="1">IF(Flag_Send_Data=1,_xll.DBSW(PL_Saisie_Estime2!AA313,Server&amp;Cube1,PL_Saisie_Estime2!$F$17,PL_Saisie_Estime2!$F$18,PL_Saisie_Estime2!$F$19,PL_Saisie_Estime2!$F$16,PL_Saisie_Estime2!$C$14,PL_Saisie_Estime2!$F$15,PL_Saisie_Estime2!$F$14,PL_Saisie_Estime2!$F$20,PL_Saisie_Estime2!AA$2,PL_Saisie_Estime2!AA$1,PL_Saisie_Estime2!$C313),"")</f>
        <v/>
      </c>
      <c r="AB313" s="192" t="str">
        <f ca="1">IF(Flag_Send_Data=1,_xll.DBSW(PL_Saisie_Estime2!AB313,Server&amp;Cube1,PL_Saisie_Estime2!$F$17,PL_Saisie_Estime2!$F$18,PL_Saisie_Estime2!$F$19,PL_Saisie_Estime2!$F$16,PL_Saisie_Estime2!$C$14,PL_Saisie_Estime2!$F$15,PL_Saisie_Estime2!$F$14,PL_Saisie_Estime2!$F$20,PL_Saisie_Estime2!AB$2,PL_Saisie_Estime2!AB$1,PL_Saisie_Estime2!$C313),"")</f>
        <v/>
      </c>
      <c r="AC313" s="192" t="str">
        <f ca="1">IF(Flag_Send_Data=1,_xll.DBSW(PL_Saisie_Estime2!AC313,Server&amp;Cube1,PL_Saisie_Estime2!$F$17,PL_Saisie_Estime2!$F$18,PL_Saisie_Estime2!$F$19,PL_Saisie_Estime2!$F$16,PL_Saisie_Estime2!$C$14,PL_Saisie_Estime2!$F$15,PL_Saisie_Estime2!$F$14,PL_Saisie_Estime2!$F$20,PL_Saisie_Estime2!AC$2,PL_Saisie_Estime2!AC$1,PL_Saisie_Estime2!$C313),"")</f>
        <v/>
      </c>
      <c r="AD313" s="192" t="str">
        <f ca="1">IF(Flag_Send_Data=1,_xll.DBSW(PL_Saisie_Estime2!AD313,Server&amp;Cube1,PL_Saisie_Estime2!$F$17,PL_Saisie_Estime2!$F$18,PL_Saisie_Estime2!$F$19,PL_Saisie_Estime2!$F$16,PL_Saisie_Estime2!$C$14,PL_Saisie_Estime2!$F$15,PL_Saisie_Estime2!$F$14,PL_Saisie_Estime2!$F$20,PL_Saisie_Estime2!AD$2,PL_Saisie_Estime2!AD$1,PL_Saisie_Estime2!$C313),"")</f>
        <v/>
      </c>
      <c r="AE313" s="192" t="str">
        <f ca="1">IF(Flag_Send_Data=1,_xll.DBSW(PL_Saisie_Estime2!AE313,Server&amp;Cube1,PL_Saisie_Estime2!$F$17,PL_Saisie_Estime2!$F$18,PL_Saisie_Estime2!$F$19,PL_Saisie_Estime2!$F$16,PL_Saisie_Estime2!$C$14,PL_Saisie_Estime2!$F$15,PL_Saisie_Estime2!$F$14,PL_Saisie_Estime2!$F$20,PL_Saisie_Estime2!AE$2,PL_Saisie_Estime2!AE$1,PL_Saisie_Estime2!$C313),"")</f>
        <v/>
      </c>
      <c r="AF313" s="204"/>
      <c r="AG313" s="53"/>
      <c r="AH313" s="53"/>
      <c r="AI313" s="53"/>
      <c r="AJ313" s="53"/>
      <c r="AK313" s="53"/>
      <c r="AL313" s="53"/>
      <c r="AM313" s="53"/>
      <c r="AN313" s="53"/>
      <c r="AO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:53" s="9" customFormat="1" ht="24" customHeight="1" x14ac:dyDescent="0.35">
      <c r="A314" s="181"/>
      <c r="B314" s="163"/>
      <c r="C314" s="158"/>
      <c r="E314" s="268"/>
      <c r="F314" s="268"/>
      <c r="G314" s="268"/>
      <c r="H314" s="40"/>
      <c r="I314" s="130"/>
      <c r="J314" s="130"/>
      <c r="K314" s="130"/>
      <c r="L314" s="130"/>
      <c r="M314" s="130"/>
      <c r="N314" s="126"/>
      <c r="O314" s="204"/>
      <c r="P314" s="126"/>
      <c r="Q314" s="124"/>
      <c r="R314" s="192"/>
      <c r="S314" s="126"/>
      <c r="T314" s="200"/>
      <c r="U314" s="200"/>
      <c r="V314" s="200"/>
      <c r="W314" s="200"/>
      <c r="X314" s="200"/>
      <c r="Y314" s="200"/>
      <c r="Z314" s="192" t="str">
        <f ca="1">IF(Flag_Send_Data=1,_xll.DBSW(PL_Saisie_Estime2!Z314,Server&amp;Cube1,PL_Saisie_Estime2!$F$17,PL_Saisie_Estime2!$F$18,PL_Saisie_Estime2!$F$19,PL_Saisie_Estime2!$F$16,PL_Saisie_Estime2!$C$14,PL_Saisie_Estime2!$F$15,PL_Saisie_Estime2!$F$14,PL_Saisie_Estime2!$F$20,PL_Saisie_Estime2!Z$2,PL_Saisie_Estime2!Z$1,PL_Saisie_Estime2!$C314),"")</f>
        <v/>
      </c>
      <c r="AA314" s="192" t="str">
        <f ca="1">IF(Flag_Send_Data=1,_xll.DBSW(PL_Saisie_Estime2!AA314,Server&amp;Cube1,PL_Saisie_Estime2!$F$17,PL_Saisie_Estime2!$F$18,PL_Saisie_Estime2!$F$19,PL_Saisie_Estime2!$F$16,PL_Saisie_Estime2!$C$14,PL_Saisie_Estime2!$F$15,PL_Saisie_Estime2!$F$14,PL_Saisie_Estime2!$F$20,PL_Saisie_Estime2!AA$2,PL_Saisie_Estime2!AA$1,PL_Saisie_Estime2!$C314),"")</f>
        <v/>
      </c>
      <c r="AB314" s="192" t="str">
        <f ca="1">IF(Flag_Send_Data=1,_xll.DBSW(PL_Saisie_Estime2!AB314,Server&amp;Cube1,PL_Saisie_Estime2!$F$17,PL_Saisie_Estime2!$F$18,PL_Saisie_Estime2!$F$19,PL_Saisie_Estime2!$F$16,PL_Saisie_Estime2!$C$14,PL_Saisie_Estime2!$F$15,PL_Saisie_Estime2!$F$14,PL_Saisie_Estime2!$F$20,PL_Saisie_Estime2!AB$2,PL_Saisie_Estime2!AB$1,PL_Saisie_Estime2!$C314),"")</f>
        <v/>
      </c>
      <c r="AC314" s="192" t="str">
        <f ca="1">IF(Flag_Send_Data=1,_xll.DBSW(PL_Saisie_Estime2!AC314,Server&amp;Cube1,PL_Saisie_Estime2!$F$17,PL_Saisie_Estime2!$F$18,PL_Saisie_Estime2!$F$19,PL_Saisie_Estime2!$F$16,PL_Saisie_Estime2!$C$14,PL_Saisie_Estime2!$F$15,PL_Saisie_Estime2!$F$14,PL_Saisie_Estime2!$F$20,PL_Saisie_Estime2!AC$2,PL_Saisie_Estime2!AC$1,PL_Saisie_Estime2!$C314),"")</f>
        <v/>
      </c>
      <c r="AD314" s="192" t="str">
        <f ca="1">IF(Flag_Send_Data=1,_xll.DBSW(PL_Saisie_Estime2!AD314,Server&amp;Cube1,PL_Saisie_Estime2!$F$17,PL_Saisie_Estime2!$F$18,PL_Saisie_Estime2!$F$19,PL_Saisie_Estime2!$F$16,PL_Saisie_Estime2!$C$14,PL_Saisie_Estime2!$F$15,PL_Saisie_Estime2!$F$14,PL_Saisie_Estime2!$F$20,PL_Saisie_Estime2!AD$2,PL_Saisie_Estime2!AD$1,PL_Saisie_Estime2!$C314),"")</f>
        <v/>
      </c>
      <c r="AE314" s="192" t="str">
        <f ca="1">IF(Flag_Send_Data=1,_xll.DBSW(PL_Saisie_Estime2!AE314,Server&amp;Cube1,PL_Saisie_Estime2!$F$17,PL_Saisie_Estime2!$F$18,PL_Saisie_Estime2!$F$19,PL_Saisie_Estime2!$F$16,PL_Saisie_Estime2!$C$14,PL_Saisie_Estime2!$F$15,PL_Saisie_Estime2!$F$14,PL_Saisie_Estime2!$F$20,PL_Saisie_Estime2!AE$2,PL_Saisie_Estime2!AE$1,PL_Saisie_Estime2!$C314),"")</f>
        <v/>
      </c>
      <c r="AF314" s="204"/>
      <c r="AG314" s="53"/>
      <c r="AH314" s="53"/>
      <c r="AI314" s="53"/>
      <c r="AJ314" s="53"/>
      <c r="AK314" s="53"/>
      <c r="AL314" s="53"/>
      <c r="AM314" s="53"/>
      <c r="AN314" s="53"/>
      <c r="AO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:53" s="9" customFormat="1" ht="24" customHeight="1" x14ac:dyDescent="0.35">
      <c r="A315" s="181"/>
      <c r="B315" s="163"/>
      <c r="C315" s="158"/>
      <c r="E315" s="268"/>
      <c r="F315" s="268"/>
      <c r="G315" s="268"/>
      <c r="H315" s="40"/>
      <c r="I315" s="130"/>
      <c r="J315" s="130"/>
      <c r="K315" s="130"/>
      <c r="L315" s="130"/>
      <c r="M315" s="130"/>
      <c r="N315" s="126"/>
      <c r="O315" s="204"/>
      <c r="P315" s="126"/>
      <c r="Q315" s="124"/>
      <c r="R315" s="192"/>
      <c r="S315" s="126"/>
      <c r="T315" s="200"/>
      <c r="U315" s="200"/>
      <c r="V315" s="200"/>
      <c r="W315" s="200"/>
      <c r="X315" s="200"/>
      <c r="Y315" s="200"/>
      <c r="Z315" s="192" t="str">
        <f ca="1">IF(Flag_Send_Data=1,_xll.DBSW(PL_Saisie_Estime2!Z315,Server&amp;Cube1,PL_Saisie_Estime2!$F$17,PL_Saisie_Estime2!$F$18,PL_Saisie_Estime2!$F$19,PL_Saisie_Estime2!$F$16,PL_Saisie_Estime2!$C$14,PL_Saisie_Estime2!$F$15,PL_Saisie_Estime2!$F$14,PL_Saisie_Estime2!$F$20,PL_Saisie_Estime2!Z$2,PL_Saisie_Estime2!Z$1,PL_Saisie_Estime2!$C315),"")</f>
        <v/>
      </c>
      <c r="AA315" s="192" t="str">
        <f ca="1">IF(Flag_Send_Data=1,_xll.DBSW(PL_Saisie_Estime2!AA315,Server&amp;Cube1,PL_Saisie_Estime2!$F$17,PL_Saisie_Estime2!$F$18,PL_Saisie_Estime2!$F$19,PL_Saisie_Estime2!$F$16,PL_Saisie_Estime2!$C$14,PL_Saisie_Estime2!$F$15,PL_Saisie_Estime2!$F$14,PL_Saisie_Estime2!$F$20,PL_Saisie_Estime2!AA$2,PL_Saisie_Estime2!AA$1,PL_Saisie_Estime2!$C315),"")</f>
        <v/>
      </c>
      <c r="AB315" s="192" t="str">
        <f ca="1">IF(Flag_Send_Data=1,_xll.DBSW(PL_Saisie_Estime2!AB315,Server&amp;Cube1,PL_Saisie_Estime2!$F$17,PL_Saisie_Estime2!$F$18,PL_Saisie_Estime2!$F$19,PL_Saisie_Estime2!$F$16,PL_Saisie_Estime2!$C$14,PL_Saisie_Estime2!$F$15,PL_Saisie_Estime2!$F$14,PL_Saisie_Estime2!$F$20,PL_Saisie_Estime2!AB$2,PL_Saisie_Estime2!AB$1,PL_Saisie_Estime2!$C315),"")</f>
        <v/>
      </c>
      <c r="AC315" s="192" t="str">
        <f ca="1">IF(Flag_Send_Data=1,_xll.DBSW(PL_Saisie_Estime2!AC315,Server&amp;Cube1,PL_Saisie_Estime2!$F$17,PL_Saisie_Estime2!$F$18,PL_Saisie_Estime2!$F$19,PL_Saisie_Estime2!$F$16,PL_Saisie_Estime2!$C$14,PL_Saisie_Estime2!$F$15,PL_Saisie_Estime2!$F$14,PL_Saisie_Estime2!$F$20,PL_Saisie_Estime2!AC$2,PL_Saisie_Estime2!AC$1,PL_Saisie_Estime2!$C315),"")</f>
        <v/>
      </c>
      <c r="AD315" s="192" t="str">
        <f ca="1">IF(Flag_Send_Data=1,_xll.DBSW(PL_Saisie_Estime2!AD315,Server&amp;Cube1,PL_Saisie_Estime2!$F$17,PL_Saisie_Estime2!$F$18,PL_Saisie_Estime2!$F$19,PL_Saisie_Estime2!$F$16,PL_Saisie_Estime2!$C$14,PL_Saisie_Estime2!$F$15,PL_Saisie_Estime2!$F$14,PL_Saisie_Estime2!$F$20,PL_Saisie_Estime2!AD$2,PL_Saisie_Estime2!AD$1,PL_Saisie_Estime2!$C315),"")</f>
        <v/>
      </c>
      <c r="AE315" s="192" t="str">
        <f ca="1">IF(Flag_Send_Data=1,_xll.DBSW(PL_Saisie_Estime2!AE315,Server&amp;Cube1,PL_Saisie_Estime2!$F$17,PL_Saisie_Estime2!$F$18,PL_Saisie_Estime2!$F$19,PL_Saisie_Estime2!$F$16,PL_Saisie_Estime2!$C$14,PL_Saisie_Estime2!$F$15,PL_Saisie_Estime2!$F$14,PL_Saisie_Estime2!$F$20,PL_Saisie_Estime2!AE$2,PL_Saisie_Estime2!AE$1,PL_Saisie_Estime2!$C315),"")</f>
        <v/>
      </c>
      <c r="AF315" s="204"/>
      <c r="AG315" s="53"/>
      <c r="AH315" s="53"/>
      <c r="AI315" s="53"/>
      <c r="AJ315" s="53"/>
      <c r="AK315" s="53"/>
      <c r="AL315" s="53"/>
      <c r="AM315" s="53"/>
      <c r="AN315" s="53"/>
      <c r="AO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:53" s="9" customFormat="1" ht="24" customHeight="1" x14ac:dyDescent="0.35">
      <c r="A316" s="181"/>
      <c r="B316" s="163"/>
      <c r="C316" s="158"/>
      <c r="E316" s="268"/>
      <c r="F316" s="268"/>
      <c r="G316" s="268"/>
      <c r="H316" s="40"/>
      <c r="I316" s="130"/>
      <c r="J316" s="130"/>
      <c r="K316" s="130"/>
      <c r="L316" s="130"/>
      <c r="M316" s="130"/>
      <c r="N316" s="126"/>
      <c r="O316" s="204"/>
      <c r="P316" s="126"/>
      <c r="Q316" s="124"/>
      <c r="R316" s="192"/>
      <c r="S316" s="126"/>
      <c r="T316" s="200"/>
      <c r="U316" s="200"/>
      <c r="V316" s="200"/>
      <c r="W316" s="200"/>
      <c r="X316" s="200"/>
      <c r="Y316" s="200"/>
      <c r="Z316" s="192" t="str">
        <f ca="1">IF(Flag_Send_Data=1,_xll.DBSW(PL_Saisie_Estime2!Z316,Server&amp;Cube1,PL_Saisie_Estime2!$F$17,PL_Saisie_Estime2!$F$18,PL_Saisie_Estime2!$F$19,PL_Saisie_Estime2!$F$16,PL_Saisie_Estime2!$C$14,PL_Saisie_Estime2!$F$15,PL_Saisie_Estime2!$F$14,PL_Saisie_Estime2!$F$20,PL_Saisie_Estime2!Z$2,PL_Saisie_Estime2!Z$1,PL_Saisie_Estime2!$C316),"")</f>
        <v/>
      </c>
      <c r="AA316" s="192" t="str">
        <f ca="1">IF(Flag_Send_Data=1,_xll.DBSW(PL_Saisie_Estime2!AA316,Server&amp;Cube1,PL_Saisie_Estime2!$F$17,PL_Saisie_Estime2!$F$18,PL_Saisie_Estime2!$F$19,PL_Saisie_Estime2!$F$16,PL_Saisie_Estime2!$C$14,PL_Saisie_Estime2!$F$15,PL_Saisie_Estime2!$F$14,PL_Saisie_Estime2!$F$20,PL_Saisie_Estime2!AA$2,PL_Saisie_Estime2!AA$1,PL_Saisie_Estime2!$C316),"")</f>
        <v/>
      </c>
      <c r="AB316" s="192" t="str">
        <f ca="1">IF(Flag_Send_Data=1,_xll.DBSW(PL_Saisie_Estime2!AB316,Server&amp;Cube1,PL_Saisie_Estime2!$F$17,PL_Saisie_Estime2!$F$18,PL_Saisie_Estime2!$F$19,PL_Saisie_Estime2!$F$16,PL_Saisie_Estime2!$C$14,PL_Saisie_Estime2!$F$15,PL_Saisie_Estime2!$F$14,PL_Saisie_Estime2!$F$20,PL_Saisie_Estime2!AB$2,PL_Saisie_Estime2!AB$1,PL_Saisie_Estime2!$C316),"")</f>
        <v/>
      </c>
      <c r="AC316" s="192" t="str">
        <f ca="1">IF(Flag_Send_Data=1,_xll.DBSW(PL_Saisie_Estime2!AC316,Server&amp;Cube1,PL_Saisie_Estime2!$F$17,PL_Saisie_Estime2!$F$18,PL_Saisie_Estime2!$F$19,PL_Saisie_Estime2!$F$16,PL_Saisie_Estime2!$C$14,PL_Saisie_Estime2!$F$15,PL_Saisie_Estime2!$F$14,PL_Saisie_Estime2!$F$20,PL_Saisie_Estime2!AC$2,PL_Saisie_Estime2!AC$1,PL_Saisie_Estime2!$C316),"")</f>
        <v/>
      </c>
      <c r="AD316" s="192" t="str">
        <f ca="1">IF(Flag_Send_Data=1,_xll.DBSW(PL_Saisie_Estime2!AD316,Server&amp;Cube1,PL_Saisie_Estime2!$F$17,PL_Saisie_Estime2!$F$18,PL_Saisie_Estime2!$F$19,PL_Saisie_Estime2!$F$16,PL_Saisie_Estime2!$C$14,PL_Saisie_Estime2!$F$15,PL_Saisie_Estime2!$F$14,PL_Saisie_Estime2!$F$20,PL_Saisie_Estime2!AD$2,PL_Saisie_Estime2!AD$1,PL_Saisie_Estime2!$C316),"")</f>
        <v/>
      </c>
      <c r="AE316" s="192" t="str">
        <f ca="1">IF(Flag_Send_Data=1,_xll.DBSW(PL_Saisie_Estime2!AE316,Server&amp;Cube1,PL_Saisie_Estime2!$F$17,PL_Saisie_Estime2!$F$18,PL_Saisie_Estime2!$F$19,PL_Saisie_Estime2!$F$16,PL_Saisie_Estime2!$C$14,PL_Saisie_Estime2!$F$15,PL_Saisie_Estime2!$F$14,PL_Saisie_Estime2!$F$20,PL_Saisie_Estime2!AE$2,PL_Saisie_Estime2!AE$1,PL_Saisie_Estime2!$C316),"")</f>
        <v/>
      </c>
      <c r="AF316" s="204"/>
      <c r="AG316" s="53"/>
      <c r="AH316" s="53"/>
      <c r="AI316" s="53"/>
      <c r="AJ316" s="53"/>
      <c r="AK316" s="53"/>
      <c r="AL316" s="53"/>
      <c r="AM316" s="53"/>
      <c r="AN316" s="53"/>
      <c r="AO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:53" s="9" customFormat="1" ht="24" customHeight="1" x14ac:dyDescent="0.35">
      <c r="A317" s="181"/>
      <c r="B317" s="163"/>
      <c r="C317" s="158"/>
      <c r="E317" s="268"/>
      <c r="F317" s="268"/>
      <c r="G317" s="268"/>
      <c r="H317" s="40"/>
      <c r="I317" s="130"/>
      <c r="J317" s="130"/>
      <c r="K317" s="130"/>
      <c r="L317" s="130"/>
      <c r="M317" s="130"/>
      <c r="N317" s="126"/>
      <c r="O317" s="204"/>
      <c r="P317" s="126"/>
      <c r="Q317" s="124"/>
      <c r="R317" s="192"/>
      <c r="S317" s="126"/>
      <c r="T317" s="200"/>
      <c r="U317" s="200"/>
      <c r="V317" s="200"/>
      <c r="W317" s="200"/>
      <c r="X317" s="200"/>
      <c r="Y317" s="200"/>
      <c r="Z317" s="192" t="str">
        <f ca="1">IF(Flag_Send_Data=1,_xll.DBSW(PL_Saisie_Estime2!Z317,Server&amp;Cube1,PL_Saisie_Estime2!$F$17,PL_Saisie_Estime2!$F$18,PL_Saisie_Estime2!$F$19,PL_Saisie_Estime2!$F$16,PL_Saisie_Estime2!$C$14,PL_Saisie_Estime2!$F$15,PL_Saisie_Estime2!$F$14,PL_Saisie_Estime2!$F$20,PL_Saisie_Estime2!Z$2,PL_Saisie_Estime2!Z$1,PL_Saisie_Estime2!$C317),"")</f>
        <v/>
      </c>
      <c r="AA317" s="192" t="str">
        <f ca="1">IF(Flag_Send_Data=1,_xll.DBSW(PL_Saisie_Estime2!AA317,Server&amp;Cube1,PL_Saisie_Estime2!$F$17,PL_Saisie_Estime2!$F$18,PL_Saisie_Estime2!$F$19,PL_Saisie_Estime2!$F$16,PL_Saisie_Estime2!$C$14,PL_Saisie_Estime2!$F$15,PL_Saisie_Estime2!$F$14,PL_Saisie_Estime2!$F$20,PL_Saisie_Estime2!AA$2,PL_Saisie_Estime2!AA$1,PL_Saisie_Estime2!$C317),"")</f>
        <v/>
      </c>
      <c r="AB317" s="192" t="str">
        <f ca="1">IF(Flag_Send_Data=1,_xll.DBSW(PL_Saisie_Estime2!AB317,Server&amp;Cube1,PL_Saisie_Estime2!$F$17,PL_Saisie_Estime2!$F$18,PL_Saisie_Estime2!$F$19,PL_Saisie_Estime2!$F$16,PL_Saisie_Estime2!$C$14,PL_Saisie_Estime2!$F$15,PL_Saisie_Estime2!$F$14,PL_Saisie_Estime2!$F$20,PL_Saisie_Estime2!AB$2,PL_Saisie_Estime2!AB$1,PL_Saisie_Estime2!$C317),"")</f>
        <v/>
      </c>
      <c r="AC317" s="192" t="str">
        <f ca="1">IF(Flag_Send_Data=1,_xll.DBSW(PL_Saisie_Estime2!AC317,Server&amp;Cube1,PL_Saisie_Estime2!$F$17,PL_Saisie_Estime2!$F$18,PL_Saisie_Estime2!$F$19,PL_Saisie_Estime2!$F$16,PL_Saisie_Estime2!$C$14,PL_Saisie_Estime2!$F$15,PL_Saisie_Estime2!$F$14,PL_Saisie_Estime2!$F$20,PL_Saisie_Estime2!AC$2,PL_Saisie_Estime2!AC$1,PL_Saisie_Estime2!$C317),"")</f>
        <v/>
      </c>
      <c r="AD317" s="192" t="str">
        <f ca="1">IF(Flag_Send_Data=1,_xll.DBSW(PL_Saisie_Estime2!AD317,Server&amp;Cube1,PL_Saisie_Estime2!$F$17,PL_Saisie_Estime2!$F$18,PL_Saisie_Estime2!$F$19,PL_Saisie_Estime2!$F$16,PL_Saisie_Estime2!$C$14,PL_Saisie_Estime2!$F$15,PL_Saisie_Estime2!$F$14,PL_Saisie_Estime2!$F$20,PL_Saisie_Estime2!AD$2,PL_Saisie_Estime2!AD$1,PL_Saisie_Estime2!$C317),"")</f>
        <v/>
      </c>
      <c r="AE317" s="192" t="str">
        <f ca="1">IF(Flag_Send_Data=1,_xll.DBSW(PL_Saisie_Estime2!AE317,Server&amp;Cube1,PL_Saisie_Estime2!$F$17,PL_Saisie_Estime2!$F$18,PL_Saisie_Estime2!$F$19,PL_Saisie_Estime2!$F$16,PL_Saisie_Estime2!$C$14,PL_Saisie_Estime2!$F$15,PL_Saisie_Estime2!$F$14,PL_Saisie_Estime2!$F$20,PL_Saisie_Estime2!AE$2,PL_Saisie_Estime2!AE$1,PL_Saisie_Estime2!$C317),"")</f>
        <v/>
      </c>
      <c r="AF317" s="204"/>
      <c r="AG317" s="53"/>
      <c r="AH317" s="53"/>
      <c r="AI317" s="53"/>
      <c r="AJ317" s="53"/>
      <c r="AK317" s="53"/>
      <c r="AL317" s="53"/>
      <c r="AM317" s="53"/>
      <c r="AN317" s="53"/>
      <c r="AO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:53" s="9" customFormat="1" ht="24" customHeight="1" x14ac:dyDescent="0.35">
      <c r="A318" s="181"/>
      <c r="B318" s="163"/>
      <c r="C318" s="158"/>
      <c r="E318" s="268"/>
      <c r="F318" s="268"/>
      <c r="G318" s="268"/>
      <c r="H318" s="40"/>
      <c r="I318" s="130"/>
      <c r="J318" s="130"/>
      <c r="K318" s="130"/>
      <c r="L318" s="130"/>
      <c r="M318" s="130"/>
      <c r="N318" s="126"/>
      <c r="O318" s="204"/>
      <c r="P318" s="126"/>
      <c r="Q318" s="124"/>
      <c r="R318" s="192"/>
      <c r="S318" s="126"/>
      <c r="T318" s="200"/>
      <c r="U318" s="200"/>
      <c r="V318" s="200"/>
      <c r="W318" s="200"/>
      <c r="X318" s="200"/>
      <c r="Y318" s="200"/>
      <c r="Z318" s="192" t="str">
        <f ca="1">IF(Flag_Send_Data=1,_xll.DBSW(PL_Saisie_Estime2!Z318,Server&amp;Cube1,PL_Saisie_Estime2!$F$17,PL_Saisie_Estime2!$F$18,PL_Saisie_Estime2!$F$19,PL_Saisie_Estime2!$F$16,PL_Saisie_Estime2!$C$14,PL_Saisie_Estime2!$F$15,PL_Saisie_Estime2!$F$14,PL_Saisie_Estime2!$F$20,PL_Saisie_Estime2!Z$2,PL_Saisie_Estime2!Z$1,PL_Saisie_Estime2!$C318),"")</f>
        <v/>
      </c>
      <c r="AA318" s="192" t="str">
        <f ca="1">IF(Flag_Send_Data=1,_xll.DBSW(PL_Saisie_Estime2!AA318,Server&amp;Cube1,PL_Saisie_Estime2!$F$17,PL_Saisie_Estime2!$F$18,PL_Saisie_Estime2!$F$19,PL_Saisie_Estime2!$F$16,PL_Saisie_Estime2!$C$14,PL_Saisie_Estime2!$F$15,PL_Saisie_Estime2!$F$14,PL_Saisie_Estime2!$F$20,PL_Saisie_Estime2!AA$2,PL_Saisie_Estime2!AA$1,PL_Saisie_Estime2!$C318),"")</f>
        <v/>
      </c>
      <c r="AB318" s="192" t="str">
        <f ca="1">IF(Flag_Send_Data=1,_xll.DBSW(PL_Saisie_Estime2!AB318,Server&amp;Cube1,PL_Saisie_Estime2!$F$17,PL_Saisie_Estime2!$F$18,PL_Saisie_Estime2!$F$19,PL_Saisie_Estime2!$F$16,PL_Saisie_Estime2!$C$14,PL_Saisie_Estime2!$F$15,PL_Saisie_Estime2!$F$14,PL_Saisie_Estime2!$F$20,PL_Saisie_Estime2!AB$2,PL_Saisie_Estime2!AB$1,PL_Saisie_Estime2!$C318),"")</f>
        <v/>
      </c>
      <c r="AC318" s="192" t="str">
        <f ca="1">IF(Flag_Send_Data=1,_xll.DBSW(PL_Saisie_Estime2!AC318,Server&amp;Cube1,PL_Saisie_Estime2!$F$17,PL_Saisie_Estime2!$F$18,PL_Saisie_Estime2!$F$19,PL_Saisie_Estime2!$F$16,PL_Saisie_Estime2!$C$14,PL_Saisie_Estime2!$F$15,PL_Saisie_Estime2!$F$14,PL_Saisie_Estime2!$F$20,PL_Saisie_Estime2!AC$2,PL_Saisie_Estime2!AC$1,PL_Saisie_Estime2!$C318),"")</f>
        <v/>
      </c>
      <c r="AD318" s="192" t="str">
        <f ca="1">IF(Flag_Send_Data=1,_xll.DBSW(PL_Saisie_Estime2!AD318,Server&amp;Cube1,PL_Saisie_Estime2!$F$17,PL_Saisie_Estime2!$F$18,PL_Saisie_Estime2!$F$19,PL_Saisie_Estime2!$F$16,PL_Saisie_Estime2!$C$14,PL_Saisie_Estime2!$F$15,PL_Saisie_Estime2!$F$14,PL_Saisie_Estime2!$F$20,PL_Saisie_Estime2!AD$2,PL_Saisie_Estime2!AD$1,PL_Saisie_Estime2!$C318),"")</f>
        <v/>
      </c>
      <c r="AE318" s="192" t="str">
        <f ca="1">IF(Flag_Send_Data=1,_xll.DBSW(PL_Saisie_Estime2!AE318,Server&amp;Cube1,PL_Saisie_Estime2!$F$17,PL_Saisie_Estime2!$F$18,PL_Saisie_Estime2!$F$19,PL_Saisie_Estime2!$F$16,PL_Saisie_Estime2!$C$14,PL_Saisie_Estime2!$F$15,PL_Saisie_Estime2!$F$14,PL_Saisie_Estime2!$F$20,PL_Saisie_Estime2!AE$2,PL_Saisie_Estime2!AE$1,PL_Saisie_Estime2!$C318),"")</f>
        <v/>
      </c>
      <c r="AF318" s="204"/>
      <c r="AG318" s="53"/>
      <c r="AH318" s="53"/>
      <c r="AI318" s="53"/>
      <c r="AJ318" s="53"/>
      <c r="AK318" s="53"/>
      <c r="AL318" s="53"/>
      <c r="AM318" s="53"/>
      <c r="AN318" s="53"/>
      <c r="AO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:53" s="9" customFormat="1" ht="24" customHeight="1" x14ac:dyDescent="0.35">
      <c r="A319" s="181"/>
      <c r="B319" s="163"/>
      <c r="C319" s="158"/>
      <c r="E319" s="268"/>
      <c r="F319" s="268"/>
      <c r="G319" s="268"/>
      <c r="H319" s="40"/>
      <c r="I319" s="130"/>
      <c r="J319" s="130"/>
      <c r="K319" s="130"/>
      <c r="L319" s="130"/>
      <c r="M319" s="130"/>
      <c r="N319" s="126"/>
      <c r="O319" s="204"/>
      <c r="P319" s="126"/>
      <c r="Q319" s="124"/>
      <c r="R319" s="192"/>
      <c r="S319" s="126"/>
      <c r="T319" s="200"/>
      <c r="U319" s="200"/>
      <c r="V319" s="200"/>
      <c r="W319" s="200"/>
      <c r="X319" s="200"/>
      <c r="Y319" s="200"/>
      <c r="Z319" s="192" t="str">
        <f ca="1">IF(Flag_Send_Data=1,_xll.DBSW(PL_Saisie_Estime2!Z319,Server&amp;Cube1,PL_Saisie_Estime2!$F$17,PL_Saisie_Estime2!$F$18,PL_Saisie_Estime2!$F$19,PL_Saisie_Estime2!$F$16,PL_Saisie_Estime2!$C$14,PL_Saisie_Estime2!$F$15,PL_Saisie_Estime2!$F$14,PL_Saisie_Estime2!$F$20,PL_Saisie_Estime2!Z$2,PL_Saisie_Estime2!Z$1,PL_Saisie_Estime2!$C319),"")</f>
        <v/>
      </c>
      <c r="AA319" s="192" t="str">
        <f ca="1">IF(Flag_Send_Data=1,_xll.DBSW(PL_Saisie_Estime2!AA319,Server&amp;Cube1,PL_Saisie_Estime2!$F$17,PL_Saisie_Estime2!$F$18,PL_Saisie_Estime2!$F$19,PL_Saisie_Estime2!$F$16,PL_Saisie_Estime2!$C$14,PL_Saisie_Estime2!$F$15,PL_Saisie_Estime2!$F$14,PL_Saisie_Estime2!$F$20,PL_Saisie_Estime2!AA$2,PL_Saisie_Estime2!AA$1,PL_Saisie_Estime2!$C319),"")</f>
        <v/>
      </c>
      <c r="AB319" s="192" t="str">
        <f ca="1">IF(Flag_Send_Data=1,_xll.DBSW(PL_Saisie_Estime2!AB319,Server&amp;Cube1,PL_Saisie_Estime2!$F$17,PL_Saisie_Estime2!$F$18,PL_Saisie_Estime2!$F$19,PL_Saisie_Estime2!$F$16,PL_Saisie_Estime2!$C$14,PL_Saisie_Estime2!$F$15,PL_Saisie_Estime2!$F$14,PL_Saisie_Estime2!$F$20,PL_Saisie_Estime2!AB$2,PL_Saisie_Estime2!AB$1,PL_Saisie_Estime2!$C319),"")</f>
        <v/>
      </c>
      <c r="AC319" s="192" t="str">
        <f ca="1">IF(Flag_Send_Data=1,_xll.DBSW(PL_Saisie_Estime2!AC319,Server&amp;Cube1,PL_Saisie_Estime2!$F$17,PL_Saisie_Estime2!$F$18,PL_Saisie_Estime2!$F$19,PL_Saisie_Estime2!$F$16,PL_Saisie_Estime2!$C$14,PL_Saisie_Estime2!$F$15,PL_Saisie_Estime2!$F$14,PL_Saisie_Estime2!$F$20,PL_Saisie_Estime2!AC$2,PL_Saisie_Estime2!AC$1,PL_Saisie_Estime2!$C319),"")</f>
        <v/>
      </c>
      <c r="AD319" s="192" t="str">
        <f ca="1">IF(Flag_Send_Data=1,_xll.DBSW(PL_Saisie_Estime2!AD319,Server&amp;Cube1,PL_Saisie_Estime2!$F$17,PL_Saisie_Estime2!$F$18,PL_Saisie_Estime2!$F$19,PL_Saisie_Estime2!$F$16,PL_Saisie_Estime2!$C$14,PL_Saisie_Estime2!$F$15,PL_Saisie_Estime2!$F$14,PL_Saisie_Estime2!$F$20,PL_Saisie_Estime2!AD$2,PL_Saisie_Estime2!AD$1,PL_Saisie_Estime2!$C319),"")</f>
        <v/>
      </c>
      <c r="AE319" s="192" t="str">
        <f ca="1">IF(Flag_Send_Data=1,_xll.DBSW(PL_Saisie_Estime2!AE319,Server&amp;Cube1,PL_Saisie_Estime2!$F$17,PL_Saisie_Estime2!$F$18,PL_Saisie_Estime2!$F$19,PL_Saisie_Estime2!$F$16,PL_Saisie_Estime2!$C$14,PL_Saisie_Estime2!$F$15,PL_Saisie_Estime2!$F$14,PL_Saisie_Estime2!$F$20,PL_Saisie_Estime2!AE$2,PL_Saisie_Estime2!AE$1,PL_Saisie_Estime2!$C319),"")</f>
        <v/>
      </c>
      <c r="AF319" s="204"/>
      <c r="AG319" s="53"/>
      <c r="AH319" s="53"/>
      <c r="AI319" s="53"/>
      <c r="AJ319" s="53"/>
      <c r="AK319" s="53"/>
      <c r="AL319" s="53"/>
      <c r="AM319" s="53"/>
      <c r="AN319" s="53"/>
      <c r="AO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:53" s="9" customFormat="1" ht="24" customHeight="1" x14ac:dyDescent="0.35">
      <c r="A320" s="181"/>
      <c r="B320" s="163"/>
      <c r="C320" s="158"/>
      <c r="E320" s="268"/>
      <c r="F320" s="268"/>
      <c r="G320" s="268"/>
      <c r="H320" s="40"/>
      <c r="I320" s="130"/>
      <c r="J320" s="130"/>
      <c r="K320" s="130"/>
      <c r="L320" s="130"/>
      <c r="M320" s="130"/>
      <c r="N320" s="126"/>
      <c r="O320" s="204"/>
      <c r="P320" s="126"/>
      <c r="Q320" s="124"/>
      <c r="R320" s="192"/>
      <c r="S320" s="126"/>
      <c r="T320" s="200"/>
      <c r="U320" s="200"/>
      <c r="V320" s="200"/>
      <c r="W320" s="200"/>
      <c r="X320" s="200"/>
      <c r="Y320" s="200"/>
      <c r="Z320" s="192" t="str">
        <f ca="1">IF(Flag_Send_Data=1,_xll.DBSW(PL_Saisie_Estime2!Z320,Server&amp;Cube1,PL_Saisie_Estime2!$F$17,PL_Saisie_Estime2!$F$18,PL_Saisie_Estime2!$F$19,PL_Saisie_Estime2!$F$16,PL_Saisie_Estime2!$C$14,PL_Saisie_Estime2!$F$15,PL_Saisie_Estime2!$F$14,PL_Saisie_Estime2!$F$20,PL_Saisie_Estime2!Z$2,PL_Saisie_Estime2!Z$1,PL_Saisie_Estime2!$C320),"")</f>
        <v/>
      </c>
      <c r="AA320" s="192" t="str">
        <f ca="1">IF(Flag_Send_Data=1,_xll.DBSW(PL_Saisie_Estime2!AA320,Server&amp;Cube1,PL_Saisie_Estime2!$F$17,PL_Saisie_Estime2!$F$18,PL_Saisie_Estime2!$F$19,PL_Saisie_Estime2!$F$16,PL_Saisie_Estime2!$C$14,PL_Saisie_Estime2!$F$15,PL_Saisie_Estime2!$F$14,PL_Saisie_Estime2!$F$20,PL_Saisie_Estime2!AA$2,PL_Saisie_Estime2!AA$1,PL_Saisie_Estime2!$C320),"")</f>
        <v/>
      </c>
      <c r="AB320" s="192" t="str">
        <f ca="1">IF(Flag_Send_Data=1,_xll.DBSW(PL_Saisie_Estime2!AB320,Server&amp;Cube1,PL_Saisie_Estime2!$F$17,PL_Saisie_Estime2!$F$18,PL_Saisie_Estime2!$F$19,PL_Saisie_Estime2!$F$16,PL_Saisie_Estime2!$C$14,PL_Saisie_Estime2!$F$15,PL_Saisie_Estime2!$F$14,PL_Saisie_Estime2!$F$20,PL_Saisie_Estime2!AB$2,PL_Saisie_Estime2!AB$1,PL_Saisie_Estime2!$C320),"")</f>
        <v/>
      </c>
      <c r="AC320" s="192" t="str">
        <f ca="1">IF(Flag_Send_Data=1,_xll.DBSW(PL_Saisie_Estime2!AC320,Server&amp;Cube1,PL_Saisie_Estime2!$F$17,PL_Saisie_Estime2!$F$18,PL_Saisie_Estime2!$F$19,PL_Saisie_Estime2!$F$16,PL_Saisie_Estime2!$C$14,PL_Saisie_Estime2!$F$15,PL_Saisie_Estime2!$F$14,PL_Saisie_Estime2!$F$20,PL_Saisie_Estime2!AC$2,PL_Saisie_Estime2!AC$1,PL_Saisie_Estime2!$C320),"")</f>
        <v/>
      </c>
      <c r="AD320" s="192" t="str">
        <f ca="1">IF(Flag_Send_Data=1,_xll.DBSW(PL_Saisie_Estime2!AD320,Server&amp;Cube1,PL_Saisie_Estime2!$F$17,PL_Saisie_Estime2!$F$18,PL_Saisie_Estime2!$F$19,PL_Saisie_Estime2!$F$16,PL_Saisie_Estime2!$C$14,PL_Saisie_Estime2!$F$15,PL_Saisie_Estime2!$F$14,PL_Saisie_Estime2!$F$20,PL_Saisie_Estime2!AD$2,PL_Saisie_Estime2!AD$1,PL_Saisie_Estime2!$C320),"")</f>
        <v/>
      </c>
      <c r="AE320" s="192" t="str">
        <f ca="1">IF(Flag_Send_Data=1,_xll.DBSW(PL_Saisie_Estime2!AE320,Server&amp;Cube1,PL_Saisie_Estime2!$F$17,PL_Saisie_Estime2!$F$18,PL_Saisie_Estime2!$F$19,PL_Saisie_Estime2!$F$16,PL_Saisie_Estime2!$C$14,PL_Saisie_Estime2!$F$15,PL_Saisie_Estime2!$F$14,PL_Saisie_Estime2!$F$20,PL_Saisie_Estime2!AE$2,PL_Saisie_Estime2!AE$1,PL_Saisie_Estime2!$C320),"")</f>
        <v/>
      </c>
      <c r="AF320" s="204"/>
      <c r="AG320" s="53"/>
      <c r="AH320" s="53"/>
      <c r="AI320" s="53"/>
      <c r="AJ320" s="53"/>
      <c r="AK320" s="53"/>
      <c r="AL320" s="53"/>
      <c r="AM320" s="53"/>
      <c r="AN320" s="53"/>
      <c r="AO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:53" s="9" customFormat="1" ht="24" customHeight="1" x14ac:dyDescent="0.35">
      <c r="A321" s="181"/>
      <c r="B321" s="163"/>
      <c r="C321" s="158"/>
      <c r="E321" s="268"/>
      <c r="F321" s="268"/>
      <c r="G321" s="268"/>
      <c r="H321" s="40"/>
      <c r="I321" s="130"/>
      <c r="J321" s="130"/>
      <c r="K321" s="130"/>
      <c r="L321" s="130"/>
      <c r="M321" s="130"/>
      <c r="N321" s="126"/>
      <c r="O321" s="204"/>
      <c r="P321" s="126"/>
      <c r="Q321" s="124"/>
      <c r="R321" s="192"/>
      <c r="S321" s="126"/>
      <c r="T321" s="200"/>
      <c r="U321" s="200"/>
      <c r="V321" s="200"/>
      <c r="W321" s="200"/>
      <c r="X321" s="200"/>
      <c r="Y321" s="200"/>
      <c r="Z321" s="192" t="str">
        <f ca="1">IF(Flag_Send_Data=1,_xll.DBSW(PL_Saisie_Estime2!Z321,Server&amp;Cube1,PL_Saisie_Estime2!$F$17,PL_Saisie_Estime2!$F$18,PL_Saisie_Estime2!$F$19,PL_Saisie_Estime2!$F$16,PL_Saisie_Estime2!$C$14,PL_Saisie_Estime2!$F$15,PL_Saisie_Estime2!$F$14,PL_Saisie_Estime2!$F$20,PL_Saisie_Estime2!Z$2,PL_Saisie_Estime2!Z$1,PL_Saisie_Estime2!$C321),"")</f>
        <v/>
      </c>
      <c r="AA321" s="192" t="str">
        <f ca="1">IF(Flag_Send_Data=1,_xll.DBSW(PL_Saisie_Estime2!AA321,Server&amp;Cube1,PL_Saisie_Estime2!$F$17,PL_Saisie_Estime2!$F$18,PL_Saisie_Estime2!$F$19,PL_Saisie_Estime2!$F$16,PL_Saisie_Estime2!$C$14,PL_Saisie_Estime2!$F$15,PL_Saisie_Estime2!$F$14,PL_Saisie_Estime2!$F$20,PL_Saisie_Estime2!AA$2,PL_Saisie_Estime2!AA$1,PL_Saisie_Estime2!$C321),"")</f>
        <v/>
      </c>
      <c r="AB321" s="192" t="str">
        <f ca="1">IF(Flag_Send_Data=1,_xll.DBSW(PL_Saisie_Estime2!AB321,Server&amp;Cube1,PL_Saisie_Estime2!$F$17,PL_Saisie_Estime2!$F$18,PL_Saisie_Estime2!$F$19,PL_Saisie_Estime2!$F$16,PL_Saisie_Estime2!$C$14,PL_Saisie_Estime2!$F$15,PL_Saisie_Estime2!$F$14,PL_Saisie_Estime2!$F$20,PL_Saisie_Estime2!AB$2,PL_Saisie_Estime2!AB$1,PL_Saisie_Estime2!$C321),"")</f>
        <v/>
      </c>
      <c r="AC321" s="192" t="str">
        <f ca="1">IF(Flag_Send_Data=1,_xll.DBSW(PL_Saisie_Estime2!AC321,Server&amp;Cube1,PL_Saisie_Estime2!$F$17,PL_Saisie_Estime2!$F$18,PL_Saisie_Estime2!$F$19,PL_Saisie_Estime2!$F$16,PL_Saisie_Estime2!$C$14,PL_Saisie_Estime2!$F$15,PL_Saisie_Estime2!$F$14,PL_Saisie_Estime2!$F$20,PL_Saisie_Estime2!AC$2,PL_Saisie_Estime2!AC$1,PL_Saisie_Estime2!$C321),"")</f>
        <v/>
      </c>
      <c r="AD321" s="192" t="str">
        <f ca="1">IF(Flag_Send_Data=1,_xll.DBSW(PL_Saisie_Estime2!AD321,Server&amp;Cube1,PL_Saisie_Estime2!$F$17,PL_Saisie_Estime2!$F$18,PL_Saisie_Estime2!$F$19,PL_Saisie_Estime2!$F$16,PL_Saisie_Estime2!$C$14,PL_Saisie_Estime2!$F$15,PL_Saisie_Estime2!$F$14,PL_Saisie_Estime2!$F$20,PL_Saisie_Estime2!AD$2,PL_Saisie_Estime2!AD$1,PL_Saisie_Estime2!$C321),"")</f>
        <v/>
      </c>
      <c r="AE321" s="192" t="str">
        <f ca="1">IF(Flag_Send_Data=1,_xll.DBSW(PL_Saisie_Estime2!AE321,Server&amp;Cube1,PL_Saisie_Estime2!$F$17,PL_Saisie_Estime2!$F$18,PL_Saisie_Estime2!$F$19,PL_Saisie_Estime2!$F$16,PL_Saisie_Estime2!$C$14,PL_Saisie_Estime2!$F$15,PL_Saisie_Estime2!$F$14,PL_Saisie_Estime2!$F$20,PL_Saisie_Estime2!AE$2,PL_Saisie_Estime2!AE$1,PL_Saisie_Estime2!$C321),"")</f>
        <v/>
      </c>
      <c r="AF321" s="204"/>
      <c r="AG321" s="53"/>
      <c r="AH321" s="53"/>
      <c r="AI321" s="53"/>
      <c r="AJ321" s="53"/>
      <c r="AK321" s="53"/>
      <c r="AL321" s="53"/>
      <c r="AM321" s="53"/>
      <c r="AN321" s="53"/>
      <c r="AO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:53" s="9" customFormat="1" ht="24" customHeight="1" x14ac:dyDescent="0.35">
      <c r="A322" s="181"/>
      <c r="B322" s="163"/>
      <c r="C322" s="158"/>
      <c r="E322" s="268"/>
      <c r="F322" s="268"/>
      <c r="G322" s="268"/>
      <c r="H322" s="40"/>
      <c r="I322" s="130"/>
      <c r="J322" s="130"/>
      <c r="K322" s="130"/>
      <c r="L322" s="130"/>
      <c r="M322" s="130"/>
      <c r="N322" s="126"/>
      <c r="O322" s="204"/>
      <c r="P322" s="126"/>
      <c r="Q322" s="124"/>
      <c r="R322" s="192"/>
      <c r="S322" s="126"/>
      <c r="T322" s="200"/>
      <c r="U322" s="200"/>
      <c r="V322" s="200"/>
      <c r="W322" s="200"/>
      <c r="X322" s="200"/>
      <c r="Y322" s="200"/>
      <c r="Z322" s="192" t="str">
        <f ca="1">IF(Flag_Send_Data=1,_xll.DBSW(PL_Saisie_Estime2!Z322,Server&amp;Cube1,PL_Saisie_Estime2!$F$17,PL_Saisie_Estime2!$F$18,PL_Saisie_Estime2!$F$19,PL_Saisie_Estime2!$F$16,PL_Saisie_Estime2!$C$14,PL_Saisie_Estime2!$F$15,PL_Saisie_Estime2!$F$14,PL_Saisie_Estime2!$F$20,PL_Saisie_Estime2!Z$2,PL_Saisie_Estime2!Z$1,PL_Saisie_Estime2!$C322),"")</f>
        <v/>
      </c>
      <c r="AA322" s="192" t="str">
        <f ca="1">IF(Flag_Send_Data=1,_xll.DBSW(PL_Saisie_Estime2!AA322,Server&amp;Cube1,PL_Saisie_Estime2!$F$17,PL_Saisie_Estime2!$F$18,PL_Saisie_Estime2!$F$19,PL_Saisie_Estime2!$F$16,PL_Saisie_Estime2!$C$14,PL_Saisie_Estime2!$F$15,PL_Saisie_Estime2!$F$14,PL_Saisie_Estime2!$F$20,PL_Saisie_Estime2!AA$2,PL_Saisie_Estime2!AA$1,PL_Saisie_Estime2!$C322),"")</f>
        <v/>
      </c>
      <c r="AB322" s="192" t="str">
        <f ca="1">IF(Flag_Send_Data=1,_xll.DBSW(PL_Saisie_Estime2!AB322,Server&amp;Cube1,PL_Saisie_Estime2!$F$17,PL_Saisie_Estime2!$F$18,PL_Saisie_Estime2!$F$19,PL_Saisie_Estime2!$F$16,PL_Saisie_Estime2!$C$14,PL_Saisie_Estime2!$F$15,PL_Saisie_Estime2!$F$14,PL_Saisie_Estime2!$F$20,PL_Saisie_Estime2!AB$2,PL_Saisie_Estime2!AB$1,PL_Saisie_Estime2!$C322),"")</f>
        <v/>
      </c>
      <c r="AC322" s="192" t="str">
        <f ca="1">IF(Flag_Send_Data=1,_xll.DBSW(PL_Saisie_Estime2!AC322,Server&amp;Cube1,PL_Saisie_Estime2!$F$17,PL_Saisie_Estime2!$F$18,PL_Saisie_Estime2!$F$19,PL_Saisie_Estime2!$F$16,PL_Saisie_Estime2!$C$14,PL_Saisie_Estime2!$F$15,PL_Saisie_Estime2!$F$14,PL_Saisie_Estime2!$F$20,PL_Saisie_Estime2!AC$2,PL_Saisie_Estime2!AC$1,PL_Saisie_Estime2!$C322),"")</f>
        <v/>
      </c>
      <c r="AD322" s="192" t="str">
        <f ca="1">IF(Flag_Send_Data=1,_xll.DBSW(PL_Saisie_Estime2!AD322,Server&amp;Cube1,PL_Saisie_Estime2!$F$17,PL_Saisie_Estime2!$F$18,PL_Saisie_Estime2!$F$19,PL_Saisie_Estime2!$F$16,PL_Saisie_Estime2!$C$14,PL_Saisie_Estime2!$F$15,PL_Saisie_Estime2!$F$14,PL_Saisie_Estime2!$F$20,PL_Saisie_Estime2!AD$2,PL_Saisie_Estime2!AD$1,PL_Saisie_Estime2!$C322),"")</f>
        <v/>
      </c>
      <c r="AE322" s="192" t="str">
        <f ca="1">IF(Flag_Send_Data=1,_xll.DBSW(PL_Saisie_Estime2!AE322,Server&amp;Cube1,PL_Saisie_Estime2!$F$17,PL_Saisie_Estime2!$F$18,PL_Saisie_Estime2!$F$19,PL_Saisie_Estime2!$F$16,PL_Saisie_Estime2!$C$14,PL_Saisie_Estime2!$F$15,PL_Saisie_Estime2!$F$14,PL_Saisie_Estime2!$F$20,PL_Saisie_Estime2!AE$2,PL_Saisie_Estime2!AE$1,PL_Saisie_Estime2!$C322),"")</f>
        <v/>
      </c>
      <c r="AF322" s="204"/>
      <c r="AG322" s="53"/>
      <c r="AH322" s="53"/>
      <c r="AI322" s="53"/>
      <c r="AJ322" s="53"/>
      <c r="AK322" s="53"/>
      <c r="AL322" s="53"/>
      <c r="AM322" s="53"/>
      <c r="AN322" s="53"/>
      <c r="AO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:53" s="9" customFormat="1" ht="24" customHeight="1" x14ac:dyDescent="0.35">
      <c r="A323" s="181"/>
      <c r="B323" s="163"/>
      <c r="C323" s="158"/>
      <c r="E323" s="268"/>
      <c r="F323" s="268"/>
      <c r="G323" s="268"/>
      <c r="H323" s="40"/>
      <c r="I323" s="130"/>
      <c r="J323" s="130"/>
      <c r="K323" s="130"/>
      <c r="L323" s="130"/>
      <c r="M323" s="130"/>
      <c r="N323" s="126"/>
      <c r="O323" s="204"/>
      <c r="P323" s="126"/>
      <c r="Q323" s="124"/>
      <c r="R323" s="192"/>
      <c r="S323" s="126"/>
      <c r="T323" s="200"/>
      <c r="U323" s="200"/>
      <c r="V323" s="200"/>
      <c r="W323" s="200"/>
      <c r="X323" s="200"/>
      <c r="Y323" s="200"/>
      <c r="Z323" s="192" t="str">
        <f ca="1">IF(Flag_Send_Data=1,_xll.DBSW(PL_Saisie_Estime2!Z323,Server&amp;Cube1,PL_Saisie_Estime2!$F$17,PL_Saisie_Estime2!$F$18,PL_Saisie_Estime2!$F$19,PL_Saisie_Estime2!$F$16,PL_Saisie_Estime2!$C$14,PL_Saisie_Estime2!$F$15,PL_Saisie_Estime2!$F$14,PL_Saisie_Estime2!$F$20,PL_Saisie_Estime2!Z$2,PL_Saisie_Estime2!Z$1,PL_Saisie_Estime2!$C323),"")</f>
        <v/>
      </c>
      <c r="AA323" s="192" t="str">
        <f ca="1">IF(Flag_Send_Data=1,_xll.DBSW(PL_Saisie_Estime2!AA323,Server&amp;Cube1,PL_Saisie_Estime2!$F$17,PL_Saisie_Estime2!$F$18,PL_Saisie_Estime2!$F$19,PL_Saisie_Estime2!$F$16,PL_Saisie_Estime2!$C$14,PL_Saisie_Estime2!$F$15,PL_Saisie_Estime2!$F$14,PL_Saisie_Estime2!$F$20,PL_Saisie_Estime2!AA$2,PL_Saisie_Estime2!AA$1,PL_Saisie_Estime2!$C323),"")</f>
        <v/>
      </c>
      <c r="AB323" s="192" t="str">
        <f ca="1">IF(Flag_Send_Data=1,_xll.DBSW(PL_Saisie_Estime2!AB323,Server&amp;Cube1,PL_Saisie_Estime2!$F$17,PL_Saisie_Estime2!$F$18,PL_Saisie_Estime2!$F$19,PL_Saisie_Estime2!$F$16,PL_Saisie_Estime2!$C$14,PL_Saisie_Estime2!$F$15,PL_Saisie_Estime2!$F$14,PL_Saisie_Estime2!$F$20,PL_Saisie_Estime2!AB$2,PL_Saisie_Estime2!AB$1,PL_Saisie_Estime2!$C323),"")</f>
        <v/>
      </c>
      <c r="AC323" s="192" t="str">
        <f ca="1">IF(Flag_Send_Data=1,_xll.DBSW(PL_Saisie_Estime2!AC323,Server&amp;Cube1,PL_Saisie_Estime2!$F$17,PL_Saisie_Estime2!$F$18,PL_Saisie_Estime2!$F$19,PL_Saisie_Estime2!$F$16,PL_Saisie_Estime2!$C$14,PL_Saisie_Estime2!$F$15,PL_Saisie_Estime2!$F$14,PL_Saisie_Estime2!$F$20,PL_Saisie_Estime2!AC$2,PL_Saisie_Estime2!AC$1,PL_Saisie_Estime2!$C323),"")</f>
        <v/>
      </c>
      <c r="AD323" s="192" t="str">
        <f ca="1">IF(Flag_Send_Data=1,_xll.DBSW(PL_Saisie_Estime2!AD323,Server&amp;Cube1,PL_Saisie_Estime2!$F$17,PL_Saisie_Estime2!$F$18,PL_Saisie_Estime2!$F$19,PL_Saisie_Estime2!$F$16,PL_Saisie_Estime2!$C$14,PL_Saisie_Estime2!$F$15,PL_Saisie_Estime2!$F$14,PL_Saisie_Estime2!$F$20,PL_Saisie_Estime2!AD$2,PL_Saisie_Estime2!AD$1,PL_Saisie_Estime2!$C323),"")</f>
        <v/>
      </c>
      <c r="AE323" s="192" t="str">
        <f ca="1">IF(Flag_Send_Data=1,_xll.DBSW(PL_Saisie_Estime2!AE323,Server&amp;Cube1,PL_Saisie_Estime2!$F$17,PL_Saisie_Estime2!$F$18,PL_Saisie_Estime2!$F$19,PL_Saisie_Estime2!$F$16,PL_Saisie_Estime2!$C$14,PL_Saisie_Estime2!$F$15,PL_Saisie_Estime2!$F$14,PL_Saisie_Estime2!$F$20,PL_Saisie_Estime2!AE$2,PL_Saisie_Estime2!AE$1,PL_Saisie_Estime2!$C323),"")</f>
        <v/>
      </c>
      <c r="AF323" s="204"/>
      <c r="AG323" s="53"/>
      <c r="AH323" s="53"/>
      <c r="AI323" s="53"/>
      <c r="AJ323" s="53"/>
      <c r="AK323" s="53"/>
      <c r="AL323" s="53"/>
      <c r="AM323" s="53"/>
      <c r="AN323" s="53"/>
      <c r="AO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:53" s="9" customFormat="1" ht="24" customHeight="1" x14ac:dyDescent="0.35">
      <c r="A324" s="181"/>
      <c r="B324" s="163"/>
      <c r="C324" s="119"/>
      <c r="E324" s="269"/>
      <c r="F324" s="269"/>
      <c r="G324" s="269"/>
      <c r="H324" s="40"/>
      <c r="I324" s="159"/>
      <c r="J324" s="159"/>
      <c r="K324" s="159"/>
      <c r="L324" s="159"/>
      <c r="M324" s="159"/>
      <c r="N324" s="125"/>
      <c r="O324" s="161"/>
      <c r="P324" s="125"/>
      <c r="Q324" s="124"/>
      <c r="R324" s="161"/>
      <c r="S324" s="125"/>
      <c r="T324" s="202"/>
      <c r="U324" s="202"/>
      <c r="V324" s="202"/>
      <c r="W324" s="202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53"/>
      <c r="AH324" s="53"/>
      <c r="AI324" s="53"/>
      <c r="AJ324" s="53"/>
      <c r="AK324" s="53"/>
      <c r="AL324" s="53"/>
      <c r="AM324" s="53"/>
      <c r="AN324" s="53"/>
      <c r="AO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:53" s="9" customFormat="1" ht="24" customHeight="1" x14ac:dyDescent="0.35">
      <c r="A325" s="181"/>
      <c r="B325" s="163"/>
      <c r="C325" s="117"/>
      <c r="E325" s="270"/>
      <c r="F325" s="270"/>
      <c r="G325" s="270"/>
      <c r="H325" s="40"/>
      <c r="I325" s="130"/>
      <c r="J325" s="130"/>
      <c r="K325" s="130"/>
      <c r="L325" s="130"/>
      <c r="M325" s="130"/>
      <c r="N325" s="125"/>
      <c r="O325" s="125"/>
      <c r="P325" s="125"/>
      <c r="Q325" s="124"/>
      <c r="R325" s="125"/>
      <c r="S325" s="125"/>
      <c r="T325" s="201"/>
      <c r="U325" s="201"/>
      <c r="V325" s="201"/>
      <c r="W325" s="201"/>
      <c r="X325" s="125"/>
      <c r="Y325" s="125"/>
      <c r="Z325" s="125"/>
      <c r="AA325" s="125"/>
      <c r="AB325" s="125"/>
      <c r="AC325" s="125"/>
      <c r="AD325" s="125"/>
      <c r="AE325" s="125"/>
      <c r="AF325" s="125"/>
      <c r="AG325" s="53"/>
      <c r="AH325" s="53"/>
      <c r="AI325" s="53"/>
      <c r="AJ325" s="53"/>
      <c r="AK325" s="53"/>
      <c r="AL325" s="53"/>
      <c r="AM325" s="53"/>
      <c r="AN325" s="53"/>
      <c r="AO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:53" s="9" customFormat="1" ht="24" customHeight="1" x14ac:dyDescent="0.35">
      <c r="A326" s="181"/>
      <c r="B326" s="163"/>
      <c r="C326" s="158"/>
      <c r="E326" s="268"/>
      <c r="F326" s="268"/>
      <c r="G326" s="268"/>
      <c r="H326" s="40"/>
      <c r="I326" s="130"/>
      <c r="J326" s="130"/>
      <c r="K326" s="130"/>
      <c r="L326" s="130"/>
      <c r="M326" s="130"/>
      <c r="N326" s="126"/>
      <c r="O326" s="204"/>
      <c r="P326" s="126"/>
      <c r="Q326" s="124"/>
      <c r="R326" s="192"/>
      <c r="S326" s="126"/>
      <c r="T326" s="200"/>
      <c r="U326" s="200"/>
      <c r="V326" s="200"/>
      <c r="W326" s="200"/>
      <c r="X326" s="200"/>
      <c r="Y326" s="200"/>
      <c r="Z326" s="192" t="str">
        <f ca="1">IF(Flag_Send_Data=1,_xll.DBSW(PL_Saisie_Estime2!Z326,Server&amp;Cube1,PL_Saisie_Estime2!$F$17,PL_Saisie_Estime2!$F$18,PL_Saisie_Estime2!$F$19,PL_Saisie_Estime2!$F$16,PL_Saisie_Estime2!$C$14,PL_Saisie_Estime2!$F$15,PL_Saisie_Estime2!$F$14,PL_Saisie_Estime2!$F$20,PL_Saisie_Estime2!Z$2,PL_Saisie_Estime2!Z$1,PL_Saisie_Estime2!$C326),"")</f>
        <v/>
      </c>
      <c r="AA326" s="192" t="str">
        <f ca="1">IF(Flag_Send_Data=1,_xll.DBSW(PL_Saisie_Estime2!AA326,Server&amp;Cube1,PL_Saisie_Estime2!$F$17,PL_Saisie_Estime2!$F$18,PL_Saisie_Estime2!$F$19,PL_Saisie_Estime2!$F$16,PL_Saisie_Estime2!$C$14,PL_Saisie_Estime2!$F$15,PL_Saisie_Estime2!$F$14,PL_Saisie_Estime2!$F$20,PL_Saisie_Estime2!AA$2,PL_Saisie_Estime2!AA$1,PL_Saisie_Estime2!$C326),"")</f>
        <v/>
      </c>
      <c r="AB326" s="192" t="str">
        <f ca="1">IF(Flag_Send_Data=1,_xll.DBSW(PL_Saisie_Estime2!AB326,Server&amp;Cube1,PL_Saisie_Estime2!$F$17,PL_Saisie_Estime2!$F$18,PL_Saisie_Estime2!$F$19,PL_Saisie_Estime2!$F$16,PL_Saisie_Estime2!$C$14,PL_Saisie_Estime2!$F$15,PL_Saisie_Estime2!$F$14,PL_Saisie_Estime2!$F$20,PL_Saisie_Estime2!AB$2,PL_Saisie_Estime2!AB$1,PL_Saisie_Estime2!$C326),"")</f>
        <v/>
      </c>
      <c r="AC326" s="192" t="str">
        <f ca="1">IF(Flag_Send_Data=1,_xll.DBSW(PL_Saisie_Estime2!AC326,Server&amp;Cube1,PL_Saisie_Estime2!$F$17,PL_Saisie_Estime2!$F$18,PL_Saisie_Estime2!$F$19,PL_Saisie_Estime2!$F$16,PL_Saisie_Estime2!$C$14,PL_Saisie_Estime2!$F$15,PL_Saisie_Estime2!$F$14,PL_Saisie_Estime2!$F$20,PL_Saisie_Estime2!AC$2,PL_Saisie_Estime2!AC$1,PL_Saisie_Estime2!$C326),"")</f>
        <v/>
      </c>
      <c r="AD326" s="192" t="str">
        <f ca="1">IF(Flag_Send_Data=1,_xll.DBSW(PL_Saisie_Estime2!AD326,Server&amp;Cube1,PL_Saisie_Estime2!$F$17,PL_Saisie_Estime2!$F$18,PL_Saisie_Estime2!$F$19,PL_Saisie_Estime2!$F$16,PL_Saisie_Estime2!$C$14,PL_Saisie_Estime2!$F$15,PL_Saisie_Estime2!$F$14,PL_Saisie_Estime2!$F$20,PL_Saisie_Estime2!AD$2,PL_Saisie_Estime2!AD$1,PL_Saisie_Estime2!$C326),"")</f>
        <v/>
      </c>
      <c r="AE326" s="192" t="str">
        <f ca="1">IF(Flag_Send_Data=1,_xll.DBSW(PL_Saisie_Estime2!AE326,Server&amp;Cube1,PL_Saisie_Estime2!$F$17,PL_Saisie_Estime2!$F$18,PL_Saisie_Estime2!$F$19,PL_Saisie_Estime2!$F$16,PL_Saisie_Estime2!$C$14,PL_Saisie_Estime2!$F$15,PL_Saisie_Estime2!$F$14,PL_Saisie_Estime2!$F$20,PL_Saisie_Estime2!AE$2,PL_Saisie_Estime2!AE$1,PL_Saisie_Estime2!$C326),"")</f>
        <v/>
      </c>
      <c r="AF326" s="204"/>
      <c r="AG326" s="53"/>
      <c r="AH326" s="53"/>
      <c r="AI326" s="53"/>
      <c r="AJ326" s="53"/>
      <c r="AK326" s="53"/>
      <c r="AL326" s="53"/>
      <c r="AM326" s="53"/>
      <c r="AN326" s="53"/>
      <c r="AO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:53" s="9" customFormat="1" ht="24" customHeight="1" x14ac:dyDescent="0.35">
      <c r="A327" s="181"/>
      <c r="B327" s="163"/>
      <c r="C327" s="158"/>
      <c r="E327" s="268"/>
      <c r="F327" s="268"/>
      <c r="G327" s="268"/>
      <c r="H327" s="40"/>
      <c r="I327" s="130"/>
      <c r="J327" s="130"/>
      <c r="K327" s="130"/>
      <c r="L327" s="130"/>
      <c r="M327" s="130"/>
      <c r="N327" s="126"/>
      <c r="O327" s="204"/>
      <c r="P327" s="126"/>
      <c r="Q327" s="124"/>
      <c r="R327" s="192"/>
      <c r="S327" s="126"/>
      <c r="T327" s="200"/>
      <c r="U327" s="200"/>
      <c r="V327" s="200"/>
      <c r="W327" s="200"/>
      <c r="X327" s="200"/>
      <c r="Y327" s="200"/>
      <c r="Z327" s="192" t="str">
        <f ca="1">IF(Flag_Send_Data=1,_xll.DBSW(PL_Saisie_Estime2!Z327,Server&amp;Cube1,PL_Saisie_Estime2!$F$17,PL_Saisie_Estime2!$F$18,PL_Saisie_Estime2!$F$19,PL_Saisie_Estime2!$F$16,PL_Saisie_Estime2!$C$14,PL_Saisie_Estime2!$F$15,PL_Saisie_Estime2!$F$14,PL_Saisie_Estime2!$F$20,PL_Saisie_Estime2!Z$2,PL_Saisie_Estime2!Z$1,PL_Saisie_Estime2!$C327),"")</f>
        <v/>
      </c>
      <c r="AA327" s="192" t="str">
        <f ca="1">IF(Flag_Send_Data=1,_xll.DBSW(PL_Saisie_Estime2!AA327,Server&amp;Cube1,PL_Saisie_Estime2!$F$17,PL_Saisie_Estime2!$F$18,PL_Saisie_Estime2!$F$19,PL_Saisie_Estime2!$F$16,PL_Saisie_Estime2!$C$14,PL_Saisie_Estime2!$F$15,PL_Saisie_Estime2!$F$14,PL_Saisie_Estime2!$F$20,PL_Saisie_Estime2!AA$2,PL_Saisie_Estime2!AA$1,PL_Saisie_Estime2!$C327),"")</f>
        <v/>
      </c>
      <c r="AB327" s="192" t="str">
        <f ca="1">IF(Flag_Send_Data=1,_xll.DBSW(PL_Saisie_Estime2!AB327,Server&amp;Cube1,PL_Saisie_Estime2!$F$17,PL_Saisie_Estime2!$F$18,PL_Saisie_Estime2!$F$19,PL_Saisie_Estime2!$F$16,PL_Saisie_Estime2!$C$14,PL_Saisie_Estime2!$F$15,PL_Saisie_Estime2!$F$14,PL_Saisie_Estime2!$F$20,PL_Saisie_Estime2!AB$2,PL_Saisie_Estime2!AB$1,PL_Saisie_Estime2!$C327),"")</f>
        <v/>
      </c>
      <c r="AC327" s="192" t="str">
        <f ca="1">IF(Flag_Send_Data=1,_xll.DBSW(PL_Saisie_Estime2!AC327,Server&amp;Cube1,PL_Saisie_Estime2!$F$17,PL_Saisie_Estime2!$F$18,PL_Saisie_Estime2!$F$19,PL_Saisie_Estime2!$F$16,PL_Saisie_Estime2!$C$14,PL_Saisie_Estime2!$F$15,PL_Saisie_Estime2!$F$14,PL_Saisie_Estime2!$F$20,PL_Saisie_Estime2!AC$2,PL_Saisie_Estime2!AC$1,PL_Saisie_Estime2!$C327),"")</f>
        <v/>
      </c>
      <c r="AD327" s="192" t="str">
        <f ca="1">IF(Flag_Send_Data=1,_xll.DBSW(PL_Saisie_Estime2!AD327,Server&amp;Cube1,PL_Saisie_Estime2!$F$17,PL_Saisie_Estime2!$F$18,PL_Saisie_Estime2!$F$19,PL_Saisie_Estime2!$F$16,PL_Saisie_Estime2!$C$14,PL_Saisie_Estime2!$F$15,PL_Saisie_Estime2!$F$14,PL_Saisie_Estime2!$F$20,PL_Saisie_Estime2!AD$2,PL_Saisie_Estime2!AD$1,PL_Saisie_Estime2!$C327),"")</f>
        <v/>
      </c>
      <c r="AE327" s="192" t="str">
        <f ca="1">IF(Flag_Send_Data=1,_xll.DBSW(PL_Saisie_Estime2!AE327,Server&amp;Cube1,PL_Saisie_Estime2!$F$17,PL_Saisie_Estime2!$F$18,PL_Saisie_Estime2!$F$19,PL_Saisie_Estime2!$F$16,PL_Saisie_Estime2!$C$14,PL_Saisie_Estime2!$F$15,PL_Saisie_Estime2!$F$14,PL_Saisie_Estime2!$F$20,PL_Saisie_Estime2!AE$2,PL_Saisie_Estime2!AE$1,PL_Saisie_Estime2!$C327),"")</f>
        <v/>
      </c>
      <c r="AF327" s="204"/>
      <c r="AG327" s="53"/>
      <c r="AH327" s="53"/>
      <c r="AI327" s="53"/>
      <c r="AJ327" s="53"/>
      <c r="AK327" s="53"/>
      <c r="AL327" s="53"/>
      <c r="AM327" s="53"/>
      <c r="AN327" s="53"/>
      <c r="AO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:53" s="9" customFormat="1" ht="24" customHeight="1" x14ac:dyDescent="0.35">
      <c r="A328" s="181"/>
      <c r="B328" s="163"/>
      <c r="C328" s="158"/>
      <c r="E328" s="268"/>
      <c r="F328" s="268"/>
      <c r="G328" s="268"/>
      <c r="H328" s="40"/>
      <c r="I328" s="130"/>
      <c r="J328" s="130"/>
      <c r="K328" s="130"/>
      <c r="L328" s="130"/>
      <c r="M328" s="130"/>
      <c r="N328" s="126"/>
      <c r="O328" s="204"/>
      <c r="P328" s="126"/>
      <c r="Q328" s="124"/>
      <c r="R328" s="192"/>
      <c r="S328" s="126"/>
      <c r="T328" s="200"/>
      <c r="U328" s="200"/>
      <c r="V328" s="200"/>
      <c r="W328" s="200"/>
      <c r="X328" s="200"/>
      <c r="Y328" s="200"/>
      <c r="Z328" s="192" t="str">
        <f ca="1">IF(Flag_Send_Data=1,_xll.DBSW(PL_Saisie_Estime2!Z328,Server&amp;Cube1,PL_Saisie_Estime2!$F$17,PL_Saisie_Estime2!$F$18,PL_Saisie_Estime2!$F$19,PL_Saisie_Estime2!$F$16,PL_Saisie_Estime2!$C$14,PL_Saisie_Estime2!$F$15,PL_Saisie_Estime2!$F$14,PL_Saisie_Estime2!$F$20,PL_Saisie_Estime2!Z$2,PL_Saisie_Estime2!Z$1,PL_Saisie_Estime2!$C328),"")</f>
        <v/>
      </c>
      <c r="AA328" s="192" t="str">
        <f ca="1">IF(Flag_Send_Data=1,_xll.DBSW(PL_Saisie_Estime2!AA328,Server&amp;Cube1,PL_Saisie_Estime2!$F$17,PL_Saisie_Estime2!$F$18,PL_Saisie_Estime2!$F$19,PL_Saisie_Estime2!$F$16,PL_Saisie_Estime2!$C$14,PL_Saisie_Estime2!$F$15,PL_Saisie_Estime2!$F$14,PL_Saisie_Estime2!$F$20,PL_Saisie_Estime2!AA$2,PL_Saisie_Estime2!AA$1,PL_Saisie_Estime2!$C328),"")</f>
        <v/>
      </c>
      <c r="AB328" s="192" t="str">
        <f ca="1">IF(Flag_Send_Data=1,_xll.DBSW(PL_Saisie_Estime2!AB328,Server&amp;Cube1,PL_Saisie_Estime2!$F$17,PL_Saisie_Estime2!$F$18,PL_Saisie_Estime2!$F$19,PL_Saisie_Estime2!$F$16,PL_Saisie_Estime2!$C$14,PL_Saisie_Estime2!$F$15,PL_Saisie_Estime2!$F$14,PL_Saisie_Estime2!$F$20,PL_Saisie_Estime2!AB$2,PL_Saisie_Estime2!AB$1,PL_Saisie_Estime2!$C328),"")</f>
        <v/>
      </c>
      <c r="AC328" s="192" t="str">
        <f ca="1">IF(Flag_Send_Data=1,_xll.DBSW(PL_Saisie_Estime2!AC328,Server&amp;Cube1,PL_Saisie_Estime2!$F$17,PL_Saisie_Estime2!$F$18,PL_Saisie_Estime2!$F$19,PL_Saisie_Estime2!$F$16,PL_Saisie_Estime2!$C$14,PL_Saisie_Estime2!$F$15,PL_Saisie_Estime2!$F$14,PL_Saisie_Estime2!$F$20,PL_Saisie_Estime2!AC$2,PL_Saisie_Estime2!AC$1,PL_Saisie_Estime2!$C328),"")</f>
        <v/>
      </c>
      <c r="AD328" s="192" t="str">
        <f ca="1">IF(Flag_Send_Data=1,_xll.DBSW(PL_Saisie_Estime2!AD328,Server&amp;Cube1,PL_Saisie_Estime2!$F$17,PL_Saisie_Estime2!$F$18,PL_Saisie_Estime2!$F$19,PL_Saisie_Estime2!$F$16,PL_Saisie_Estime2!$C$14,PL_Saisie_Estime2!$F$15,PL_Saisie_Estime2!$F$14,PL_Saisie_Estime2!$F$20,PL_Saisie_Estime2!AD$2,PL_Saisie_Estime2!AD$1,PL_Saisie_Estime2!$C328),"")</f>
        <v/>
      </c>
      <c r="AE328" s="192" t="str">
        <f ca="1">IF(Flag_Send_Data=1,_xll.DBSW(PL_Saisie_Estime2!AE328,Server&amp;Cube1,PL_Saisie_Estime2!$F$17,PL_Saisie_Estime2!$F$18,PL_Saisie_Estime2!$F$19,PL_Saisie_Estime2!$F$16,PL_Saisie_Estime2!$C$14,PL_Saisie_Estime2!$F$15,PL_Saisie_Estime2!$F$14,PL_Saisie_Estime2!$F$20,PL_Saisie_Estime2!AE$2,PL_Saisie_Estime2!AE$1,PL_Saisie_Estime2!$C328),"")</f>
        <v/>
      </c>
      <c r="AF328" s="204"/>
      <c r="AG328" s="53"/>
      <c r="AH328" s="53"/>
      <c r="AI328" s="53"/>
      <c r="AJ328" s="53"/>
      <c r="AK328" s="53"/>
      <c r="AL328" s="53"/>
      <c r="AM328" s="53"/>
      <c r="AN328" s="53"/>
      <c r="AO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:53" s="9" customFormat="1" ht="24" customHeight="1" x14ac:dyDescent="0.35">
      <c r="A329" s="181"/>
      <c r="B329" s="163"/>
      <c r="C329" s="158"/>
      <c r="E329" s="268"/>
      <c r="F329" s="268"/>
      <c r="G329" s="268"/>
      <c r="H329" s="40"/>
      <c r="I329" s="130"/>
      <c r="J329" s="130"/>
      <c r="K329" s="130"/>
      <c r="L329" s="130"/>
      <c r="M329" s="130"/>
      <c r="N329" s="126"/>
      <c r="O329" s="204"/>
      <c r="P329" s="126"/>
      <c r="Q329" s="124"/>
      <c r="R329" s="192"/>
      <c r="S329" s="126"/>
      <c r="T329" s="200"/>
      <c r="U329" s="200"/>
      <c r="V329" s="200"/>
      <c r="W329" s="200"/>
      <c r="X329" s="200"/>
      <c r="Y329" s="200"/>
      <c r="Z329" s="192" t="str">
        <f ca="1">IF(Flag_Send_Data=1,_xll.DBSW(PL_Saisie_Estime2!Z329,Server&amp;Cube1,PL_Saisie_Estime2!$F$17,PL_Saisie_Estime2!$F$18,PL_Saisie_Estime2!$F$19,PL_Saisie_Estime2!$F$16,PL_Saisie_Estime2!$C$14,PL_Saisie_Estime2!$F$15,PL_Saisie_Estime2!$F$14,PL_Saisie_Estime2!$F$20,PL_Saisie_Estime2!Z$2,PL_Saisie_Estime2!Z$1,PL_Saisie_Estime2!$C329),"")</f>
        <v/>
      </c>
      <c r="AA329" s="192" t="str">
        <f ca="1">IF(Flag_Send_Data=1,_xll.DBSW(PL_Saisie_Estime2!AA329,Server&amp;Cube1,PL_Saisie_Estime2!$F$17,PL_Saisie_Estime2!$F$18,PL_Saisie_Estime2!$F$19,PL_Saisie_Estime2!$F$16,PL_Saisie_Estime2!$C$14,PL_Saisie_Estime2!$F$15,PL_Saisie_Estime2!$F$14,PL_Saisie_Estime2!$F$20,PL_Saisie_Estime2!AA$2,PL_Saisie_Estime2!AA$1,PL_Saisie_Estime2!$C329),"")</f>
        <v/>
      </c>
      <c r="AB329" s="192" t="str">
        <f ca="1">IF(Flag_Send_Data=1,_xll.DBSW(PL_Saisie_Estime2!AB329,Server&amp;Cube1,PL_Saisie_Estime2!$F$17,PL_Saisie_Estime2!$F$18,PL_Saisie_Estime2!$F$19,PL_Saisie_Estime2!$F$16,PL_Saisie_Estime2!$C$14,PL_Saisie_Estime2!$F$15,PL_Saisie_Estime2!$F$14,PL_Saisie_Estime2!$F$20,PL_Saisie_Estime2!AB$2,PL_Saisie_Estime2!AB$1,PL_Saisie_Estime2!$C329),"")</f>
        <v/>
      </c>
      <c r="AC329" s="192" t="str">
        <f ca="1">IF(Flag_Send_Data=1,_xll.DBSW(PL_Saisie_Estime2!AC329,Server&amp;Cube1,PL_Saisie_Estime2!$F$17,PL_Saisie_Estime2!$F$18,PL_Saisie_Estime2!$F$19,PL_Saisie_Estime2!$F$16,PL_Saisie_Estime2!$C$14,PL_Saisie_Estime2!$F$15,PL_Saisie_Estime2!$F$14,PL_Saisie_Estime2!$F$20,PL_Saisie_Estime2!AC$2,PL_Saisie_Estime2!AC$1,PL_Saisie_Estime2!$C329),"")</f>
        <v/>
      </c>
      <c r="AD329" s="192" t="str">
        <f ca="1">IF(Flag_Send_Data=1,_xll.DBSW(PL_Saisie_Estime2!AD329,Server&amp;Cube1,PL_Saisie_Estime2!$F$17,PL_Saisie_Estime2!$F$18,PL_Saisie_Estime2!$F$19,PL_Saisie_Estime2!$F$16,PL_Saisie_Estime2!$C$14,PL_Saisie_Estime2!$F$15,PL_Saisie_Estime2!$F$14,PL_Saisie_Estime2!$F$20,PL_Saisie_Estime2!AD$2,PL_Saisie_Estime2!AD$1,PL_Saisie_Estime2!$C329),"")</f>
        <v/>
      </c>
      <c r="AE329" s="192" t="str">
        <f ca="1">IF(Flag_Send_Data=1,_xll.DBSW(PL_Saisie_Estime2!AE329,Server&amp;Cube1,PL_Saisie_Estime2!$F$17,PL_Saisie_Estime2!$F$18,PL_Saisie_Estime2!$F$19,PL_Saisie_Estime2!$F$16,PL_Saisie_Estime2!$C$14,PL_Saisie_Estime2!$F$15,PL_Saisie_Estime2!$F$14,PL_Saisie_Estime2!$F$20,PL_Saisie_Estime2!AE$2,PL_Saisie_Estime2!AE$1,PL_Saisie_Estime2!$C329),"")</f>
        <v/>
      </c>
      <c r="AF329" s="204"/>
      <c r="AG329" s="53"/>
      <c r="AH329" s="53"/>
      <c r="AI329" s="53"/>
      <c r="AJ329" s="53"/>
      <c r="AK329" s="53"/>
      <c r="AL329" s="53"/>
      <c r="AM329" s="53"/>
      <c r="AN329" s="53"/>
      <c r="AO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:53" s="9" customFormat="1" ht="24" customHeight="1" x14ac:dyDescent="0.35">
      <c r="A330" s="181"/>
      <c r="B330" s="163"/>
      <c r="C330" s="158"/>
      <c r="E330" s="268"/>
      <c r="F330" s="268"/>
      <c r="G330" s="268"/>
      <c r="H330" s="40"/>
      <c r="I330" s="130"/>
      <c r="J330" s="130"/>
      <c r="K330" s="130"/>
      <c r="L330" s="130"/>
      <c r="M330" s="130"/>
      <c r="N330" s="126"/>
      <c r="O330" s="204"/>
      <c r="P330" s="126"/>
      <c r="Q330" s="124"/>
      <c r="R330" s="192"/>
      <c r="S330" s="126"/>
      <c r="T330" s="200"/>
      <c r="U330" s="200"/>
      <c r="V330" s="200"/>
      <c r="W330" s="200"/>
      <c r="X330" s="200"/>
      <c r="Y330" s="200"/>
      <c r="Z330" s="192" t="str">
        <f ca="1">IF(Flag_Send_Data=1,_xll.DBSW(PL_Saisie_Estime2!Z330,Server&amp;Cube1,PL_Saisie_Estime2!$F$17,PL_Saisie_Estime2!$F$18,PL_Saisie_Estime2!$F$19,PL_Saisie_Estime2!$F$16,PL_Saisie_Estime2!$C$14,PL_Saisie_Estime2!$F$15,PL_Saisie_Estime2!$F$14,PL_Saisie_Estime2!$F$20,PL_Saisie_Estime2!Z$2,PL_Saisie_Estime2!Z$1,PL_Saisie_Estime2!$C330),"")</f>
        <v/>
      </c>
      <c r="AA330" s="192" t="str">
        <f ca="1">IF(Flag_Send_Data=1,_xll.DBSW(PL_Saisie_Estime2!AA330,Server&amp;Cube1,PL_Saisie_Estime2!$F$17,PL_Saisie_Estime2!$F$18,PL_Saisie_Estime2!$F$19,PL_Saisie_Estime2!$F$16,PL_Saisie_Estime2!$C$14,PL_Saisie_Estime2!$F$15,PL_Saisie_Estime2!$F$14,PL_Saisie_Estime2!$F$20,PL_Saisie_Estime2!AA$2,PL_Saisie_Estime2!AA$1,PL_Saisie_Estime2!$C330),"")</f>
        <v/>
      </c>
      <c r="AB330" s="192" t="str">
        <f ca="1">IF(Flag_Send_Data=1,_xll.DBSW(PL_Saisie_Estime2!AB330,Server&amp;Cube1,PL_Saisie_Estime2!$F$17,PL_Saisie_Estime2!$F$18,PL_Saisie_Estime2!$F$19,PL_Saisie_Estime2!$F$16,PL_Saisie_Estime2!$C$14,PL_Saisie_Estime2!$F$15,PL_Saisie_Estime2!$F$14,PL_Saisie_Estime2!$F$20,PL_Saisie_Estime2!AB$2,PL_Saisie_Estime2!AB$1,PL_Saisie_Estime2!$C330),"")</f>
        <v/>
      </c>
      <c r="AC330" s="192" t="str">
        <f ca="1">IF(Flag_Send_Data=1,_xll.DBSW(PL_Saisie_Estime2!AC330,Server&amp;Cube1,PL_Saisie_Estime2!$F$17,PL_Saisie_Estime2!$F$18,PL_Saisie_Estime2!$F$19,PL_Saisie_Estime2!$F$16,PL_Saisie_Estime2!$C$14,PL_Saisie_Estime2!$F$15,PL_Saisie_Estime2!$F$14,PL_Saisie_Estime2!$F$20,PL_Saisie_Estime2!AC$2,PL_Saisie_Estime2!AC$1,PL_Saisie_Estime2!$C330),"")</f>
        <v/>
      </c>
      <c r="AD330" s="192" t="str">
        <f ca="1">IF(Flag_Send_Data=1,_xll.DBSW(PL_Saisie_Estime2!AD330,Server&amp;Cube1,PL_Saisie_Estime2!$F$17,PL_Saisie_Estime2!$F$18,PL_Saisie_Estime2!$F$19,PL_Saisie_Estime2!$F$16,PL_Saisie_Estime2!$C$14,PL_Saisie_Estime2!$F$15,PL_Saisie_Estime2!$F$14,PL_Saisie_Estime2!$F$20,PL_Saisie_Estime2!AD$2,PL_Saisie_Estime2!AD$1,PL_Saisie_Estime2!$C330),"")</f>
        <v/>
      </c>
      <c r="AE330" s="192" t="str">
        <f ca="1">IF(Flag_Send_Data=1,_xll.DBSW(PL_Saisie_Estime2!AE330,Server&amp;Cube1,PL_Saisie_Estime2!$F$17,PL_Saisie_Estime2!$F$18,PL_Saisie_Estime2!$F$19,PL_Saisie_Estime2!$F$16,PL_Saisie_Estime2!$C$14,PL_Saisie_Estime2!$F$15,PL_Saisie_Estime2!$F$14,PL_Saisie_Estime2!$F$20,PL_Saisie_Estime2!AE$2,PL_Saisie_Estime2!AE$1,PL_Saisie_Estime2!$C330),"")</f>
        <v/>
      </c>
      <c r="AF330" s="204"/>
      <c r="AG330" s="53"/>
      <c r="AH330" s="53"/>
      <c r="AI330" s="53"/>
      <c r="AJ330" s="53"/>
      <c r="AK330" s="53"/>
      <c r="AL330" s="53"/>
      <c r="AM330" s="53"/>
      <c r="AN330" s="53"/>
      <c r="AO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:53" s="9" customFormat="1" ht="24" customHeight="1" x14ac:dyDescent="0.35">
      <c r="A331" s="181"/>
      <c r="B331" s="163"/>
      <c r="C331" s="158"/>
      <c r="E331" s="268"/>
      <c r="F331" s="268"/>
      <c r="G331" s="268"/>
      <c r="H331" s="40"/>
      <c r="I331" s="130"/>
      <c r="J331" s="130"/>
      <c r="K331" s="130"/>
      <c r="L331" s="130"/>
      <c r="M331" s="130"/>
      <c r="N331" s="126"/>
      <c r="O331" s="204"/>
      <c r="P331" s="126"/>
      <c r="Q331" s="124"/>
      <c r="R331" s="192"/>
      <c r="S331" s="126"/>
      <c r="T331" s="200"/>
      <c r="U331" s="200"/>
      <c r="V331" s="200"/>
      <c r="W331" s="200"/>
      <c r="X331" s="200"/>
      <c r="Y331" s="200"/>
      <c r="Z331" s="192" t="str">
        <f ca="1">IF(Flag_Send_Data=1,_xll.DBSW(PL_Saisie_Estime2!Z331,Server&amp;Cube1,PL_Saisie_Estime2!$F$17,PL_Saisie_Estime2!$F$18,PL_Saisie_Estime2!$F$19,PL_Saisie_Estime2!$F$16,PL_Saisie_Estime2!$C$14,PL_Saisie_Estime2!$F$15,PL_Saisie_Estime2!$F$14,PL_Saisie_Estime2!$F$20,PL_Saisie_Estime2!Z$2,PL_Saisie_Estime2!Z$1,PL_Saisie_Estime2!$C331),"")</f>
        <v/>
      </c>
      <c r="AA331" s="192" t="str">
        <f ca="1">IF(Flag_Send_Data=1,_xll.DBSW(PL_Saisie_Estime2!AA331,Server&amp;Cube1,PL_Saisie_Estime2!$F$17,PL_Saisie_Estime2!$F$18,PL_Saisie_Estime2!$F$19,PL_Saisie_Estime2!$F$16,PL_Saisie_Estime2!$C$14,PL_Saisie_Estime2!$F$15,PL_Saisie_Estime2!$F$14,PL_Saisie_Estime2!$F$20,PL_Saisie_Estime2!AA$2,PL_Saisie_Estime2!AA$1,PL_Saisie_Estime2!$C331),"")</f>
        <v/>
      </c>
      <c r="AB331" s="192" t="str">
        <f ca="1">IF(Flag_Send_Data=1,_xll.DBSW(PL_Saisie_Estime2!AB331,Server&amp;Cube1,PL_Saisie_Estime2!$F$17,PL_Saisie_Estime2!$F$18,PL_Saisie_Estime2!$F$19,PL_Saisie_Estime2!$F$16,PL_Saisie_Estime2!$C$14,PL_Saisie_Estime2!$F$15,PL_Saisie_Estime2!$F$14,PL_Saisie_Estime2!$F$20,PL_Saisie_Estime2!AB$2,PL_Saisie_Estime2!AB$1,PL_Saisie_Estime2!$C331),"")</f>
        <v/>
      </c>
      <c r="AC331" s="192" t="str">
        <f ca="1">IF(Flag_Send_Data=1,_xll.DBSW(PL_Saisie_Estime2!AC331,Server&amp;Cube1,PL_Saisie_Estime2!$F$17,PL_Saisie_Estime2!$F$18,PL_Saisie_Estime2!$F$19,PL_Saisie_Estime2!$F$16,PL_Saisie_Estime2!$C$14,PL_Saisie_Estime2!$F$15,PL_Saisie_Estime2!$F$14,PL_Saisie_Estime2!$F$20,PL_Saisie_Estime2!AC$2,PL_Saisie_Estime2!AC$1,PL_Saisie_Estime2!$C331),"")</f>
        <v/>
      </c>
      <c r="AD331" s="192" t="str">
        <f ca="1">IF(Flag_Send_Data=1,_xll.DBSW(PL_Saisie_Estime2!AD331,Server&amp;Cube1,PL_Saisie_Estime2!$F$17,PL_Saisie_Estime2!$F$18,PL_Saisie_Estime2!$F$19,PL_Saisie_Estime2!$F$16,PL_Saisie_Estime2!$C$14,PL_Saisie_Estime2!$F$15,PL_Saisie_Estime2!$F$14,PL_Saisie_Estime2!$F$20,PL_Saisie_Estime2!AD$2,PL_Saisie_Estime2!AD$1,PL_Saisie_Estime2!$C331),"")</f>
        <v/>
      </c>
      <c r="AE331" s="192" t="str">
        <f ca="1">IF(Flag_Send_Data=1,_xll.DBSW(PL_Saisie_Estime2!AE331,Server&amp;Cube1,PL_Saisie_Estime2!$F$17,PL_Saisie_Estime2!$F$18,PL_Saisie_Estime2!$F$19,PL_Saisie_Estime2!$F$16,PL_Saisie_Estime2!$C$14,PL_Saisie_Estime2!$F$15,PL_Saisie_Estime2!$F$14,PL_Saisie_Estime2!$F$20,PL_Saisie_Estime2!AE$2,PL_Saisie_Estime2!AE$1,PL_Saisie_Estime2!$C331),"")</f>
        <v/>
      </c>
      <c r="AF331" s="204"/>
      <c r="AG331" s="53"/>
      <c r="AH331" s="53"/>
      <c r="AI331" s="53"/>
      <c r="AJ331" s="53"/>
      <c r="AK331" s="53"/>
      <c r="AL331" s="53"/>
      <c r="AM331" s="53"/>
      <c r="AN331" s="53"/>
      <c r="AO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:53" s="9" customFormat="1" ht="24" customHeight="1" x14ac:dyDescent="0.35">
      <c r="A332" s="181"/>
      <c r="B332" s="163"/>
      <c r="C332" s="158"/>
      <c r="E332" s="268"/>
      <c r="F332" s="268"/>
      <c r="G332" s="268"/>
      <c r="H332" s="40"/>
      <c r="I332" s="130"/>
      <c r="J332" s="130"/>
      <c r="K332" s="130"/>
      <c r="L332" s="130"/>
      <c r="M332" s="130"/>
      <c r="N332" s="126"/>
      <c r="O332" s="204"/>
      <c r="P332" s="126"/>
      <c r="Q332" s="124"/>
      <c r="R332" s="192"/>
      <c r="S332" s="126"/>
      <c r="T332" s="200"/>
      <c r="U332" s="200"/>
      <c r="V332" s="200"/>
      <c r="W332" s="200"/>
      <c r="X332" s="200"/>
      <c r="Y332" s="200"/>
      <c r="Z332" s="192" t="str">
        <f ca="1">IF(Flag_Send_Data=1,_xll.DBSW(PL_Saisie_Estime2!Z332,Server&amp;Cube1,PL_Saisie_Estime2!$F$17,PL_Saisie_Estime2!$F$18,PL_Saisie_Estime2!$F$19,PL_Saisie_Estime2!$F$16,PL_Saisie_Estime2!$C$14,PL_Saisie_Estime2!$F$15,PL_Saisie_Estime2!$F$14,PL_Saisie_Estime2!$F$20,PL_Saisie_Estime2!Z$2,PL_Saisie_Estime2!Z$1,PL_Saisie_Estime2!$C332),"")</f>
        <v/>
      </c>
      <c r="AA332" s="192" t="str">
        <f ca="1">IF(Flag_Send_Data=1,_xll.DBSW(PL_Saisie_Estime2!AA332,Server&amp;Cube1,PL_Saisie_Estime2!$F$17,PL_Saisie_Estime2!$F$18,PL_Saisie_Estime2!$F$19,PL_Saisie_Estime2!$F$16,PL_Saisie_Estime2!$C$14,PL_Saisie_Estime2!$F$15,PL_Saisie_Estime2!$F$14,PL_Saisie_Estime2!$F$20,PL_Saisie_Estime2!AA$2,PL_Saisie_Estime2!AA$1,PL_Saisie_Estime2!$C332),"")</f>
        <v/>
      </c>
      <c r="AB332" s="192" t="str">
        <f ca="1">IF(Flag_Send_Data=1,_xll.DBSW(PL_Saisie_Estime2!AB332,Server&amp;Cube1,PL_Saisie_Estime2!$F$17,PL_Saisie_Estime2!$F$18,PL_Saisie_Estime2!$F$19,PL_Saisie_Estime2!$F$16,PL_Saisie_Estime2!$C$14,PL_Saisie_Estime2!$F$15,PL_Saisie_Estime2!$F$14,PL_Saisie_Estime2!$F$20,PL_Saisie_Estime2!AB$2,PL_Saisie_Estime2!AB$1,PL_Saisie_Estime2!$C332),"")</f>
        <v/>
      </c>
      <c r="AC332" s="192" t="str">
        <f ca="1">IF(Flag_Send_Data=1,_xll.DBSW(PL_Saisie_Estime2!AC332,Server&amp;Cube1,PL_Saisie_Estime2!$F$17,PL_Saisie_Estime2!$F$18,PL_Saisie_Estime2!$F$19,PL_Saisie_Estime2!$F$16,PL_Saisie_Estime2!$C$14,PL_Saisie_Estime2!$F$15,PL_Saisie_Estime2!$F$14,PL_Saisie_Estime2!$F$20,PL_Saisie_Estime2!AC$2,PL_Saisie_Estime2!AC$1,PL_Saisie_Estime2!$C332),"")</f>
        <v/>
      </c>
      <c r="AD332" s="192" t="str">
        <f ca="1">IF(Flag_Send_Data=1,_xll.DBSW(PL_Saisie_Estime2!AD332,Server&amp;Cube1,PL_Saisie_Estime2!$F$17,PL_Saisie_Estime2!$F$18,PL_Saisie_Estime2!$F$19,PL_Saisie_Estime2!$F$16,PL_Saisie_Estime2!$C$14,PL_Saisie_Estime2!$F$15,PL_Saisie_Estime2!$F$14,PL_Saisie_Estime2!$F$20,PL_Saisie_Estime2!AD$2,PL_Saisie_Estime2!AD$1,PL_Saisie_Estime2!$C332),"")</f>
        <v/>
      </c>
      <c r="AE332" s="192" t="str">
        <f ca="1">IF(Flag_Send_Data=1,_xll.DBSW(PL_Saisie_Estime2!AE332,Server&amp;Cube1,PL_Saisie_Estime2!$F$17,PL_Saisie_Estime2!$F$18,PL_Saisie_Estime2!$F$19,PL_Saisie_Estime2!$F$16,PL_Saisie_Estime2!$C$14,PL_Saisie_Estime2!$F$15,PL_Saisie_Estime2!$F$14,PL_Saisie_Estime2!$F$20,PL_Saisie_Estime2!AE$2,PL_Saisie_Estime2!AE$1,PL_Saisie_Estime2!$C332),"")</f>
        <v/>
      </c>
      <c r="AF332" s="204"/>
      <c r="AG332" s="53"/>
      <c r="AH332" s="53"/>
      <c r="AI332" s="53"/>
      <c r="AJ332" s="53"/>
      <c r="AK332" s="53"/>
      <c r="AL332" s="53"/>
      <c r="AM332" s="53"/>
      <c r="AN332" s="53"/>
      <c r="AO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:53" s="9" customFormat="1" ht="24" customHeight="1" x14ac:dyDescent="0.35">
      <c r="A333" s="181"/>
      <c r="B333" s="163"/>
      <c r="C333" s="158"/>
      <c r="E333" s="268"/>
      <c r="F333" s="268"/>
      <c r="G333" s="268"/>
      <c r="H333" s="40"/>
      <c r="I333" s="130"/>
      <c r="J333" s="130"/>
      <c r="K333" s="130"/>
      <c r="L333" s="130"/>
      <c r="M333" s="130"/>
      <c r="N333" s="126"/>
      <c r="O333" s="204"/>
      <c r="P333" s="126"/>
      <c r="Q333" s="124"/>
      <c r="R333" s="192"/>
      <c r="S333" s="126"/>
      <c r="T333" s="200"/>
      <c r="U333" s="200"/>
      <c r="V333" s="200"/>
      <c r="W333" s="200"/>
      <c r="X333" s="200"/>
      <c r="Y333" s="200"/>
      <c r="Z333" s="192" t="str">
        <f ca="1">IF(Flag_Send_Data=1,_xll.DBSW(PL_Saisie_Estime2!Z333,Server&amp;Cube1,PL_Saisie_Estime2!$F$17,PL_Saisie_Estime2!$F$18,PL_Saisie_Estime2!$F$19,PL_Saisie_Estime2!$F$16,PL_Saisie_Estime2!$C$14,PL_Saisie_Estime2!$F$15,PL_Saisie_Estime2!$F$14,PL_Saisie_Estime2!$F$20,PL_Saisie_Estime2!Z$2,PL_Saisie_Estime2!Z$1,PL_Saisie_Estime2!$C333),"")</f>
        <v/>
      </c>
      <c r="AA333" s="192" t="str">
        <f ca="1">IF(Flag_Send_Data=1,_xll.DBSW(PL_Saisie_Estime2!AA333,Server&amp;Cube1,PL_Saisie_Estime2!$F$17,PL_Saisie_Estime2!$F$18,PL_Saisie_Estime2!$F$19,PL_Saisie_Estime2!$F$16,PL_Saisie_Estime2!$C$14,PL_Saisie_Estime2!$F$15,PL_Saisie_Estime2!$F$14,PL_Saisie_Estime2!$F$20,PL_Saisie_Estime2!AA$2,PL_Saisie_Estime2!AA$1,PL_Saisie_Estime2!$C333),"")</f>
        <v/>
      </c>
      <c r="AB333" s="192" t="str">
        <f ca="1">IF(Flag_Send_Data=1,_xll.DBSW(PL_Saisie_Estime2!AB333,Server&amp;Cube1,PL_Saisie_Estime2!$F$17,PL_Saisie_Estime2!$F$18,PL_Saisie_Estime2!$F$19,PL_Saisie_Estime2!$F$16,PL_Saisie_Estime2!$C$14,PL_Saisie_Estime2!$F$15,PL_Saisie_Estime2!$F$14,PL_Saisie_Estime2!$F$20,PL_Saisie_Estime2!AB$2,PL_Saisie_Estime2!AB$1,PL_Saisie_Estime2!$C333),"")</f>
        <v/>
      </c>
      <c r="AC333" s="192" t="str">
        <f ca="1">IF(Flag_Send_Data=1,_xll.DBSW(PL_Saisie_Estime2!AC333,Server&amp;Cube1,PL_Saisie_Estime2!$F$17,PL_Saisie_Estime2!$F$18,PL_Saisie_Estime2!$F$19,PL_Saisie_Estime2!$F$16,PL_Saisie_Estime2!$C$14,PL_Saisie_Estime2!$F$15,PL_Saisie_Estime2!$F$14,PL_Saisie_Estime2!$F$20,PL_Saisie_Estime2!AC$2,PL_Saisie_Estime2!AC$1,PL_Saisie_Estime2!$C333),"")</f>
        <v/>
      </c>
      <c r="AD333" s="192" t="str">
        <f ca="1">IF(Flag_Send_Data=1,_xll.DBSW(PL_Saisie_Estime2!AD333,Server&amp;Cube1,PL_Saisie_Estime2!$F$17,PL_Saisie_Estime2!$F$18,PL_Saisie_Estime2!$F$19,PL_Saisie_Estime2!$F$16,PL_Saisie_Estime2!$C$14,PL_Saisie_Estime2!$F$15,PL_Saisie_Estime2!$F$14,PL_Saisie_Estime2!$F$20,PL_Saisie_Estime2!AD$2,PL_Saisie_Estime2!AD$1,PL_Saisie_Estime2!$C333),"")</f>
        <v/>
      </c>
      <c r="AE333" s="192" t="str">
        <f ca="1">IF(Flag_Send_Data=1,_xll.DBSW(PL_Saisie_Estime2!AE333,Server&amp;Cube1,PL_Saisie_Estime2!$F$17,PL_Saisie_Estime2!$F$18,PL_Saisie_Estime2!$F$19,PL_Saisie_Estime2!$F$16,PL_Saisie_Estime2!$C$14,PL_Saisie_Estime2!$F$15,PL_Saisie_Estime2!$F$14,PL_Saisie_Estime2!$F$20,PL_Saisie_Estime2!AE$2,PL_Saisie_Estime2!AE$1,PL_Saisie_Estime2!$C333),"")</f>
        <v/>
      </c>
      <c r="AF333" s="204"/>
      <c r="AG333" s="53"/>
      <c r="AH333" s="53"/>
      <c r="AI333" s="53"/>
      <c r="AJ333" s="53"/>
      <c r="AK333" s="53"/>
      <c r="AL333" s="53"/>
      <c r="AM333" s="53"/>
      <c r="AN333" s="53"/>
      <c r="AO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:53" s="9" customFormat="1" ht="24" customHeight="1" x14ac:dyDescent="0.35">
      <c r="A334" s="181"/>
      <c r="B334" s="163"/>
      <c r="C334" s="158"/>
      <c r="E334" s="268"/>
      <c r="F334" s="268"/>
      <c r="G334" s="268"/>
      <c r="H334" s="40"/>
      <c r="I334" s="130"/>
      <c r="J334" s="130"/>
      <c r="K334" s="130"/>
      <c r="L334" s="130"/>
      <c r="M334" s="130"/>
      <c r="N334" s="126"/>
      <c r="O334" s="204"/>
      <c r="P334" s="126"/>
      <c r="Q334" s="124"/>
      <c r="R334" s="192"/>
      <c r="S334" s="126"/>
      <c r="T334" s="200"/>
      <c r="U334" s="200"/>
      <c r="V334" s="200"/>
      <c r="W334" s="200"/>
      <c r="X334" s="200"/>
      <c r="Y334" s="200"/>
      <c r="Z334" s="192" t="str">
        <f ca="1">IF(Flag_Send_Data=1,_xll.DBSW(PL_Saisie_Estime2!Z334,Server&amp;Cube1,PL_Saisie_Estime2!$F$17,PL_Saisie_Estime2!$F$18,PL_Saisie_Estime2!$F$19,PL_Saisie_Estime2!$F$16,PL_Saisie_Estime2!$C$14,PL_Saisie_Estime2!$F$15,PL_Saisie_Estime2!$F$14,PL_Saisie_Estime2!$F$20,PL_Saisie_Estime2!Z$2,PL_Saisie_Estime2!Z$1,PL_Saisie_Estime2!$C334),"")</f>
        <v/>
      </c>
      <c r="AA334" s="192" t="str">
        <f ca="1">IF(Flag_Send_Data=1,_xll.DBSW(PL_Saisie_Estime2!AA334,Server&amp;Cube1,PL_Saisie_Estime2!$F$17,PL_Saisie_Estime2!$F$18,PL_Saisie_Estime2!$F$19,PL_Saisie_Estime2!$F$16,PL_Saisie_Estime2!$C$14,PL_Saisie_Estime2!$F$15,PL_Saisie_Estime2!$F$14,PL_Saisie_Estime2!$F$20,PL_Saisie_Estime2!AA$2,PL_Saisie_Estime2!AA$1,PL_Saisie_Estime2!$C334),"")</f>
        <v/>
      </c>
      <c r="AB334" s="192" t="str">
        <f ca="1">IF(Flag_Send_Data=1,_xll.DBSW(PL_Saisie_Estime2!AB334,Server&amp;Cube1,PL_Saisie_Estime2!$F$17,PL_Saisie_Estime2!$F$18,PL_Saisie_Estime2!$F$19,PL_Saisie_Estime2!$F$16,PL_Saisie_Estime2!$C$14,PL_Saisie_Estime2!$F$15,PL_Saisie_Estime2!$F$14,PL_Saisie_Estime2!$F$20,PL_Saisie_Estime2!AB$2,PL_Saisie_Estime2!AB$1,PL_Saisie_Estime2!$C334),"")</f>
        <v/>
      </c>
      <c r="AC334" s="192" t="str">
        <f ca="1">IF(Flag_Send_Data=1,_xll.DBSW(PL_Saisie_Estime2!AC334,Server&amp;Cube1,PL_Saisie_Estime2!$F$17,PL_Saisie_Estime2!$F$18,PL_Saisie_Estime2!$F$19,PL_Saisie_Estime2!$F$16,PL_Saisie_Estime2!$C$14,PL_Saisie_Estime2!$F$15,PL_Saisie_Estime2!$F$14,PL_Saisie_Estime2!$F$20,PL_Saisie_Estime2!AC$2,PL_Saisie_Estime2!AC$1,PL_Saisie_Estime2!$C334),"")</f>
        <v/>
      </c>
      <c r="AD334" s="192" t="str">
        <f ca="1">IF(Flag_Send_Data=1,_xll.DBSW(PL_Saisie_Estime2!AD334,Server&amp;Cube1,PL_Saisie_Estime2!$F$17,PL_Saisie_Estime2!$F$18,PL_Saisie_Estime2!$F$19,PL_Saisie_Estime2!$F$16,PL_Saisie_Estime2!$C$14,PL_Saisie_Estime2!$F$15,PL_Saisie_Estime2!$F$14,PL_Saisie_Estime2!$F$20,PL_Saisie_Estime2!AD$2,PL_Saisie_Estime2!AD$1,PL_Saisie_Estime2!$C334),"")</f>
        <v/>
      </c>
      <c r="AE334" s="192" t="str">
        <f ca="1">IF(Flag_Send_Data=1,_xll.DBSW(PL_Saisie_Estime2!AE334,Server&amp;Cube1,PL_Saisie_Estime2!$F$17,PL_Saisie_Estime2!$F$18,PL_Saisie_Estime2!$F$19,PL_Saisie_Estime2!$F$16,PL_Saisie_Estime2!$C$14,PL_Saisie_Estime2!$F$15,PL_Saisie_Estime2!$F$14,PL_Saisie_Estime2!$F$20,PL_Saisie_Estime2!AE$2,PL_Saisie_Estime2!AE$1,PL_Saisie_Estime2!$C334),"")</f>
        <v/>
      </c>
      <c r="AF334" s="204"/>
      <c r="AG334" s="53"/>
      <c r="AH334" s="53"/>
      <c r="AI334" s="53"/>
      <c r="AJ334" s="53"/>
      <c r="AK334" s="53"/>
      <c r="AL334" s="53"/>
      <c r="AM334" s="53"/>
      <c r="AN334" s="53"/>
      <c r="AO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:53" s="9" customFormat="1" ht="24" customHeight="1" x14ac:dyDescent="0.35">
      <c r="A335" s="181"/>
      <c r="B335" s="163"/>
      <c r="C335" s="158"/>
      <c r="E335" s="268"/>
      <c r="F335" s="268"/>
      <c r="G335" s="268"/>
      <c r="H335" s="40"/>
      <c r="I335" s="130"/>
      <c r="J335" s="130"/>
      <c r="K335" s="130"/>
      <c r="L335" s="130"/>
      <c r="M335" s="130"/>
      <c r="N335" s="126"/>
      <c r="O335" s="204"/>
      <c r="P335" s="126"/>
      <c r="Q335" s="124"/>
      <c r="R335" s="192"/>
      <c r="S335" s="126"/>
      <c r="T335" s="200"/>
      <c r="U335" s="200"/>
      <c r="V335" s="200"/>
      <c r="W335" s="200"/>
      <c r="X335" s="200"/>
      <c r="Y335" s="200"/>
      <c r="Z335" s="192" t="str">
        <f ca="1">IF(Flag_Send_Data=1,_xll.DBSW(PL_Saisie_Estime2!Z335,Server&amp;Cube1,PL_Saisie_Estime2!$F$17,PL_Saisie_Estime2!$F$18,PL_Saisie_Estime2!$F$19,PL_Saisie_Estime2!$F$16,PL_Saisie_Estime2!$C$14,PL_Saisie_Estime2!$F$15,PL_Saisie_Estime2!$F$14,PL_Saisie_Estime2!$F$20,PL_Saisie_Estime2!Z$2,PL_Saisie_Estime2!Z$1,PL_Saisie_Estime2!$C335),"")</f>
        <v/>
      </c>
      <c r="AA335" s="192" t="str">
        <f ca="1">IF(Flag_Send_Data=1,_xll.DBSW(PL_Saisie_Estime2!AA335,Server&amp;Cube1,PL_Saisie_Estime2!$F$17,PL_Saisie_Estime2!$F$18,PL_Saisie_Estime2!$F$19,PL_Saisie_Estime2!$F$16,PL_Saisie_Estime2!$C$14,PL_Saisie_Estime2!$F$15,PL_Saisie_Estime2!$F$14,PL_Saisie_Estime2!$F$20,PL_Saisie_Estime2!AA$2,PL_Saisie_Estime2!AA$1,PL_Saisie_Estime2!$C335),"")</f>
        <v/>
      </c>
      <c r="AB335" s="192" t="str">
        <f ca="1">IF(Flag_Send_Data=1,_xll.DBSW(PL_Saisie_Estime2!AB335,Server&amp;Cube1,PL_Saisie_Estime2!$F$17,PL_Saisie_Estime2!$F$18,PL_Saisie_Estime2!$F$19,PL_Saisie_Estime2!$F$16,PL_Saisie_Estime2!$C$14,PL_Saisie_Estime2!$F$15,PL_Saisie_Estime2!$F$14,PL_Saisie_Estime2!$F$20,PL_Saisie_Estime2!AB$2,PL_Saisie_Estime2!AB$1,PL_Saisie_Estime2!$C335),"")</f>
        <v/>
      </c>
      <c r="AC335" s="192" t="str">
        <f ca="1">IF(Flag_Send_Data=1,_xll.DBSW(PL_Saisie_Estime2!AC335,Server&amp;Cube1,PL_Saisie_Estime2!$F$17,PL_Saisie_Estime2!$F$18,PL_Saisie_Estime2!$F$19,PL_Saisie_Estime2!$F$16,PL_Saisie_Estime2!$C$14,PL_Saisie_Estime2!$F$15,PL_Saisie_Estime2!$F$14,PL_Saisie_Estime2!$F$20,PL_Saisie_Estime2!AC$2,PL_Saisie_Estime2!AC$1,PL_Saisie_Estime2!$C335),"")</f>
        <v/>
      </c>
      <c r="AD335" s="192" t="str">
        <f ca="1">IF(Flag_Send_Data=1,_xll.DBSW(PL_Saisie_Estime2!AD335,Server&amp;Cube1,PL_Saisie_Estime2!$F$17,PL_Saisie_Estime2!$F$18,PL_Saisie_Estime2!$F$19,PL_Saisie_Estime2!$F$16,PL_Saisie_Estime2!$C$14,PL_Saisie_Estime2!$F$15,PL_Saisie_Estime2!$F$14,PL_Saisie_Estime2!$F$20,PL_Saisie_Estime2!AD$2,PL_Saisie_Estime2!AD$1,PL_Saisie_Estime2!$C335),"")</f>
        <v/>
      </c>
      <c r="AE335" s="192" t="str">
        <f ca="1">IF(Flag_Send_Data=1,_xll.DBSW(PL_Saisie_Estime2!AE335,Server&amp;Cube1,PL_Saisie_Estime2!$F$17,PL_Saisie_Estime2!$F$18,PL_Saisie_Estime2!$F$19,PL_Saisie_Estime2!$F$16,PL_Saisie_Estime2!$C$14,PL_Saisie_Estime2!$F$15,PL_Saisie_Estime2!$F$14,PL_Saisie_Estime2!$F$20,PL_Saisie_Estime2!AE$2,PL_Saisie_Estime2!AE$1,PL_Saisie_Estime2!$C335),"")</f>
        <v/>
      </c>
      <c r="AF335" s="204"/>
      <c r="AG335" s="53"/>
      <c r="AH335" s="53"/>
      <c r="AI335" s="53"/>
      <c r="AJ335" s="53"/>
      <c r="AK335" s="53"/>
      <c r="AL335" s="53"/>
      <c r="AM335" s="53"/>
      <c r="AN335" s="53"/>
      <c r="AO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:53" s="9" customFormat="1" ht="24" customHeight="1" x14ac:dyDescent="0.35">
      <c r="A336" s="181"/>
      <c r="B336" s="163"/>
      <c r="C336" s="158"/>
      <c r="E336" s="268"/>
      <c r="F336" s="268"/>
      <c r="G336" s="268"/>
      <c r="H336" s="40"/>
      <c r="I336" s="130"/>
      <c r="J336" s="130"/>
      <c r="K336" s="130"/>
      <c r="L336" s="130"/>
      <c r="M336" s="130"/>
      <c r="N336" s="126"/>
      <c r="O336" s="204"/>
      <c r="P336" s="126"/>
      <c r="Q336" s="124"/>
      <c r="R336" s="192"/>
      <c r="S336" s="126"/>
      <c r="T336" s="200"/>
      <c r="U336" s="200"/>
      <c r="V336" s="200"/>
      <c r="W336" s="200"/>
      <c r="X336" s="200"/>
      <c r="Y336" s="200"/>
      <c r="Z336" s="192" t="str">
        <f ca="1">IF(Flag_Send_Data=1,_xll.DBSW(PL_Saisie_Estime2!Z336,Server&amp;Cube1,PL_Saisie_Estime2!$F$17,PL_Saisie_Estime2!$F$18,PL_Saisie_Estime2!$F$19,PL_Saisie_Estime2!$F$16,PL_Saisie_Estime2!$C$14,PL_Saisie_Estime2!$F$15,PL_Saisie_Estime2!$F$14,PL_Saisie_Estime2!$F$20,PL_Saisie_Estime2!Z$2,PL_Saisie_Estime2!Z$1,PL_Saisie_Estime2!$C336),"")</f>
        <v/>
      </c>
      <c r="AA336" s="192" t="str">
        <f ca="1">IF(Flag_Send_Data=1,_xll.DBSW(PL_Saisie_Estime2!AA336,Server&amp;Cube1,PL_Saisie_Estime2!$F$17,PL_Saisie_Estime2!$F$18,PL_Saisie_Estime2!$F$19,PL_Saisie_Estime2!$F$16,PL_Saisie_Estime2!$C$14,PL_Saisie_Estime2!$F$15,PL_Saisie_Estime2!$F$14,PL_Saisie_Estime2!$F$20,PL_Saisie_Estime2!AA$2,PL_Saisie_Estime2!AA$1,PL_Saisie_Estime2!$C336),"")</f>
        <v/>
      </c>
      <c r="AB336" s="192" t="str">
        <f ca="1">IF(Flag_Send_Data=1,_xll.DBSW(PL_Saisie_Estime2!AB336,Server&amp;Cube1,PL_Saisie_Estime2!$F$17,PL_Saisie_Estime2!$F$18,PL_Saisie_Estime2!$F$19,PL_Saisie_Estime2!$F$16,PL_Saisie_Estime2!$C$14,PL_Saisie_Estime2!$F$15,PL_Saisie_Estime2!$F$14,PL_Saisie_Estime2!$F$20,PL_Saisie_Estime2!AB$2,PL_Saisie_Estime2!AB$1,PL_Saisie_Estime2!$C336),"")</f>
        <v/>
      </c>
      <c r="AC336" s="192" t="str">
        <f ca="1">IF(Flag_Send_Data=1,_xll.DBSW(PL_Saisie_Estime2!AC336,Server&amp;Cube1,PL_Saisie_Estime2!$F$17,PL_Saisie_Estime2!$F$18,PL_Saisie_Estime2!$F$19,PL_Saisie_Estime2!$F$16,PL_Saisie_Estime2!$C$14,PL_Saisie_Estime2!$F$15,PL_Saisie_Estime2!$F$14,PL_Saisie_Estime2!$F$20,PL_Saisie_Estime2!AC$2,PL_Saisie_Estime2!AC$1,PL_Saisie_Estime2!$C336),"")</f>
        <v/>
      </c>
      <c r="AD336" s="192" t="str">
        <f ca="1">IF(Flag_Send_Data=1,_xll.DBSW(PL_Saisie_Estime2!AD336,Server&amp;Cube1,PL_Saisie_Estime2!$F$17,PL_Saisie_Estime2!$F$18,PL_Saisie_Estime2!$F$19,PL_Saisie_Estime2!$F$16,PL_Saisie_Estime2!$C$14,PL_Saisie_Estime2!$F$15,PL_Saisie_Estime2!$F$14,PL_Saisie_Estime2!$F$20,PL_Saisie_Estime2!AD$2,PL_Saisie_Estime2!AD$1,PL_Saisie_Estime2!$C336),"")</f>
        <v/>
      </c>
      <c r="AE336" s="192" t="str">
        <f ca="1">IF(Flag_Send_Data=1,_xll.DBSW(PL_Saisie_Estime2!AE336,Server&amp;Cube1,PL_Saisie_Estime2!$F$17,PL_Saisie_Estime2!$F$18,PL_Saisie_Estime2!$F$19,PL_Saisie_Estime2!$F$16,PL_Saisie_Estime2!$C$14,PL_Saisie_Estime2!$F$15,PL_Saisie_Estime2!$F$14,PL_Saisie_Estime2!$F$20,PL_Saisie_Estime2!AE$2,PL_Saisie_Estime2!AE$1,PL_Saisie_Estime2!$C336),"")</f>
        <v/>
      </c>
      <c r="AF336" s="204"/>
      <c r="AG336" s="53"/>
      <c r="AH336" s="53"/>
      <c r="AI336" s="53"/>
      <c r="AJ336" s="53"/>
      <c r="AK336" s="53"/>
      <c r="AL336" s="53"/>
      <c r="AM336" s="53"/>
      <c r="AN336" s="53"/>
      <c r="AO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:53" s="9" customFormat="1" ht="24" customHeight="1" x14ac:dyDescent="0.35">
      <c r="A337" s="181"/>
      <c r="B337" s="163"/>
      <c r="C337" s="158"/>
      <c r="E337" s="268"/>
      <c r="F337" s="268"/>
      <c r="G337" s="268"/>
      <c r="H337" s="40"/>
      <c r="I337" s="130"/>
      <c r="J337" s="130"/>
      <c r="K337" s="130"/>
      <c r="L337" s="130"/>
      <c r="M337" s="130"/>
      <c r="N337" s="126"/>
      <c r="O337" s="204"/>
      <c r="P337" s="126"/>
      <c r="Q337" s="124"/>
      <c r="R337" s="192"/>
      <c r="S337" s="126"/>
      <c r="T337" s="200"/>
      <c r="U337" s="200"/>
      <c r="V337" s="200"/>
      <c r="W337" s="200"/>
      <c r="X337" s="200"/>
      <c r="Y337" s="200"/>
      <c r="Z337" s="192" t="str">
        <f ca="1">IF(Flag_Send_Data=1,_xll.DBSW(PL_Saisie_Estime2!Z337,Server&amp;Cube1,PL_Saisie_Estime2!$F$17,PL_Saisie_Estime2!$F$18,PL_Saisie_Estime2!$F$19,PL_Saisie_Estime2!$F$16,PL_Saisie_Estime2!$C$14,PL_Saisie_Estime2!$F$15,PL_Saisie_Estime2!$F$14,PL_Saisie_Estime2!$F$20,PL_Saisie_Estime2!Z$2,PL_Saisie_Estime2!Z$1,PL_Saisie_Estime2!$C337),"")</f>
        <v/>
      </c>
      <c r="AA337" s="192" t="str">
        <f ca="1">IF(Flag_Send_Data=1,_xll.DBSW(PL_Saisie_Estime2!AA337,Server&amp;Cube1,PL_Saisie_Estime2!$F$17,PL_Saisie_Estime2!$F$18,PL_Saisie_Estime2!$F$19,PL_Saisie_Estime2!$F$16,PL_Saisie_Estime2!$C$14,PL_Saisie_Estime2!$F$15,PL_Saisie_Estime2!$F$14,PL_Saisie_Estime2!$F$20,PL_Saisie_Estime2!AA$2,PL_Saisie_Estime2!AA$1,PL_Saisie_Estime2!$C337),"")</f>
        <v/>
      </c>
      <c r="AB337" s="192" t="str">
        <f ca="1">IF(Flag_Send_Data=1,_xll.DBSW(PL_Saisie_Estime2!AB337,Server&amp;Cube1,PL_Saisie_Estime2!$F$17,PL_Saisie_Estime2!$F$18,PL_Saisie_Estime2!$F$19,PL_Saisie_Estime2!$F$16,PL_Saisie_Estime2!$C$14,PL_Saisie_Estime2!$F$15,PL_Saisie_Estime2!$F$14,PL_Saisie_Estime2!$F$20,PL_Saisie_Estime2!AB$2,PL_Saisie_Estime2!AB$1,PL_Saisie_Estime2!$C337),"")</f>
        <v/>
      </c>
      <c r="AC337" s="192" t="str">
        <f ca="1">IF(Flag_Send_Data=1,_xll.DBSW(PL_Saisie_Estime2!AC337,Server&amp;Cube1,PL_Saisie_Estime2!$F$17,PL_Saisie_Estime2!$F$18,PL_Saisie_Estime2!$F$19,PL_Saisie_Estime2!$F$16,PL_Saisie_Estime2!$C$14,PL_Saisie_Estime2!$F$15,PL_Saisie_Estime2!$F$14,PL_Saisie_Estime2!$F$20,PL_Saisie_Estime2!AC$2,PL_Saisie_Estime2!AC$1,PL_Saisie_Estime2!$C337),"")</f>
        <v/>
      </c>
      <c r="AD337" s="192" t="str">
        <f ca="1">IF(Flag_Send_Data=1,_xll.DBSW(PL_Saisie_Estime2!AD337,Server&amp;Cube1,PL_Saisie_Estime2!$F$17,PL_Saisie_Estime2!$F$18,PL_Saisie_Estime2!$F$19,PL_Saisie_Estime2!$F$16,PL_Saisie_Estime2!$C$14,PL_Saisie_Estime2!$F$15,PL_Saisie_Estime2!$F$14,PL_Saisie_Estime2!$F$20,PL_Saisie_Estime2!AD$2,PL_Saisie_Estime2!AD$1,PL_Saisie_Estime2!$C337),"")</f>
        <v/>
      </c>
      <c r="AE337" s="192" t="str">
        <f ca="1">IF(Flag_Send_Data=1,_xll.DBSW(PL_Saisie_Estime2!AE337,Server&amp;Cube1,PL_Saisie_Estime2!$F$17,PL_Saisie_Estime2!$F$18,PL_Saisie_Estime2!$F$19,PL_Saisie_Estime2!$F$16,PL_Saisie_Estime2!$C$14,PL_Saisie_Estime2!$F$15,PL_Saisie_Estime2!$F$14,PL_Saisie_Estime2!$F$20,PL_Saisie_Estime2!AE$2,PL_Saisie_Estime2!AE$1,PL_Saisie_Estime2!$C337),"")</f>
        <v/>
      </c>
      <c r="AF337" s="204"/>
      <c r="AG337" s="53"/>
      <c r="AH337" s="53"/>
      <c r="AI337" s="53"/>
      <c r="AJ337" s="53"/>
      <c r="AK337" s="53"/>
      <c r="AL337" s="53"/>
      <c r="AM337" s="53"/>
      <c r="AN337" s="53"/>
      <c r="AO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:53" s="9" customFormat="1" ht="24" customHeight="1" x14ac:dyDescent="0.35">
      <c r="A338" s="181"/>
      <c r="B338" s="163"/>
      <c r="C338" s="158"/>
      <c r="E338" s="268"/>
      <c r="F338" s="268"/>
      <c r="G338" s="268"/>
      <c r="H338" s="40"/>
      <c r="I338" s="130"/>
      <c r="J338" s="130"/>
      <c r="K338" s="130"/>
      <c r="L338" s="130"/>
      <c r="M338" s="130"/>
      <c r="N338" s="126"/>
      <c r="O338" s="204"/>
      <c r="P338" s="126"/>
      <c r="Q338" s="124"/>
      <c r="R338" s="192"/>
      <c r="S338" s="126"/>
      <c r="T338" s="200"/>
      <c r="U338" s="200"/>
      <c r="V338" s="200"/>
      <c r="W338" s="200"/>
      <c r="X338" s="200"/>
      <c r="Y338" s="200"/>
      <c r="Z338" s="192" t="str">
        <f ca="1">IF(Flag_Send_Data=1,_xll.DBSW(PL_Saisie_Estime2!Z338,Server&amp;Cube1,PL_Saisie_Estime2!$F$17,PL_Saisie_Estime2!$F$18,PL_Saisie_Estime2!$F$19,PL_Saisie_Estime2!$F$16,PL_Saisie_Estime2!$C$14,PL_Saisie_Estime2!$F$15,PL_Saisie_Estime2!$F$14,PL_Saisie_Estime2!$F$20,PL_Saisie_Estime2!Z$2,PL_Saisie_Estime2!Z$1,PL_Saisie_Estime2!$C338),"")</f>
        <v/>
      </c>
      <c r="AA338" s="192" t="str">
        <f ca="1">IF(Flag_Send_Data=1,_xll.DBSW(PL_Saisie_Estime2!AA338,Server&amp;Cube1,PL_Saisie_Estime2!$F$17,PL_Saisie_Estime2!$F$18,PL_Saisie_Estime2!$F$19,PL_Saisie_Estime2!$F$16,PL_Saisie_Estime2!$C$14,PL_Saisie_Estime2!$F$15,PL_Saisie_Estime2!$F$14,PL_Saisie_Estime2!$F$20,PL_Saisie_Estime2!AA$2,PL_Saisie_Estime2!AA$1,PL_Saisie_Estime2!$C338),"")</f>
        <v/>
      </c>
      <c r="AB338" s="192" t="str">
        <f ca="1">IF(Flag_Send_Data=1,_xll.DBSW(PL_Saisie_Estime2!AB338,Server&amp;Cube1,PL_Saisie_Estime2!$F$17,PL_Saisie_Estime2!$F$18,PL_Saisie_Estime2!$F$19,PL_Saisie_Estime2!$F$16,PL_Saisie_Estime2!$C$14,PL_Saisie_Estime2!$F$15,PL_Saisie_Estime2!$F$14,PL_Saisie_Estime2!$F$20,PL_Saisie_Estime2!AB$2,PL_Saisie_Estime2!AB$1,PL_Saisie_Estime2!$C338),"")</f>
        <v/>
      </c>
      <c r="AC338" s="192" t="str">
        <f ca="1">IF(Flag_Send_Data=1,_xll.DBSW(PL_Saisie_Estime2!AC338,Server&amp;Cube1,PL_Saisie_Estime2!$F$17,PL_Saisie_Estime2!$F$18,PL_Saisie_Estime2!$F$19,PL_Saisie_Estime2!$F$16,PL_Saisie_Estime2!$C$14,PL_Saisie_Estime2!$F$15,PL_Saisie_Estime2!$F$14,PL_Saisie_Estime2!$F$20,PL_Saisie_Estime2!AC$2,PL_Saisie_Estime2!AC$1,PL_Saisie_Estime2!$C338),"")</f>
        <v/>
      </c>
      <c r="AD338" s="192" t="str">
        <f ca="1">IF(Flag_Send_Data=1,_xll.DBSW(PL_Saisie_Estime2!AD338,Server&amp;Cube1,PL_Saisie_Estime2!$F$17,PL_Saisie_Estime2!$F$18,PL_Saisie_Estime2!$F$19,PL_Saisie_Estime2!$F$16,PL_Saisie_Estime2!$C$14,PL_Saisie_Estime2!$F$15,PL_Saisie_Estime2!$F$14,PL_Saisie_Estime2!$F$20,PL_Saisie_Estime2!AD$2,PL_Saisie_Estime2!AD$1,PL_Saisie_Estime2!$C338),"")</f>
        <v/>
      </c>
      <c r="AE338" s="192" t="str">
        <f ca="1">IF(Flag_Send_Data=1,_xll.DBSW(PL_Saisie_Estime2!AE338,Server&amp;Cube1,PL_Saisie_Estime2!$F$17,PL_Saisie_Estime2!$F$18,PL_Saisie_Estime2!$F$19,PL_Saisie_Estime2!$F$16,PL_Saisie_Estime2!$C$14,PL_Saisie_Estime2!$F$15,PL_Saisie_Estime2!$F$14,PL_Saisie_Estime2!$F$20,PL_Saisie_Estime2!AE$2,PL_Saisie_Estime2!AE$1,PL_Saisie_Estime2!$C338),"")</f>
        <v/>
      </c>
      <c r="AF338" s="204"/>
      <c r="AG338" s="53"/>
      <c r="AH338" s="53"/>
      <c r="AI338" s="53"/>
      <c r="AJ338" s="53"/>
      <c r="AK338" s="53"/>
      <c r="AL338" s="53"/>
      <c r="AM338" s="53"/>
      <c r="AN338" s="53"/>
      <c r="AO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:53" s="9" customFormat="1" ht="24" customHeight="1" x14ac:dyDescent="0.35">
      <c r="A339" s="181"/>
      <c r="B339" s="163"/>
      <c r="C339" s="117"/>
      <c r="E339" s="270"/>
      <c r="F339" s="270"/>
      <c r="G339" s="270"/>
      <c r="H339" s="40"/>
      <c r="I339" s="130"/>
      <c r="J339" s="130"/>
      <c r="K339" s="130"/>
      <c r="L339" s="130"/>
      <c r="M339" s="130"/>
      <c r="N339" s="125"/>
      <c r="O339" s="125"/>
      <c r="P339" s="125"/>
      <c r="Q339" s="124"/>
      <c r="R339" s="125"/>
      <c r="S339" s="125"/>
      <c r="T339" s="201"/>
      <c r="U339" s="201"/>
      <c r="V339" s="201"/>
      <c r="W339" s="201"/>
      <c r="X339" s="125"/>
      <c r="Y339" s="125"/>
      <c r="Z339" s="125"/>
      <c r="AA339" s="125"/>
      <c r="AB339" s="125"/>
      <c r="AC339" s="125"/>
      <c r="AD339" s="125"/>
      <c r="AE339" s="125"/>
      <c r="AF339" s="125"/>
      <c r="AG339" s="53"/>
      <c r="AH339" s="53"/>
      <c r="AI339" s="53"/>
      <c r="AJ339" s="53"/>
      <c r="AK339" s="53"/>
      <c r="AL339" s="53"/>
      <c r="AM339" s="53"/>
      <c r="AN339" s="53"/>
      <c r="AO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:53" s="9" customFormat="1" ht="24" customHeight="1" x14ac:dyDescent="0.35">
      <c r="A340" s="181"/>
      <c r="B340" s="163"/>
      <c r="C340" s="158"/>
      <c r="E340" s="268"/>
      <c r="F340" s="268"/>
      <c r="G340" s="268"/>
      <c r="H340" s="40"/>
      <c r="I340" s="130"/>
      <c r="J340" s="130"/>
      <c r="K340" s="130"/>
      <c r="L340" s="130"/>
      <c r="M340" s="130"/>
      <c r="N340" s="126"/>
      <c r="O340" s="204"/>
      <c r="P340" s="126"/>
      <c r="Q340" s="124"/>
      <c r="R340" s="192"/>
      <c r="S340" s="126"/>
      <c r="T340" s="200"/>
      <c r="U340" s="200"/>
      <c r="V340" s="200"/>
      <c r="W340" s="200"/>
      <c r="X340" s="200"/>
      <c r="Y340" s="200"/>
      <c r="Z340" s="192" t="str">
        <f ca="1">IF(Flag_Send_Data=1,_xll.DBSW(PL_Saisie_Estime2!Z340,Server&amp;Cube1,PL_Saisie_Estime2!$F$17,PL_Saisie_Estime2!$F$18,PL_Saisie_Estime2!$F$19,PL_Saisie_Estime2!$F$16,PL_Saisie_Estime2!$C$14,PL_Saisie_Estime2!$F$15,PL_Saisie_Estime2!$F$14,PL_Saisie_Estime2!$F$20,PL_Saisie_Estime2!Z$2,PL_Saisie_Estime2!Z$1,PL_Saisie_Estime2!$C340),"")</f>
        <v/>
      </c>
      <c r="AA340" s="192" t="str">
        <f ca="1">IF(Flag_Send_Data=1,_xll.DBSW(PL_Saisie_Estime2!AA340,Server&amp;Cube1,PL_Saisie_Estime2!$F$17,PL_Saisie_Estime2!$F$18,PL_Saisie_Estime2!$F$19,PL_Saisie_Estime2!$F$16,PL_Saisie_Estime2!$C$14,PL_Saisie_Estime2!$F$15,PL_Saisie_Estime2!$F$14,PL_Saisie_Estime2!$F$20,PL_Saisie_Estime2!AA$2,PL_Saisie_Estime2!AA$1,PL_Saisie_Estime2!$C340),"")</f>
        <v/>
      </c>
      <c r="AB340" s="192" t="str">
        <f ca="1">IF(Flag_Send_Data=1,_xll.DBSW(PL_Saisie_Estime2!AB340,Server&amp;Cube1,PL_Saisie_Estime2!$F$17,PL_Saisie_Estime2!$F$18,PL_Saisie_Estime2!$F$19,PL_Saisie_Estime2!$F$16,PL_Saisie_Estime2!$C$14,PL_Saisie_Estime2!$F$15,PL_Saisie_Estime2!$F$14,PL_Saisie_Estime2!$F$20,PL_Saisie_Estime2!AB$2,PL_Saisie_Estime2!AB$1,PL_Saisie_Estime2!$C340),"")</f>
        <v/>
      </c>
      <c r="AC340" s="192" t="str">
        <f ca="1">IF(Flag_Send_Data=1,_xll.DBSW(PL_Saisie_Estime2!AC340,Server&amp;Cube1,PL_Saisie_Estime2!$F$17,PL_Saisie_Estime2!$F$18,PL_Saisie_Estime2!$F$19,PL_Saisie_Estime2!$F$16,PL_Saisie_Estime2!$C$14,PL_Saisie_Estime2!$F$15,PL_Saisie_Estime2!$F$14,PL_Saisie_Estime2!$F$20,PL_Saisie_Estime2!AC$2,PL_Saisie_Estime2!AC$1,PL_Saisie_Estime2!$C340),"")</f>
        <v/>
      </c>
      <c r="AD340" s="192" t="str">
        <f ca="1">IF(Flag_Send_Data=1,_xll.DBSW(PL_Saisie_Estime2!AD340,Server&amp;Cube1,PL_Saisie_Estime2!$F$17,PL_Saisie_Estime2!$F$18,PL_Saisie_Estime2!$F$19,PL_Saisie_Estime2!$F$16,PL_Saisie_Estime2!$C$14,PL_Saisie_Estime2!$F$15,PL_Saisie_Estime2!$F$14,PL_Saisie_Estime2!$F$20,PL_Saisie_Estime2!AD$2,PL_Saisie_Estime2!AD$1,PL_Saisie_Estime2!$C340),"")</f>
        <v/>
      </c>
      <c r="AE340" s="192" t="str">
        <f ca="1">IF(Flag_Send_Data=1,_xll.DBSW(PL_Saisie_Estime2!AE340,Server&amp;Cube1,PL_Saisie_Estime2!$F$17,PL_Saisie_Estime2!$F$18,PL_Saisie_Estime2!$F$19,PL_Saisie_Estime2!$F$16,PL_Saisie_Estime2!$C$14,PL_Saisie_Estime2!$F$15,PL_Saisie_Estime2!$F$14,PL_Saisie_Estime2!$F$20,PL_Saisie_Estime2!AE$2,PL_Saisie_Estime2!AE$1,PL_Saisie_Estime2!$C340),"")</f>
        <v/>
      </c>
      <c r="AF340" s="204"/>
      <c r="AG340" s="53"/>
      <c r="AH340" s="53"/>
      <c r="AI340" s="53"/>
      <c r="AJ340" s="53"/>
      <c r="AK340" s="53"/>
      <c r="AL340" s="53"/>
      <c r="AM340" s="53"/>
      <c r="AN340" s="53"/>
      <c r="AO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:53" s="9" customFormat="1" ht="24" customHeight="1" x14ac:dyDescent="0.35">
      <c r="A341" s="181"/>
      <c r="B341" s="163"/>
      <c r="C341" s="158"/>
      <c r="E341" s="268"/>
      <c r="F341" s="268"/>
      <c r="G341" s="268"/>
      <c r="H341" s="40"/>
      <c r="I341" s="130"/>
      <c r="J341" s="130"/>
      <c r="K341" s="130"/>
      <c r="L341" s="130"/>
      <c r="M341" s="130"/>
      <c r="N341" s="126"/>
      <c r="O341" s="204"/>
      <c r="P341" s="126"/>
      <c r="Q341" s="124"/>
      <c r="R341" s="192"/>
      <c r="S341" s="126"/>
      <c r="T341" s="200"/>
      <c r="U341" s="200"/>
      <c r="V341" s="200"/>
      <c r="W341" s="200"/>
      <c r="X341" s="200"/>
      <c r="Y341" s="200"/>
      <c r="Z341" s="192" t="str">
        <f ca="1">IF(Flag_Send_Data=1,_xll.DBSW(PL_Saisie_Estime2!Z341,Server&amp;Cube1,PL_Saisie_Estime2!$F$17,PL_Saisie_Estime2!$F$18,PL_Saisie_Estime2!$F$19,PL_Saisie_Estime2!$F$16,PL_Saisie_Estime2!$C$14,PL_Saisie_Estime2!$F$15,PL_Saisie_Estime2!$F$14,PL_Saisie_Estime2!$F$20,PL_Saisie_Estime2!Z$2,PL_Saisie_Estime2!Z$1,PL_Saisie_Estime2!$C341),"")</f>
        <v/>
      </c>
      <c r="AA341" s="192" t="str">
        <f ca="1">IF(Flag_Send_Data=1,_xll.DBSW(PL_Saisie_Estime2!AA341,Server&amp;Cube1,PL_Saisie_Estime2!$F$17,PL_Saisie_Estime2!$F$18,PL_Saisie_Estime2!$F$19,PL_Saisie_Estime2!$F$16,PL_Saisie_Estime2!$C$14,PL_Saisie_Estime2!$F$15,PL_Saisie_Estime2!$F$14,PL_Saisie_Estime2!$F$20,PL_Saisie_Estime2!AA$2,PL_Saisie_Estime2!AA$1,PL_Saisie_Estime2!$C341),"")</f>
        <v/>
      </c>
      <c r="AB341" s="192" t="str">
        <f ca="1">IF(Flag_Send_Data=1,_xll.DBSW(PL_Saisie_Estime2!AB341,Server&amp;Cube1,PL_Saisie_Estime2!$F$17,PL_Saisie_Estime2!$F$18,PL_Saisie_Estime2!$F$19,PL_Saisie_Estime2!$F$16,PL_Saisie_Estime2!$C$14,PL_Saisie_Estime2!$F$15,PL_Saisie_Estime2!$F$14,PL_Saisie_Estime2!$F$20,PL_Saisie_Estime2!AB$2,PL_Saisie_Estime2!AB$1,PL_Saisie_Estime2!$C341),"")</f>
        <v/>
      </c>
      <c r="AC341" s="192" t="str">
        <f ca="1">IF(Flag_Send_Data=1,_xll.DBSW(PL_Saisie_Estime2!AC341,Server&amp;Cube1,PL_Saisie_Estime2!$F$17,PL_Saisie_Estime2!$F$18,PL_Saisie_Estime2!$F$19,PL_Saisie_Estime2!$F$16,PL_Saisie_Estime2!$C$14,PL_Saisie_Estime2!$F$15,PL_Saisie_Estime2!$F$14,PL_Saisie_Estime2!$F$20,PL_Saisie_Estime2!AC$2,PL_Saisie_Estime2!AC$1,PL_Saisie_Estime2!$C341),"")</f>
        <v/>
      </c>
      <c r="AD341" s="192" t="str">
        <f ca="1">IF(Flag_Send_Data=1,_xll.DBSW(PL_Saisie_Estime2!AD341,Server&amp;Cube1,PL_Saisie_Estime2!$F$17,PL_Saisie_Estime2!$F$18,PL_Saisie_Estime2!$F$19,PL_Saisie_Estime2!$F$16,PL_Saisie_Estime2!$C$14,PL_Saisie_Estime2!$F$15,PL_Saisie_Estime2!$F$14,PL_Saisie_Estime2!$F$20,PL_Saisie_Estime2!AD$2,PL_Saisie_Estime2!AD$1,PL_Saisie_Estime2!$C341),"")</f>
        <v/>
      </c>
      <c r="AE341" s="192" t="str">
        <f ca="1">IF(Flag_Send_Data=1,_xll.DBSW(PL_Saisie_Estime2!AE341,Server&amp;Cube1,PL_Saisie_Estime2!$F$17,PL_Saisie_Estime2!$F$18,PL_Saisie_Estime2!$F$19,PL_Saisie_Estime2!$F$16,PL_Saisie_Estime2!$C$14,PL_Saisie_Estime2!$F$15,PL_Saisie_Estime2!$F$14,PL_Saisie_Estime2!$F$20,PL_Saisie_Estime2!AE$2,PL_Saisie_Estime2!AE$1,PL_Saisie_Estime2!$C341),"")</f>
        <v/>
      </c>
      <c r="AF341" s="204"/>
      <c r="AG341" s="53"/>
      <c r="AH341" s="53"/>
      <c r="AI341" s="53"/>
      <c r="AJ341" s="53"/>
      <c r="AK341" s="53"/>
      <c r="AL341" s="53"/>
      <c r="AM341" s="53"/>
      <c r="AN341" s="53"/>
      <c r="AO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:53" s="9" customFormat="1" ht="24" customHeight="1" x14ac:dyDescent="0.35">
      <c r="A342" s="181"/>
      <c r="B342" s="163"/>
      <c r="C342" s="158"/>
      <c r="E342" s="268"/>
      <c r="F342" s="268"/>
      <c r="G342" s="268"/>
      <c r="H342" s="40"/>
      <c r="I342" s="130"/>
      <c r="J342" s="130"/>
      <c r="K342" s="130"/>
      <c r="L342" s="130"/>
      <c r="M342" s="130"/>
      <c r="N342" s="126"/>
      <c r="O342" s="204"/>
      <c r="P342" s="126"/>
      <c r="Q342" s="124"/>
      <c r="R342" s="192"/>
      <c r="S342" s="126"/>
      <c r="T342" s="200"/>
      <c r="U342" s="200"/>
      <c r="V342" s="200"/>
      <c r="W342" s="200"/>
      <c r="X342" s="200"/>
      <c r="Y342" s="200"/>
      <c r="Z342" s="192" t="str">
        <f ca="1">IF(Flag_Send_Data=1,_xll.DBSW(PL_Saisie_Estime2!Z342,Server&amp;Cube1,PL_Saisie_Estime2!$F$17,PL_Saisie_Estime2!$F$18,PL_Saisie_Estime2!$F$19,PL_Saisie_Estime2!$F$16,PL_Saisie_Estime2!$C$14,PL_Saisie_Estime2!$F$15,PL_Saisie_Estime2!$F$14,PL_Saisie_Estime2!$F$20,PL_Saisie_Estime2!Z$2,PL_Saisie_Estime2!Z$1,PL_Saisie_Estime2!$C342),"")</f>
        <v/>
      </c>
      <c r="AA342" s="192" t="str">
        <f ca="1">IF(Flag_Send_Data=1,_xll.DBSW(PL_Saisie_Estime2!AA342,Server&amp;Cube1,PL_Saisie_Estime2!$F$17,PL_Saisie_Estime2!$F$18,PL_Saisie_Estime2!$F$19,PL_Saisie_Estime2!$F$16,PL_Saisie_Estime2!$C$14,PL_Saisie_Estime2!$F$15,PL_Saisie_Estime2!$F$14,PL_Saisie_Estime2!$F$20,PL_Saisie_Estime2!AA$2,PL_Saisie_Estime2!AA$1,PL_Saisie_Estime2!$C342),"")</f>
        <v/>
      </c>
      <c r="AB342" s="192" t="str">
        <f ca="1">IF(Flag_Send_Data=1,_xll.DBSW(PL_Saisie_Estime2!AB342,Server&amp;Cube1,PL_Saisie_Estime2!$F$17,PL_Saisie_Estime2!$F$18,PL_Saisie_Estime2!$F$19,PL_Saisie_Estime2!$F$16,PL_Saisie_Estime2!$C$14,PL_Saisie_Estime2!$F$15,PL_Saisie_Estime2!$F$14,PL_Saisie_Estime2!$F$20,PL_Saisie_Estime2!AB$2,PL_Saisie_Estime2!AB$1,PL_Saisie_Estime2!$C342),"")</f>
        <v/>
      </c>
      <c r="AC342" s="192" t="str">
        <f ca="1">IF(Flag_Send_Data=1,_xll.DBSW(PL_Saisie_Estime2!AC342,Server&amp;Cube1,PL_Saisie_Estime2!$F$17,PL_Saisie_Estime2!$F$18,PL_Saisie_Estime2!$F$19,PL_Saisie_Estime2!$F$16,PL_Saisie_Estime2!$C$14,PL_Saisie_Estime2!$F$15,PL_Saisie_Estime2!$F$14,PL_Saisie_Estime2!$F$20,PL_Saisie_Estime2!AC$2,PL_Saisie_Estime2!AC$1,PL_Saisie_Estime2!$C342),"")</f>
        <v/>
      </c>
      <c r="AD342" s="192" t="str">
        <f ca="1">IF(Flag_Send_Data=1,_xll.DBSW(PL_Saisie_Estime2!AD342,Server&amp;Cube1,PL_Saisie_Estime2!$F$17,PL_Saisie_Estime2!$F$18,PL_Saisie_Estime2!$F$19,PL_Saisie_Estime2!$F$16,PL_Saisie_Estime2!$C$14,PL_Saisie_Estime2!$F$15,PL_Saisie_Estime2!$F$14,PL_Saisie_Estime2!$F$20,PL_Saisie_Estime2!AD$2,PL_Saisie_Estime2!AD$1,PL_Saisie_Estime2!$C342),"")</f>
        <v/>
      </c>
      <c r="AE342" s="192" t="str">
        <f ca="1">IF(Flag_Send_Data=1,_xll.DBSW(PL_Saisie_Estime2!AE342,Server&amp;Cube1,PL_Saisie_Estime2!$F$17,PL_Saisie_Estime2!$F$18,PL_Saisie_Estime2!$F$19,PL_Saisie_Estime2!$F$16,PL_Saisie_Estime2!$C$14,PL_Saisie_Estime2!$F$15,PL_Saisie_Estime2!$F$14,PL_Saisie_Estime2!$F$20,PL_Saisie_Estime2!AE$2,PL_Saisie_Estime2!AE$1,PL_Saisie_Estime2!$C342),"")</f>
        <v/>
      </c>
      <c r="AF342" s="204"/>
      <c r="AG342" s="53"/>
      <c r="AH342" s="53"/>
      <c r="AI342" s="53"/>
      <c r="AJ342" s="53"/>
      <c r="AK342" s="53"/>
      <c r="AL342" s="53"/>
      <c r="AM342" s="53"/>
      <c r="AN342" s="53"/>
      <c r="AO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:53" s="9" customFormat="1" ht="24" customHeight="1" x14ac:dyDescent="0.35">
      <c r="A343" s="181"/>
      <c r="B343" s="163"/>
      <c r="C343" s="158"/>
      <c r="E343" s="268"/>
      <c r="F343" s="268"/>
      <c r="G343" s="268"/>
      <c r="H343" s="40"/>
      <c r="I343" s="130"/>
      <c r="J343" s="130"/>
      <c r="K343" s="130"/>
      <c r="L343" s="130"/>
      <c r="M343" s="130"/>
      <c r="N343" s="126"/>
      <c r="O343" s="204"/>
      <c r="P343" s="126"/>
      <c r="Q343" s="124"/>
      <c r="R343" s="192"/>
      <c r="S343" s="126"/>
      <c r="T343" s="200"/>
      <c r="U343" s="200"/>
      <c r="V343" s="200"/>
      <c r="W343" s="200"/>
      <c r="X343" s="200"/>
      <c r="Y343" s="200"/>
      <c r="Z343" s="192" t="str">
        <f ca="1">IF(Flag_Send_Data=1,_xll.DBSW(PL_Saisie_Estime2!Z343,Server&amp;Cube1,PL_Saisie_Estime2!$F$17,PL_Saisie_Estime2!$F$18,PL_Saisie_Estime2!$F$19,PL_Saisie_Estime2!$F$16,PL_Saisie_Estime2!$C$14,PL_Saisie_Estime2!$F$15,PL_Saisie_Estime2!$F$14,PL_Saisie_Estime2!$F$20,PL_Saisie_Estime2!Z$2,PL_Saisie_Estime2!Z$1,PL_Saisie_Estime2!$C343),"")</f>
        <v/>
      </c>
      <c r="AA343" s="192" t="str">
        <f ca="1">IF(Flag_Send_Data=1,_xll.DBSW(PL_Saisie_Estime2!AA343,Server&amp;Cube1,PL_Saisie_Estime2!$F$17,PL_Saisie_Estime2!$F$18,PL_Saisie_Estime2!$F$19,PL_Saisie_Estime2!$F$16,PL_Saisie_Estime2!$C$14,PL_Saisie_Estime2!$F$15,PL_Saisie_Estime2!$F$14,PL_Saisie_Estime2!$F$20,PL_Saisie_Estime2!AA$2,PL_Saisie_Estime2!AA$1,PL_Saisie_Estime2!$C343),"")</f>
        <v/>
      </c>
      <c r="AB343" s="192" t="str">
        <f ca="1">IF(Flag_Send_Data=1,_xll.DBSW(PL_Saisie_Estime2!AB343,Server&amp;Cube1,PL_Saisie_Estime2!$F$17,PL_Saisie_Estime2!$F$18,PL_Saisie_Estime2!$F$19,PL_Saisie_Estime2!$F$16,PL_Saisie_Estime2!$C$14,PL_Saisie_Estime2!$F$15,PL_Saisie_Estime2!$F$14,PL_Saisie_Estime2!$F$20,PL_Saisie_Estime2!AB$2,PL_Saisie_Estime2!AB$1,PL_Saisie_Estime2!$C343),"")</f>
        <v/>
      </c>
      <c r="AC343" s="192" t="str">
        <f ca="1">IF(Flag_Send_Data=1,_xll.DBSW(PL_Saisie_Estime2!AC343,Server&amp;Cube1,PL_Saisie_Estime2!$F$17,PL_Saisie_Estime2!$F$18,PL_Saisie_Estime2!$F$19,PL_Saisie_Estime2!$F$16,PL_Saisie_Estime2!$C$14,PL_Saisie_Estime2!$F$15,PL_Saisie_Estime2!$F$14,PL_Saisie_Estime2!$F$20,PL_Saisie_Estime2!AC$2,PL_Saisie_Estime2!AC$1,PL_Saisie_Estime2!$C343),"")</f>
        <v/>
      </c>
      <c r="AD343" s="192" t="str">
        <f ca="1">IF(Flag_Send_Data=1,_xll.DBSW(PL_Saisie_Estime2!AD343,Server&amp;Cube1,PL_Saisie_Estime2!$F$17,PL_Saisie_Estime2!$F$18,PL_Saisie_Estime2!$F$19,PL_Saisie_Estime2!$F$16,PL_Saisie_Estime2!$C$14,PL_Saisie_Estime2!$F$15,PL_Saisie_Estime2!$F$14,PL_Saisie_Estime2!$F$20,PL_Saisie_Estime2!AD$2,PL_Saisie_Estime2!AD$1,PL_Saisie_Estime2!$C343),"")</f>
        <v/>
      </c>
      <c r="AE343" s="192" t="str">
        <f ca="1">IF(Flag_Send_Data=1,_xll.DBSW(PL_Saisie_Estime2!AE343,Server&amp;Cube1,PL_Saisie_Estime2!$F$17,PL_Saisie_Estime2!$F$18,PL_Saisie_Estime2!$F$19,PL_Saisie_Estime2!$F$16,PL_Saisie_Estime2!$C$14,PL_Saisie_Estime2!$F$15,PL_Saisie_Estime2!$F$14,PL_Saisie_Estime2!$F$20,PL_Saisie_Estime2!AE$2,PL_Saisie_Estime2!AE$1,PL_Saisie_Estime2!$C343),"")</f>
        <v/>
      </c>
      <c r="AF343" s="204"/>
      <c r="AG343" s="53"/>
      <c r="AH343" s="53"/>
      <c r="AI343" s="53"/>
      <c r="AJ343" s="53"/>
      <c r="AK343" s="53"/>
      <c r="AL343" s="53"/>
      <c r="AM343" s="53"/>
      <c r="AN343" s="53"/>
      <c r="AO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:53" s="9" customFormat="1" ht="24" customHeight="1" x14ac:dyDescent="0.35">
      <c r="A344" s="181"/>
      <c r="B344" s="163"/>
      <c r="C344" s="158"/>
      <c r="E344" s="268"/>
      <c r="F344" s="268"/>
      <c r="G344" s="268"/>
      <c r="H344" s="40"/>
      <c r="I344" s="130"/>
      <c r="J344" s="130"/>
      <c r="K344" s="130"/>
      <c r="L344" s="130"/>
      <c r="M344" s="130"/>
      <c r="N344" s="126"/>
      <c r="O344" s="204"/>
      <c r="P344" s="126"/>
      <c r="Q344" s="124"/>
      <c r="R344" s="192"/>
      <c r="S344" s="126"/>
      <c r="T344" s="200"/>
      <c r="U344" s="200"/>
      <c r="V344" s="200"/>
      <c r="W344" s="200"/>
      <c r="X344" s="200"/>
      <c r="Y344" s="200"/>
      <c r="Z344" s="192" t="str">
        <f ca="1">IF(Flag_Send_Data=1,_xll.DBSW(PL_Saisie_Estime2!Z344,Server&amp;Cube1,PL_Saisie_Estime2!$F$17,PL_Saisie_Estime2!$F$18,PL_Saisie_Estime2!$F$19,PL_Saisie_Estime2!$F$16,PL_Saisie_Estime2!$C$14,PL_Saisie_Estime2!$F$15,PL_Saisie_Estime2!$F$14,PL_Saisie_Estime2!$F$20,PL_Saisie_Estime2!Z$2,PL_Saisie_Estime2!Z$1,PL_Saisie_Estime2!$C344),"")</f>
        <v/>
      </c>
      <c r="AA344" s="192" t="str">
        <f ca="1">IF(Flag_Send_Data=1,_xll.DBSW(PL_Saisie_Estime2!AA344,Server&amp;Cube1,PL_Saisie_Estime2!$F$17,PL_Saisie_Estime2!$F$18,PL_Saisie_Estime2!$F$19,PL_Saisie_Estime2!$F$16,PL_Saisie_Estime2!$C$14,PL_Saisie_Estime2!$F$15,PL_Saisie_Estime2!$F$14,PL_Saisie_Estime2!$F$20,PL_Saisie_Estime2!AA$2,PL_Saisie_Estime2!AA$1,PL_Saisie_Estime2!$C344),"")</f>
        <v/>
      </c>
      <c r="AB344" s="192" t="str">
        <f ca="1">IF(Flag_Send_Data=1,_xll.DBSW(PL_Saisie_Estime2!AB344,Server&amp;Cube1,PL_Saisie_Estime2!$F$17,PL_Saisie_Estime2!$F$18,PL_Saisie_Estime2!$F$19,PL_Saisie_Estime2!$F$16,PL_Saisie_Estime2!$C$14,PL_Saisie_Estime2!$F$15,PL_Saisie_Estime2!$F$14,PL_Saisie_Estime2!$F$20,PL_Saisie_Estime2!AB$2,PL_Saisie_Estime2!AB$1,PL_Saisie_Estime2!$C344),"")</f>
        <v/>
      </c>
      <c r="AC344" s="192" t="str">
        <f ca="1">IF(Flag_Send_Data=1,_xll.DBSW(PL_Saisie_Estime2!AC344,Server&amp;Cube1,PL_Saisie_Estime2!$F$17,PL_Saisie_Estime2!$F$18,PL_Saisie_Estime2!$F$19,PL_Saisie_Estime2!$F$16,PL_Saisie_Estime2!$C$14,PL_Saisie_Estime2!$F$15,PL_Saisie_Estime2!$F$14,PL_Saisie_Estime2!$F$20,PL_Saisie_Estime2!AC$2,PL_Saisie_Estime2!AC$1,PL_Saisie_Estime2!$C344),"")</f>
        <v/>
      </c>
      <c r="AD344" s="192" t="str">
        <f ca="1">IF(Flag_Send_Data=1,_xll.DBSW(PL_Saisie_Estime2!AD344,Server&amp;Cube1,PL_Saisie_Estime2!$F$17,PL_Saisie_Estime2!$F$18,PL_Saisie_Estime2!$F$19,PL_Saisie_Estime2!$F$16,PL_Saisie_Estime2!$C$14,PL_Saisie_Estime2!$F$15,PL_Saisie_Estime2!$F$14,PL_Saisie_Estime2!$F$20,PL_Saisie_Estime2!AD$2,PL_Saisie_Estime2!AD$1,PL_Saisie_Estime2!$C344),"")</f>
        <v/>
      </c>
      <c r="AE344" s="192" t="str">
        <f ca="1">IF(Flag_Send_Data=1,_xll.DBSW(PL_Saisie_Estime2!AE344,Server&amp;Cube1,PL_Saisie_Estime2!$F$17,PL_Saisie_Estime2!$F$18,PL_Saisie_Estime2!$F$19,PL_Saisie_Estime2!$F$16,PL_Saisie_Estime2!$C$14,PL_Saisie_Estime2!$F$15,PL_Saisie_Estime2!$F$14,PL_Saisie_Estime2!$F$20,PL_Saisie_Estime2!AE$2,PL_Saisie_Estime2!AE$1,PL_Saisie_Estime2!$C344),"")</f>
        <v/>
      </c>
      <c r="AF344" s="204"/>
      <c r="AG344" s="53"/>
      <c r="AH344" s="53"/>
      <c r="AI344" s="53"/>
      <c r="AJ344" s="53"/>
      <c r="AK344" s="53"/>
      <c r="AL344" s="53"/>
      <c r="AM344" s="53"/>
      <c r="AN344" s="53"/>
      <c r="AO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:53" s="9" customFormat="1" ht="24" customHeight="1" x14ac:dyDescent="0.35">
      <c r="A345" s="181"/>
      <c r="B345" s="163"/>
      <c r="C345" s="158"/>
      <c r="E345" s="268"/>
      <c r="F345" s="268"/>
      <c r="G345" s="268"/>
      <c r="H345" s="40"/>
      <c r="I345" s="130"/>
      <c r="J345" s="130"/>
      <c r="K345" s="130"/>
      <c r="L345" s="130"/>
      <c r="M345" s="130"/>
      <c r="N345" s="126"/>
      <c r="O345" s="204"/>
      <c r="P345" s="126"/>
      <c r="Q345" s="124"/>
      <c r="R345" s="192"/>
      <c r="S345" s="126"/>
      <c r="T345" s="200"/>
      <c r="U345" s="200"/>
      <c r="V345" s="200"/>
      <c r="W345" s="200"/>
      <c r="X345" s="200"/>
      <c r="Y345" s="200"/>
      <c r="Z345" s="192" t="str">
        <f ca="1">IF(Flag_Send_Data=1,_xll.DBSW(PL_Saisie_Estime2!Z345,Server&amp;Cube1,PL_Saisie_Estime2!$F$17,PL_Saisie_Estime2!$F$18,PL_Saisie_Estime2!$F$19,PL_Saisie_Estime2!$F$16,PL_Saisie_Estime2!$C$14,PL_Saisie_Estime2!$F$15,PL_Saisie_Estime2!$F$14,PL_Saisie_Estime2!$F$20,PL_Saisie_Estime2!Z$2,PL_Saisie_Estime2!Z$1,PL_Saisie_Estime2!$C345),"")</f>
        <v/>
      </c>
      <c r="AA345" s="192" t="str">
        <f ca="1">IF(Flag_Send_Data=1,_xll.DBSW(PL_Saisie_Estime2!AA345,Server&amp;Cube1,PL_Saisie_Estime2!$F$17,PL_Saisie_Estime2!$F$18,PL_Saisie_Estime2!$F$19,PL_Saisie_Estime2!$F$16,PL_Saisie_Estime2!$C$14,PL_Saisie_Estime2!$F$15,PL_Saisie_Estime2!$F$14,PL_Saisie_Estime2!$F$20,PL_Saisie_Estime2!AA$2,PL_Saisie_Estime2!AA$1,PL_Saisie_Estime2!$C345),"")</f>
        <v/>
      </c>
      <c r="AB345" s="192" t="str">
        <f ca="1">IF(Flag_Send_Data=1,_xll.DBSW(PL_Saisie_Estime2!AB345,Server&amp;Cube1,PL_Saisie_Estime2!$F$17,PL_Saisie_Estime2!$F$18,PL_Saisie_Estime2!$F$19,PL_Saisie_Estime2!$F$16,PL_Saisie_Estime2!$C$14,PL_Saisie_Estime2!$F$15,PL_Saisie_Estime2!$F$14,PL_Saisie_Estime2!$F$20,PL_Saisie_Estime2!AB$2,PL_Saisie_Estime2!AB$1,PL_Saisie_Estime2!$C345),"")</f>
        <v/>
      </c>
      <c r="AC345" s="192" t="str">
        <f ca="1">IF(Flag_Send_Data=1,_xll.DBSW(PL_Saisie_Estime2!AC345,Server&amp;Cube1,PL_Saisie_Estime2!$F$17,PL_Saisie_Estime2!$F$18,PL_Saisie_Estime2!$F$19,PL_Saisie_Estime2!$F$16,PL_Saisie_Estime2!$C$14,PL_Saisie_Estime2!$F$15,PL_Saisie_Estime2!$F$14,PL_Saisie_Estime2!$F$20,PL_Saisie_Estime2!AC$2,PL_Saisie_Estime2!AC$1,PL_Saisie_Estime2!$C345),"")</f>
        <v/>
      </c>
      <c r="AD345" s="192" t="str">
        <f ca="1">IF(Flag_Send_Data=1,_xll.DBSW(PL_Saisie_Estime2!AD345,Server&amp;Cube1,PL_Saisie_Estime2!$F$17,PL_Saisie_Estime2!$F$18,PL_Saisie_Estime2!$F$19,PL_Saisie_Estime2!$F$16,PL_Saisie_Estime2!$C$14,PL_Saisie_Estime2!$F$15,PL_Saisie_Estime2!$F$14,PL_Saisie_Estime2!$F$20,PL_Saisie_Estime2!AD$2,PL_Saisie_Estime2!AD$1,PL_Saisie_Estime2!$C345),"")</f>
        <v/>
      </c>
      <c r="AE345" s="192" t="str">
        <f ca="1">IF(Flag_Send_Data=1,_xll.DBSW(PL_Saisie_Estime2!AE345,Server&amp;Cube1,PL_Saisie_Estime2!$F$17,PL_Saisie_Estime2!$F$18,PL_Saisie_Estime2!$F$19,PL_Saisie_Estime2!$F$16,PL_Saisie_Estime2!$C$14,PL_Saisie_Estime2!$F$15,PL_Saisie_Estime2!$F$14,PL_Saisie_Estime2!$F$20,PL_Saisie_Estime2!AE$2,PL_Saisie_Estime2!AE$1,PL_Saisie_Estime2!$C345),"")</f>
        <v/>
      </c>
      <c r="AF345" s="204"/>
      <c r="AG345" s="53"/>
      <c r="AH345" s="53"/>
      <c r="AI345" s="53"/>
      <c r="AJ345" s="53"/>
      <c r="AK345" s="53"/>
      <c r="AL345" s="53"/>
      <c r="AM345" s="53"/>
      <c r="AN345" s="53"/>
      <c r="AO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:53" s="9" customFormat="1" ht="24" customHeight="1" x14ac:dyDescent="0.35">
      <c r="A346" s="181"/>
      <c r="B346" s="163"/>
      <c r="C346" s="158"/>
      <c r="E346" s="268"/>
      <c r="F346" s="268"/>
      <c r="G346" s="268"/>
      <c r="H346" s="40"/>
      <c r="I346" s="130"/>
      <c r="J346" s="130"/>
      <c r="K346" s="130"/>
      <c r="L346" s="130"/>
      <c r="M346" s="130"/>
      <c r="N346" s="126"/>
      <c r="O346" s="204"/>
      <c r="P346" s="126"/>
      <c r="Q346" s="124"/>
      <c r="R346" s="192"/>
      <c r="S346" s="126"/>
      <c r="T346" s="200"/>
      <c r="U346" s="200"/>
      <c r="V346" s="200"/>
      <c r="W346" s="200"/>
      <c r="X346" s="200"/>
      <c r="Y346" s="200"/>
      <c r="Z346" s="192" t="str">
        <f ca="1">IF(Flag_Send_Data=1,_xll.DBSW(PL_Saisie_Estime2!Z346,Server&amp;Cube1,PL_Saisie_Estime2!$F$17,PL_Saisie_Estime2!$F$18,PL_Saisie_Estime2!$F$19,PL_Saisie_Estime2!$F$16,PL_Saisie_Estime2!$C$14,PL_Saisie_Estime2!$F$15,PL_Saisie_Estime2!$F$14,PL_Saisie_Estime2!$F$20,PL_Saisie_Estime2!Z$2,PL_Saisie_Estime2!Z$1,PL_Saisie_Estime2!$C346),"")</f>
        <v/>
      </c>
      <c r="AA346" s="192" t="str">
        <f ca="1">IF(Flag_Send_Data=1,_xll.DBSW(PL_Saisie_Estime2!AA346,Server&amp;Cube1,PL_Saisie_Estime2!$F$17,PL_Saisie_Estime2!$F$18,PL_Saisie_Estime2!$F$19,PL_Saisie_Estime2!$F$16,PL_Saisie_Estime2!$C$14,PL_Saisie_Estime2!$F$15,PL_Saisie_Estime2!$F$14,PL_Saisie_Estime2!$F$20,PL_Saisie_Estime2!AA$2,PL_Saisie_Estime2!AA$1,PL_Saisie_Estime2!$C346),"")</f>
        <v/>
      </c>
      <c r="AB346" s="192" t="str">
        <f ca="1">IF(Flag_Send_Data=1,_xll.DBSW(PL_Saisie_Estime2!AB346,Server&amp;Cube1,PL_Saisie_Estime2!$F$17,PL_Saisie_Estime2!$F$18,PL_Saisie_Estime2!$F$19,PL_Saisie_Estime2!$F$16,PL_Saisie_Estime2!$C$14,PL_Saisie_Estime2!$F$15,PL_Saisie_Estime2!$F$14,PL_Saisie_Estime2!$F$20,PL_Saisie_Estime2!AB$2,PL_Saisie_Estime2!AB$1,PL_Saisie_Estime2!$C346),"")</f>
        <v/>
      </c>
      <c r="AC346" s="192" t="str">
        <f ca="1">IF(Flag_Send_Data=1,_xll.DBSW(PL_Saisie_Estime2!AC346,Server&amp;Cube1,PL_Saisie_Estime2!$F$17,PL_Saisie_Estime2!$F$18,PL_Saisie_Estime2!$F$19,PL_Saisie_Estime2!$F$16,PL_Saisie_Estime2!$C$14,PL_Saisie_Estime2!$F$15,PL_Saisie_Estime2!$F$14,PL_Saisie_Estime2!$F$20,PL_Saisie_Estime2!AC$2,PL_Saisie_Estime2!AC$1,PL_Saisie_Estime2!$C346),"")</f>
        <v/>
      </c>
      <c r="AD346" s="192" t="str">
        <f ca="1">IF(Flag_Send_Data=1,_xll.DBSW(PL_Saisie_Estime2!AD346,Server&amp;Cube1,PL_Saisie_Estime2!$F$17,PL_Saisie_Estime2!$F$18,PL_Saisie_Estime2!$F$19,PL_Saisie_Estime2!$F$16,PL_Saisie_Estime2!$C$14,PL_Saisie_Estime2!$F$15,PL_Saisie_Estime2!$F$14,PL_Saisie_Estime2!$F$20,PL_Saisie_Estime2!AD$2,PL_Saisie_Estime2!AD$1,PL_Saisie_Estime2!$C346),"")</f>
        <v/>
      </c>
      <c r="AE346" s="192" t="str">
        <f ca="1">IF(Flag_Send_Data=1,_xll.DBSW(PL_Saisie_Estime2!AE346,Server&amp;Cube1,PL_Saisie_Estime2!$F$17,PL_Saisie_Estime2!$F$18,PL_Saisie_Estime2!$F$19,PL_Saisie_Estime2!$F$16,PL_Saisie_Estime2!$C$14,PL_Saisie_Estime2!$F$15,PL_Saisie_Estime2!$F$14,PL_Saisie_Estime2!$F$20,PL_Saisie_Estime2!AE$2,PL_Saisie_Estime2!AE$1,PL_Saisie_Estime2!$C346),"")</f>
        <v/>
      </c>
      <c r="AF346" s="204"/>
      <c r="AG346" s="53"/>
      <c r="AH346" s="53"/>
      <c r="AI346" s="53"/>
      <c r="AJ346" s="53"/>
      <c r="AK346" s="53"/>
      <c r="AL346" s="53"/>
      <c r="AM346" s="53"/>
      <c r="AN346" s="53"/>
      <c r="AO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:53" s="9" customFormat="1" ht="24" customHeight="1" x14ac:dyDescent="0.35">
      <c r="A347" s="181"/>
      <c r="B347" s="163"/>
      <c r="C347" s="158"/>
      <c r="E347" s="268"/>
      <c r="F347" s="268"/>
      <c r="G347" s="268"/>
      <c r="H347" s="40"/>
      <c r="I347" s="130"/>
      <c r="J347" s="130"/>
      <c r="K347" s="130"/>
      <c r="L347" s="130"/>
      <c r="M347" s="130"/>
      <c r="N347" s="126"/>
      <c r="O347" s="204"/>
      <c r="P347" s="126"/>
      <c r="Q347" s="124"/>
      <c r="R347" s="192"/>
      <c r="S347" s="126"/>
      <c r="T347" s="200"/>
      <c r="U347" s="200"/>
      <c r="V347" s="200"/>
      <c r="W347" s="200"/>
      <c r="X347" s="200"/>
      <c r="Y347" s="200"/>
      <c r="Z347" s="192" t="str">
        <f ca="1">IF(Flag_Send_Data=1,_xll.DBSW(PL_Saisie_Estime2!Z347,Server&amp;Cube1,PL_Saisie_Estime2!$F$17,PL_Saisie_Estime2!$F$18,PL_Saisie_Estime2!$F$19,PL_Saisie_Estime2!$F$16,PL_Saisie_Estime2!$C$14,PL_Saisie_Estime2!$F$15,PL_Saisie_Estime2!$F$14,PL_Saisie_Estime2!$F$20,PL_Saisie_Estime2!Z$2,PL_Saisie_Estime2!Z$1,PL_Saisie_Estime2!$C347),"")</f>
        <v/>
      </c>
      <c r="AA347" s="192" t="str">
        <f ca="1">IF(Flag_Send_Data=1,_xll.DBSW(PL_Saisie_Estime2!AA347,Server&amp;Cube1,PL_Saisie_Estime2!$F$17,PL_Saisie_Estime2!$F$18,PL_Saisie_Estime2!$F$19,PL_Saisie_Estime2!$F$16,PL_Saisie_Estime2!$C$14,PL_Saisie_Estime2!$F$15,PL_Saisie_Estime2!$F$14,PL_Saisie_Estime2!$F$20,PL_Saisie_Estime2!AA$2,PL_Saisie_Estime2!AA$1,PL_Saisie_Estime2!$C347),"")</f>
        <v/>
      </c>
      <c r="AB347" s="192" t="str">
        <f ca="1">IF(Flag_Send_Data=1,_xll.DBSW(PL_Saisie_Estime2!AB347,Server&amp;Cube1,PL_Saisie_Estime2!$F$17,PL_Saisie_Estime2!$F$18,PL_Saisie_Estime2!$F$19,PL_Saisie_Estime2!$F$16,PL_Saisie_Estime2!$C$14,PL_Saisie_Estime2!$F$15,PL_Saisie_Estime2!$F$14,PL_Saisie_Estime2!$F$20,PL_Saisie_Estime2!AB$2,PL_Saisie_Estime2!AB$1,PL_Saisie_Estime2!$C347),"")</f>
        <v/>
      </c>
      <c r="AC347" s="192" t="str">
        <f ca="1">IF(Flag_Send_Data=1,_xll.DBSW(PL_Saisie_Estime2!AC347,Server&amp;Cube1,PL_Saisie_Estime2!$F$17,PL_Saisie_Estime2!$F$18,PL_Saisie_Estime2!$F$19,PL_Saisie_Estime2!$F$16,PL_Saisie_Estime2!$C$14,PL_Saisie_Estime2!$F$15,PL_Saisie_Estime2!$F$14,PL_Saisie_Estime2!$F$20,PL_Saisie_Estime2!AC$2,PL_Saisie_Estime2!AC$1,PL_Saisie_Estime2!$C347),"")</f>
        <v/>
      </c>
      <c r="AD347" s="192" t="str">
        <f ca="1">IF(Flag_Send_Data=1,_xll.DBSW(PL_Saisie_Estime2!AD347,Server&amp;Cube1,PL_Saisie_Estime2!$F$17,PL_Saisie_Estime2!$F$18,PL_Saisie_Estime2!$F$19,PL_Saisie_Estime2!$F$16,PL_Saisie_Estime2!$C$14,PL_Saisie_Estime2!$F$15,PL_Saisie_Estime2!$F$14,PL_Saisie_Estime2!$F$20,PL_Saisie_Estime2!AD$2,PL_Saisie_Estime2!AD$1,PL_Saisie_Estime2!$C347),"")</f>
        <v/>
      </c>
      <c r="AE347" s="192" t="str">
        <f ca="1">IF(Flag_Send_Data=1,_xll.DBSW(PL_Saisie_Estime2!AE347,Server&amp;Cube1,PL_Saisie_Estime2!$F$17,PL_Saisie_Estime2!$F$18,PL_Saisie_Estime2!$F$19,PL_Saisie_Estime2!$F$16,PL_Saisie_Estime2!$C$14,PL_Saisie_Estime2!$F$15,PL_Saisie_Estime2!$F$14,PL_Saisie_Estime2!$F$20,PL_Saisie_Estime2!AE$2,PL_Saisie_Estime2!AE$1,PL_Saisie_Estime2!$C347),"")</f>
        <v/>
      </c>
      <c r="AF347" s="204"/>
      <c r="AG347" s="53"/>
      <c r="AH347" s="53"/>
      <c r="AI347" s="53"/>
      <c r="AJ347" s="53"/>
      <c r="AK347" s="53"/>
      <c r="AL347" s="53"/>
      <c r="AM347" s="53"/>
      <c r="AN347" s="53"/>
      <c r="AO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:53" s="9" customFormat="1" ht="24" customHeight="1" x14ac:dyDescent="0.35">
      <c r="A348" s="181"/>
      <c r="B348" s="163"/>
      <c r="C348" s="158"/>
      <c r="E348" s="268"/>
      <c r="F348" s="268"/>
      <c r="G348" s="268"/>
      <c r="H348" s="40"/>
      <c r="I348" s="130"/>
      <c r="J348" s="130"/>
      <c r="K348" s="130"/>
      <c r="L348" s="130"/>
      <c r="M348" s="130"/>
      <c r="N348" s="126"/>
      <c r="O348" s="204"/>
      <c r="P348" s="126"/>
      <c r="Q348" s="124"/>
      <c r="R348" s="192"/>
      <c r="S348" s="126"/>
      <c r="T348" s="200"/>
      <c r="U348" s="200"/>
      <c r="V348" s="200"/>
      <c r="W348" s="200"/>
      <c r="X348" s="200"/>
      <c r="Y348" s="200"/>
      <c r="Z348" s="192" t="str">
        <f ca="1">IF(Flag_Send_Data=1,_xll.DBSW(PL_Saisie_Estime2!Z348,Server&amp;Cube1,PL_Saisie_Estime2!$F$17,PL_Saisie_Estime2!$F$18,PL_Saisie_Estime2!$F$19,PL_Saisie_Estime2!$F$16,PL_Saisie_Estime2!$C$14,PL_Saisie_Estime2!$F$15,PL_Saisie_Estime2!$F$14,PL_Saisie_Estime2!$F$20,PL_Saisie_Estime2!Z$2,PL_Saisie_Estime2!Z$1,PL_Saisie_Estime2!$C348),"")</f>
        <v/>
      </c>
      <c r="AA348" s="192" t="str">
        <f ca="1">IF(Flag_Send_Data=1,_xll.DBSW(PL_Saisie_Estime2!AA348,Server&amp;Cube1,PL_Saisie_Estime2!$F$17,PL_Saisie_Estime2!$F$18,PL_Saisie_Estime2!$F$19,PL_Saisie_Estime2!$F$16,PL_Saisie_Estime2!$C$14,PL_Saisie_Estime2!$F$15,PL_Saisie_Estime2!$F$14,PL_Saisie_Estime2!$F$20,PL_Saisie_Estime2!AA$2,PL_Saisie_Estime2!AA$1,PL_Saisie_Estime2!$C348),"")</f>
        <v/>
      </c>
      <c r="AB348" s="192" t="str">
        <f ca="1">IF(Flag_Send_Data=1,_xll.DBSW(PL_Saisie_Estime2!AB348,Server&amp;Cube1,PL_Saisie_Estime2!$F$17,PL_Saisie_Estime2!$F$18,PL_Saisie_Estime2!$F$19,PL_Saisie_Estime2!$F$16,PL_Saisie_Estime2!$C$14,PL_Saisie_Estime2!$F$15,PL_Saisie_Estime2!$F$14,PL_Saisie_Estime2!$F$20,PL_Saisie_Estime2!AB$2,PL_Saisie_Estime2!AB$1,PL_Saisie_Estime2!$C348),"")</f>
        <v/>
      </c>
      <c r="AC348" s="192" t="str">
        <f ca="1">IF(Flag_Send_Data=1,_xll.DBSW(PL_Saisie_Estime2!AC348,Server&amp;Cube1,PL_Saisie_Estime2!$F$17,PL_Saisie_Estime2!$F$18,PL_Saisie_Estime2!$F$19,PL_Saisie_Estime2!$F$16,PL_Saisie_Estime2!$C$14,PL_Saisie_Estime2!$F$15,PL_Saisie_Estime2!$F$14,PL_Saisie_Estime2!$F$20,PL_Saisie_Estime2!AC$2,PL_Saisie_Estime2!AC$1,PL_Saisie_Estime2!$C348),"")</f>
        <v/>
      </c>
      <c r="AD348" s="192" t="str">
        <f ca="1">IF(Flag_Send_Data=1,_xll.DBSW(PL_Saisie_Estime2!AD348,Server&amp;Cube1,PL_Saisie_Estime2!$F$17,PL_Saisie_Estime2!$F$18,PL_Saisie_Estime2!$F$19,PL_Saisie_Estime2!$F$16,PL_Saisie_Estime2!$C$14,PL_Saisie_Estime2!$F$15,PL_Saisie_Estime2!$F$14,PL_Saisie_Estime2!$F$20,PL_Saisie_Estime2!AD$2,PL_Saisie_Estime2!AD$1,PL_Saisie_Estime2!$C348),"")</f>
        <v/>
      </c>
      <c r="AE348" s="192" t="str">
        <f ca="1">IF(Flag_Send_Data=1,_xll.DBSW(PL_Saisie_Estime2!AE348,Server&amp;Cube1,PL_Saisie_Estime2!$F$17,PL_Saisie_Estime2!$F$18,PL_Saisie_Estime2!$F$19,PL_Saisie_Estime2!$F$16,PL_Saisie_Estime2!$C$14,PL_Saisie_Estime2!$F$15,PL_Saisie_Estime2!$F$14,PL_Saisie_Estime2!$F$20,PL_Saisie_Estime2!AE$2,PL_Saisie_Estime2!AE$1,PL_Saisie_Estime2!$C348),"")</f>
        <v/>
      </c>
      <c r="AF348" s="204"/>
      <c r="AG348" s="53"/>
      <c r="AH348" s="53"/>
      <c r="AI348" s="53"/>
      <c r="AJ348" s="53"/>
      <c r="AK348" s="53"/>
      <c r="AL348" s="53"/>
      <c r="AM348" s="53"/>
      <c r="AN348" s="53"/>
      <c r="AO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:53" s="9" customFormat="1" ht="24" customHeight="1" x14ac:dyDescent="0.35">
      <c r="A349" s="181"/>
      <c r="B349" s="163"/>
      <c r="C349" s="158"/>
      <c r="E349" s="268"/>
      <c r="F349" s="268"/>
      <c r="G349" s="268"/>
      <c r="H349" s="40"/>
      <c r="I349" s="130"/>
      <c r="J349" s="130"/>
      <c r="K349" s="130"/>
      <c r="L349" s="130"/>
      <c r="M349" s="130"/>
      <c r="N349" s="126"/>
      <c r="O349" s="204"/>
      <c r="P349" s="126"/>
      <c r="Q349" s="124"/>
      <c r="R349" s="192"/>
      <c r="S349" s="126"/>
      <c r="T349" s="200"/>
      <c r="U349" s="200"/>
      <c r="V349" s="200"/>
      <c r="W349" s="200"/>
      <c r="X349" s="200"/>
      <c r="Y349" s="200"/>
      <c r="Z349" s="192" t="str">
        <f ca="1">IF(Flag_Send_Data=1,_xll.DBSW(PL_Saisie_Estime2!Z349,Server&amp;Cube1,PL_Saisie_Estime2!$F$17,PL_Saisie_Estime2!$F$18,PL_Saisie_Estime2!$F$19,PL_Saisie_Estime2!$F$16,PL_Saisie_Estime2!$C$14,PL_Saisie_Estime2!$F$15,PL_Saisie_Estime2!$F$14,PL_Saisie_Estime2!$F$20,PL_Saisie_Estime2!Z$2,PL_Saisie_Estime2!Z$1,PL_Saisie_Estime2!$C349),"")</f>
        <v/>
      </c>
      <c r="AA349" s="192" t="str">
        <f ca="1">IF(Flag_Send_Data=1,_xll.DBSW(PL_Saisie_Estime2!AA349,Server&amp;Cube1,PL_Saisie_Estime2!$F$17,PL_Saisie_Estime2!$F$18,PL_Saisie_Estime2!$F$19,PL_Saisie_Estime2!$F$16,PL_Saisie_Estime2!$C$14,PL_Saisie_Estime2!$F$15,PL_Saisie_Estime2!$F$14,PL_Saisie_Estime2!$F$20,PL_Saisie_Estime2!AA$2,PL_Saisie_Estime2!AA$1,PL_Saisie_Estime2!$C349),"")</f>
        <v/>
      </c>
      <c r="AB349" s="192" t="str">
        <f ca="1">IF(Flag_Send_Data=1,_xll.DBSW(PL_Saisie_Estime2!AB349,Server&amp;Cube1,PL_Saisie_Estime2!$F$17,PL_Saisie_Estime2!$F$18,PL_Saisie_Estime2!$F$19,PL_Saisie_Estime2!$F$16,PL_Saisie_Estime2!$C$14,PL_Saisie_Estime2!$F$15,PL_Saisie_Estime2!$F$14,PL_Saisie_Estime2!$F$20,PL_Saisie_Estime2!AB$2,PL_Saisie_Estime2!AB$1,PL_Saisie_Estime2!$C349),"")</f>
        <v/>
      </c>
      <c r="AC349" s="192" t="str">
        <f ca="1">IF(Flag_Send_Data=1,_xll.DBSW(PL_Saisie_Estime2!AC349,Server&amp;Cube1,PL_Saisie_Estime2!$F$17,PL_Saisie_Estime2!$F$18,PL_Saisie_Estime2!$F$19,PL_Saisie_Estime2!$F$16,PL_Saisie_Estime2!$C$14,PL_Saisie_Estime2!$F$15,PL_Saisie_Estime2!$F$14,PL_Saisie_Estime2!$F$20,PL_Saisie_Estime2!AC$2,PL_Saisie_Estime2!AC$1,PL_Saisie_Estime2!$C349),"")</f>
        <v/>
      </c>
      <c r="AD349" s="192" t="str">
        <f ca="1">IF(Flag_Send_Data=1,_xll.DBSW(PL_Saisie_Estime2!AD349,Server&amp;Cube1,PL_Saisie_Estime2!$F$17,PL_Saisie_Estime2!$F$18,PL_Saisie_Estime2!$F$19,PL_Saisie_Estime2!$F$16,PL_Saisie_Estime2!$C$14,PL_Saisie_Estime2!$F$15,PL_Saisie_Estime2!$F$14,PL_Saisie_Estime2!$F$20,PL_Saisie_Estime2!AD$2,PL_Saisie_Estime2!AD$1,PL_Saisie_Estime2!$C349),"")</f>
        <v/>
      </c>
      <c r="AE349" s="192" t="str">
        <f ca="1">IF(Flag_Send_Data=1,_xll.DBSW(PL_Saisie_Estime2!AE349,Server&amp;Cube1,PL_Saisie_Estime2!$F$17,PL_Saisie_Estime2!$F$18,PL_Saisie_Estime2!$F$19,PL_Saisie_Estime2!$F$16,PL_Saisie_Estime2!$C$14,PL_Saisie_Estime2!$F$15,PL_Saisie_Estime2!$F$14,PL_Saisie_Estime2!$F$20,PL_Saisie_Estime2!AE$2,PL_Saisie_Estime2!AE$1,PL_Saisie_Estime2!$C349),"")</f>
        <v/>
      </c>
      <c r="AF349" s="204"/>
      <c r="AG349" s="53"/>
      <c r="AH349" s="53"/>
      <c r="AI349" s="53"/>
      <c r="AJ349" s="53"/>
      <c r="AK349" s="53"/>
      <c r="AL349" s="53"/>
      <c r="AM349" s="53"/>
      <c r="AN349" s="53"/>
      <c r="AO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:53" s="9" customFormat="1" ht="24" customHeight="1" x14ac:dyDescent="0.35">
      <c r="A350" s="181"/>
      <c r="B350" s="163"/>
      <c r="C350" s="158"/>
      <c r="E350" s="268"/>
      <c r="F350" s="268"/>
      <c r="G350" s="268"/>
      <c r="H350" s="40"/>
      <c r="I350" s="130"/>
      <c r="J350" s="130"/>
      <c r="K350" s="130"/>
      <c r="L350" s="130"/>
      <c r="M350" s="130"/>
      <c r="N350" s="126"/>
      <c r="O350" s="204"/>
      <c r="P350" s="126"/>
      <c r="Q350" s="124"/>
      <c r="R350" s="192"/>
      <c r="S350" s="126"/>
      <c r="T350" s="200"/>
      <c r="U350" s="200"/>
      <c r="V350" s="200"/>
      <c r="W350" s="200"/>
      <c r="X350" s="200"/>
      <c r="Y350" s="200"/>
      <c r="Z350" s="192" t="str">
        <f ca="1">IF(Flag_Send_Data=1,_xll.DBSW(PL_Saisie_Estime2!Z350,Server&amp;Cube1,PL_Saisie_Estime2!$F$17,PL_Saisie_Estime2!$F$18,PL_Saisie_Estime2!$F$19,PL_Saisie_Estime2!$F$16,PL_Saisie_Estime2!$C$14,PL_Saisie_Estime2!$F$15,PL_Saisie_Estime2!$F$14,PL_Saisie_Estime2!$F$20,PL_Saisie_Estime2!Z$2,PL_Saisie_Estime2!Z$1,PL_Saisie_Estime2!$C350),"")</f>
        <v/>
      </c>
      <c r="AA350" s="192" t="str">
        <f ca="1">IF(Flag_Send_Data=1,_xll.DBSW(PL_Saisie_Estime2!AA350,Server&amp;Cube1,PL_Saisie_Estime2!$F$17,PL_Saisie_Estime2!$F$18,PL_Saisie_Estime2!$F$19,PL_Saisie_Estime2!$F$16,PL_Saisie_Estime2!$C$14,PL_Saisie_Estime2!$F$15,PL_Saisie_Estime2!$F$14,PL_Saisie_Estime2!$F$20,PL_Saisie_Estime2!AA$2,PL_Saisie_Estime2!AA$1,PL_Saisie_Estime2!$C350),"")</f>
        <v/>
      </c>
      <c r="AB350" s="192" t="str">
        <f ca="1">IF(Flag_Send_Data=1,_xll.DBSW(PL_Saisie_Estime2!AB350,Server&amp;Cube1,PL_Saisie_Estime2!$F$17,PL_Saisie_Estime2!$F$18,PL_Saisie_Estime2!$F$19,PL_Saisie_Estime2!$F$16,PL_Saisie_Estime2!$C$14,PL_Saisie_Estime2!$F$15,PL_Saisie_Estime2!$F$14,PL_Saisie_Estime2!$F$20,PL_Saisie_Estime2!AB$2,PL_Saisie_Estime2!AB$1,PL_Saisie_Estime2!$C350),"")</f>
        <v/>
      </c>
      <c r="AC350" s="192" t="str">
        <f ca="1">IF(Flag_Send_Data=1,_xll.DBSW(PL_Saisie_Estime2!AC350,Server&amp;Cube1,PL_Saisie_Estime2!$F$17,PL_Saisie_Estime2!$F$18,PL_Saisie_Estime2!$F$19,PL_Saisie_Estime2!$F$16,PL_Saisie_Estime2!$C$14,PL_Saisie_Estime2!$F$15,PL_Saisie_Estime2!$F$14,PL_Saisie_Estime2!$F$20,PL_Saisie_Estime2!AC$2,PL_Saisie_Estime2!AC$1,PL_Saisie_Estime2!$C350),"")</f>
        <v/>
      </c>
      <c r="AD350" s="192" t="str">
        <f ca="1">IF(Flag_Send_Data=1,_xll.DBSW(PL_Saisie_Estime2!AD350,Server&amp;Cube1,PL_Saisie_Estime2!$F$17,PL_Saisie_Estime2!$F$18,PL_Saisie_Estime2!$F$19,PL_Saisie_Estime2!$F$16,PL_Saisie_Estime2!$C$14,PL_Saisie_Estime2!$F$15,PL_Saisie_Estime2!$F$14,PL_Saisie_Estime2!$F$20,PL_Saisie_Estime2!AD$2,PL_Saisie_Estime2!AD$1,PL_Saisie_Estime2!$C350),"")</f>
        <v/>
      </c>
      <c r="AE350" s="192" t="str">
        <f ca="1">IF(Flag_Send_Data=1,_xll.DBSW(PL_Saisie_Estime2!AE350,Server&amp;Cube1,PL_Saisie_Estime2!$F$17,PL_Saisie_Estime2!$F$18,PL_Saisie_Estime2!$F$19,PL_Saisie_Estime2!$F$16,PL_Saisie_Estime2!$C$14,PL_Saisie_Estime2!$F$15,PL_Saisie_Estime2!$F$14,PL_Saisie_Estime2!$F$20,PL_Saisie_Estime2!AE$2,PL_Saisie_Estime2!AE$1,PL_Saisie_Estime2!$C350),"")</f>
        <v/>
      </c>
      <c r="AF350" s="204"/>
      <c r="AG350" s="53"/>
      <c r="AH350" s="53"/>
      <c r="AI350" s="53"/>
      <c r="AJ350" s="53"/>
      <c r="AK350" s="53"/>
      <c r="AL350" s="53"/>
      <c r="AM350" s="53"/>
      <c r="AN350" s="53"/>
      <c r="AO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:53" s="9" customFormat="1" ht="24" customHeight="1" x14ac:dyDescent="0.35">
      <c r="A351" s="181"/>
      <c r="B351" s="163"/>
      <c r="C351" s="158"/>
      <c r="E351" s="268"/>
      <c r="F351" s="268"/>
      <c r="G351" s="268"/>
      <c r="H351" s="40"/>
      <c r="I351" s="130"/>
      <c r="J351" s="130"/>
      <c r="K351" s="130"/>
      <c r="L351" s="130"/>
      <c r="M351" s="130"/>
      <c r="N351" s="126"/>
      <c r="O351" s="204"/>
      <c r="P351" s="126"/>
      <c r="Q351" s="124"/>
      <c r="R351" s="192"/>
      <c r="S351" s="126"/>
      <c r="T351" s="200"/>
      <c r="U351" s="200"/>
      <c r="V351" s="200"/>
      <c r="W351" s="200"/>
      <c r="X351" s="200"/>
      <c r="Y351" s="200"/>
      <c r="Z351" s="192" t="str">
        <f ca="1">IF(Flag_Send_Data=1,_xll.DBSW(PL_Saisie_Estime2!Z351,Server&amp;Cube1,PL_Saisie_Estime2!$F$17,PL_Saisie_Estime2!$F$18,PL_Saisie_Estime2!$F$19,PL_Saisie_Estime2!$F$16,PL_Saisie_Estime2!$C$14,PL_Saisie_Estime2!$F$15,PL_Saisie_Estime2!$F$14,PL_Saisie_Estime2!$F$20,PL_Saisie_Estime2!Z$2,PL_Saisie_Estime2!Z$1,PL_Saisie_Estime2!$C351),"")</f>
        <v/>
      </c>
      <c r="AA351" s="192" t="str">
        <f ca="1">IF(Flag_Send_Data=1,_xll.DBSW(PL_Saisie_Estime2!AA351,Server&amp;Cube1,PL_Saisie_Estime2!$F$17,PL_Saisie_Estime2!$F$18,PL_Saisie_Estime2!$F$19,PL_Saisie_Estime2!$F$16,PL_Saisie_Estime2!$C$14,PL_Saisie_Estime2!$F$15,PL_Saisie_Estime2!$F$14,PL_Saisie_Estime2!$F$20,PL_Saisie_Estime2!AA$2,PL_Saisie_Estime2!AA$1,PL_Saisie_Estime2!$C351),"")</f>
        <v/>
      </c>
      <c r="AB351" s="192" t="str">
        <f ca="1">IF(Flag_Send_Data=1,_xll.DBSW(PL_Saisie_Estime2!AB351,Server&amp;Cube1,PL_Saisie_Estime2!$F$17,PL_Saisie_Estime2!$F$18,PL_Saisie_Estime2!$F$19,PL_Saisie_Estime2!$F$16,PL_Saisie_Estime2!$C$14,PL_Saisie_Estime2!$F$15,PL_Saisie_Estime2!$F$14,PL_Saisie_Estime2!$F$20,PL_Saisie_Estime2!AB$2,PL_Saisie_Estime2!AB$1,PL_Saisie_Estime2!$C351),"")</f>
        <v/>
      </c>
      <c r="AC351" s="192" t="str">
        <f ca="1">IF(Flag_Send_Data=1,_xll.DBSW(PL_Saisie_Estime2!AC351,Server&amp;Cube1,PL_Saisie_Estime2!$F$17,PL_Saisie_Estime2!$F$18,PL_Saisie_Estime2!$F$19,PL_Saisie_Estime2!$F$16,PL_Saisie_Estime2!$C$14,PL_Saisie_Estime2!$F$15,PL_Saisie_Estime2!$F$14,PL_Saisie_Estime2!$F$20,PL_Saisie_Estime2!AC$2,PL_Saisie_Estime2!AC$1,PL_Saisie_Estime2!$C351),"")</f>
        <v/>
      </c>
      <c r="AD351" s="192" t="str">
        <f ca="1">IF(Flag_Send_Data=1,_xll.DBSW(PL_Saisie_Estime2!AD351,Server&amp;Cube1,PL_Saisie_Estime2!$F$17,PL_Saisie_Estime2!$F$18,PL_Saisie_Estime2!$F$19,PL_Saisie_Estime2!$F$16,PL_Saisie_Estime2!$C$14,PL_Saisie_Estime2!$F$15,PL_Saisie_Estime2!$F$14,PL_Saisie_Estime2!$F$20,PL_Saisie_Estime2!AD$2,PL_Saisie_Estime2!AD$1,PL_Saisie_Estime2!$C351),"")</f>
        <v/>
      </c>
      <c r="AE351" s="192" t="str">
        <f ca="1">IF(Flag_Send_Data=1,_xll.DBSW(PL_Saisie_Estime2!AE351,Server&amp;Cube1,PL_Saisie_Estime2!$F$17,PL_Saisie_Estime2!$F$18,PL_Saisie_Estime2!$F$19,PL_Saisie_Estime2!$F$16,PL_Saisie_Estime2!$C$14,PL_Saisie_Estime2!$F$15,PL_Saisie_Estime2!$F$14,PL_Saisie_Estime2!$F$20,PL_Saisie_Estime2!AE$2,PL_Saisie_Estime2!AE$1,PL_Saisie_Estime2!$C351),"")</f>
        <v/>
      </c>
      <c r="AF351" s="204"/>
      <c r="AG351" s="53"/>
      <c r="AH351" s="53"/>
      <c r="AI351" s="53"/>
      <c r="AJ351" s="53"/>
      <c r="AK351" s="53"/>
      <c r="AL351" s="53"/>
      <c r="AM351" s="53"/>
      <c r="AN351" s="53"/>
      <c r="AO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:53" s="9" customFormat="1" ht="24" customHeight="1" x14ac:dyDescent="0.35">
      <c r="A352" s="181"/>
      <c r="B352" s="163"/>
      <c r="C352" s="158"/>
      <c r="E352" s="268"/>
      <c r="F352" s="268"/>
      <c r="G352" s="268"/>
      <c r="H352" s="40"/>
      <c r="I352" s="130"/>
      <c r="J352" s="130"/>
      <c r="K352" s="130"/>
      <c r="L352" s="130"/>
      <c r="M352" s="130"/>
      <c r="N352" s="126"/>
      <c r="O352" s="204"/>
      <c r="P352" s="126"/>
      <c r="Q352" s="124"/>
      <c r="R352" s="192"/>
      <c r="S352" s="126"/>
      <c r="T352" s="200"/>
      <c r="U352" s="200"/>
      <c r="V352" s="200"/>
      <c r="W352" s="200"/>
      <c r="X352" s="200"/>
      <c r="Y352" s="200"/>
      <c r="Z352" s="192" t="str">
        <f ca="1">IF(Flag_Send_Data=1,_xll.DBSW(PL_Saisie_Estime2!Z352,Server&amp;Cube1,PL_Saisie_Estime2!$F$17,PL_Saisie_Estime2!$F$18,PL_Saisie_Estime2!$F$19,PL_Saisie_Estime2!$F$16,PL_Saisie_Estime2!$C$14,PL_Saisie_Estime2!$F$15,PL_Saisie_Estime2!$F$14,PL_Saisie_Estime2!$F$20,PL_Saisie_Estime2!Z$2,PL_Saisie_Estime2!Z$1,PL_Saisie_Estime2!$C352),"")</f>
        <v/>
      </c>
      <c r="AA352" s="192" t="str">
        <f ca="1">IF(Flag_Send_Data=1,_xll.DBSW(PL_Saisie_Estime2!AA352,Server&amp;Cube1,PL_Saisie_Estime2!$F$17,PL_Saisie_Estime2!$F$18,PL_Saisie_Estime2!$F$19,PL_Saisie_Estime2!$F$16,PL_Saisie_Estime2!$C$14,PL_Saisie_Estime2!$F$15,PL_Saisie_Estime2!$F$14,PL_Saisie_Estime2!$F$20,PL_Saisie_Estime2!AA$2,PL_Saisie_Estime2!AA$1,PL_Saisie_Estime2!$C352),"")</f>
        <v/>
      </c>
      <c r="AB352" s="192" t="str">
        <f ca="1">IF(Flag_Send_Data=1,_xll.DBSW(PL_Saisie_Estime2!AB352,Server&amp;Cube1,PL_Saisie_Estime2!$F$17,PL_Saisie_Estime2!$F$18,PL_Saisie_Estime2!$F$19,PL_Saisie_Estime2!$F$16,PL_Saisie_Estime2!$C$14,PL_Saisie_Estime2!$F$15,PL_Saisie_Estime2!$F$14,PL_Saisie_Estime2!$F$20,PL_Saisie_Estime2!AB$2,PL_Saisie_Estime2!AB$1,PL_Saisie_Estime2!$C352),"")</f>
        <v/>
      </c>
      <c r="AC352" s="192" t="str">
        <f ca="1">IF(Flag_Send_Data=1,_xll.DBSW(PL_Saisie_Estime2!AC352,Server&amp;Cube1,PL_Saisie_Estime2!$F$17,PL_Saisie_Estime2!$F$18,PL_Saisie_Estime2!$F$19,PL_Saisie_Estime2!$F$16,PL_Saisie_Estime2!$C$14,PL_Saisie_Estime2!$F$15,PL_Saisie_Estime2!$F$14,PL_Saisie_Estime2!$F$20,PL_Saisie_Estime2!AC$2,PL_Saisie_Estime2!AC$1,PL_Saisie_Estime2!$C352),"")</f>
        <v/>
      </c>
      <c r="AD352" s="192" t="str">
        <f ca="1">IF(Flag_Send_Data=1,_xll.DBSW(PL_Saisie_Estime2!AD352,Server&amp;Cube1,PL_Saisie_Estime2!$F$17,PL_Saisie_Estime2!$F$18,PL_Saisie_Estime2!$F$19,PL_Saisie_Estime2!$F$16,PL_Saisie_Estime2!$C$14,PL_Saisie_Estime2!$F$15,PL_Saisie_Estime2!$F$14,PL_Saisie_Estime2!$F$20,PL_Saisie_Estime2!AD$2,PL_Saisie_Estime2!AD$1,PL_Saisie_Estime2!$C352),"")</f>
        <v/>
      </c>
      <c r="AE352" s="192" t="str">
        <f ca="1">IF(Flag_Send_Data=1,_xll.DBSW(PL_Saisie_Estime2!AE352,Server&amp;Cube1,PL_Saisie_Estime2!$F$17,PL_Saisie_Estime2!$F$18,PL_Saisie_Estime2!$F$19,PL_Saisie_Estime2!$F$16,PL_Saisie_Estime2!$C$14,PL_Saisie_Estime2!$F$15,PL_Saisie_Estime2!$F$14,PL_Saisie_Estime2!$F$20,PL_Saisie_Estime2!AE$2,PL_Saisie_Estime2!AE$1,PL_Saisie_Estime2!$C352),"")</f>
        <v/>
      </c>
      <c r="AF352" s="204"/>
      <c r="AG352" s="53"/>
      <c r="AH352" s="53"/>
      <c r="AI352" s="53"/>
      <c r="AJ352" s="53"/>
      <c r="AK352" s="53"/>
      <c r="AL352" s="53"/>
      <c r="AM352" s="53"/>
      <c r="AN352" s="53"/>
      <c r="AO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:53" s="9" customFormat="1" ht="24" customHeight="1" x14ac:dyDescent="0.35">
      <c r="A353" s="181"/>
      <c r="B353" s="163"/>
      <c r="C353" s="117"/>
      <c r="E353" s="214"/>
      <c r="F353" s="214"/>
      <c r="G353" s="214"/>
      <c r="H353" s="40"/>
      <c r="I353" s="130"/>
      <c r="J353" s="130"/>
      <c r="K353" s="130"/>
      <c r="L353" s="130"/>
      <c r="M353" s="130"/>
      <c r="N353" s="125"/>
      <c r="O353" s="125"/>
      <c r="P353" s="125"/>
      <c r="Q353" s="124"/>
      <c r="R353" s="125"/>
      <c r="S353" s="125"/>
      <c r="T353" s="201"/>
      <c r="U353" s="201"/>
      <c r="V353" s="201"/>
      <c r="W353" s="201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53"/>
      <c r="AH353" s="53"/>
      <c r="AI353" s="53"/>
      <c r="AJ353" s="53"/>
      <c r="AK353" s="53"/>
      <c r="AL353" s="53"/>
      <c r="AM353" s="53"/>
      <c r="AN353" s="53"/>
      <c r="AO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:53" s="9" customFormat="1" ht="24" customHeight="1" x14ac:dyDescent="0.35">
      <c r="A354" s="181"/>
      <c r="B354" s="163"/>
      <c r="C354" s="158"/>
      <c r="E354" s="268"/>
      <c r="F354" s="268"/>
      <c r="G354" s="268"/>
      <c r="H354" s="40"/>
      <c r="I354" s="130"/>
      <c r="J354" s="130"/>
      <c r="K354" s="130"/>
      <c r="L354" s="130"/>
      <c r="M354" s="130"/>
      <c r="N354" s="126"/>
      <c r="O354" s="204"/>
      <c r="P354" s="126"/>
      <c r="Q354" s="124"/>
      <c r="R354" s="192"/>
      <c r="S354" s="126"/>
      <c r="T354" s="200"/>
      <c r="U354" s="200"/>
      <c r="V354" s="200"/>
      <c r="W354" s="200"/>
      <c r="X354" s="200"/>
      <c r="Y354" s="200"/>
      <c r="Z354" s="192" t="str">
        <f ca="1">IF(Flag_Send_Data=1,_xll.DBSW(PL_Saisie_Estime2!Z354,Server&amp;Cube1,PL_Saisie_Estime2!$F$17,PL_Saisie_Estime2!$F$18,PL_Saisie_Estime2!$F$19,PL_Saisie_Estime2!$F$16,PL_Saisie_Estime2!$C$14,PL_Saisie_Estime2!$F$15,PL_Saisie_Estime2!$F$14,PL_Saisie_Estime2!$F$20,PL_Saisie_Estime2!Z$2,PL_Saisie_Estime2!Z$1,PL_Saisie_Estime2!$C354),"")</f>
        <v/>
      </c>
      <c r="AA354" s="192" t="str">
        <f ca="1">IF(Flag_Send_Data=1,_xll.DBSW(PL_Saisie_Estime2!AA354,Server&amp;Cube1,PL_Saisie_Estime2!$F$17,PL_Saisie_Estime2!$F$18,PL_Saisie_Estime2!$F$19,PL_Saisie_Estime2!$F$16,PL_Saisie_Estime2!$C$14,PL_Saisie_Estime2!$F$15,PL_Saisie_Estime2!$F$14,PL_Saisie_Estime2!$F$20,PL_Saisie_Estime2!AA$2,PL_Saisie_Estime2!AA$1,PL_Saisie_Estime2!$C354),"")</f>
        <v/>
      </c>
      <c r="AB354" s="192" t="str">
        <f ca="1">IF(Flag_Send_Data=1,_xll.DBSW(PL_Saisie_Estime2!AB354,Server&amp;Cube1,PL_Saisie_Estime2!$F$17,PL_Saisie_Estime2!$F$18,PL_Saisie_Estime2!$F$19,PL_Saisie_Estime2!$F$16,PL_Saisie_Estime2!$C$14,PL_Saisie_Estime2!$F$15,PL_Saisie_Estime2!$F$14,PL_Saisie_Estime2!$F$20,PL_Saisie_Estime2!AB$2,PL_Saisie_Estime2!AB$1,PL_Saisie_Estime2!$C354),"")</f>
        <v/>
      </c>
      <c r="AC354" s="192" t="str">
        <f ca="1">IF(Flag_Send_Data=1,_xll.DBSW(PL_Saisie_Estime2!AC354,Server&amp;Cube1,PL_Saisie_Estime2!$F$17,PL_Saisie_Estime2!$F$18,PL_Saisie_Estime2!$F$19,PL_Saisie_Estime2!$F$16,PL_Saisie_Estime2!$C$14,PL_Saisie_Estime2!$F$15,PL_Saisie_Estime2!$F$14,PL_Saisie_Estime2!$F$20,PL_Saisie_Estime2!AC$2,PL_Saisie_Estime2!AC$1,PL_Saisie_Estime2!$C354),"")</f>
        <v/>
      </c>
      <c r="AD354" s="192" t="str">
        <f ca="1">IF(Flag_Send_Data=1,_xll.DBSW(PL_Saisie_Estime2!AD354,Server&amp;Cube1,PL_Saisie_Estime2!$F$17,PL_Saisie_Estime2!$F$18,PL_Saisie_Estime2!$F$19,PL_Saisie_Estime2!$F$16,PL_Saisie_Estime2!$C$14,PL_Saisie_Estime2!$F$15,PL_Saisie_Estime2!$F$14,PL_Saisie_Estime2!$F$20,PL_Saisie_Estime2!AD$2,PL_Saisie_Estime2!AD$1,PL_Saisie_Estime2!$C354),"")</f>
        <v/>
      </c>
      <c r="AE354" s="192" t="str">
        <f ca="1">IF(Flag_Send_Data=1,_xll.DBSW(PL_Saisie_Estime2!AE354,Server&amp;Cube1,PL_Saisie_Estime2!$F$17,PL_Saisie_Estime2!$F$18,PL_Saisie_Estime2!$F$19,PL_Saisie_Estime2!$F$16,PL_Saisie_Estime2!$C$14,PL_Saisie_Estime2!$F$15,PL_Saisie_Estime2!$F$14,PL_Saisie_Estime2!$F$20,PL_Saisie_Estime2!AE$2,PL_Saisie_Estime2!AE$1,PL_Saisie_Estime2!$C354),"")</f>
        <v/>
      </c>
      <c r="AF354" s="204"/>
      <c r="AG354" s="53"/>
      <c r="AH354" s="53"/>
      <c r="AI354" s="53"/>
      <c r="AJ354" s="53"/>
      <c r="AK354" s="53"/>
      <c r="AL354" s="53"/>
      <c r="AM354" s="53"/>
      <c r="AN354" s="53"/>
      <c r="AO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:53" s="9" customFormat="1" ht="24" customHeight="1" x14ac:dyDescent="0.35">
      <c r="A355" s="181"/>
      <c r="B355" s="163"/>
      <c r="C355" s="158"/>
      <c r="E355" s="268"/>
      <c r="F355" s="268"/>
      <c r="G355" s="268"/>
      <c r="H355" s="40"/>
      <c r="I355" s="130"/>
      <c r="J355" s="130"/>
      <c r="K355" s="130"/>
      <c r="L355" s="130"/>
      <c r="M355" s="130"/>
      <c r="N355" s="126"/>
      <c r="O355" s="204"/>
      <c r="P355" s="126"/>
      <c r="Q355" s="124"/>
      <c r="R355" s="192"/>
      <c r="S355" s="126"/>
      <c r="T355" s="200"/>
      <c r="U355" s="200"/>
      <c r="V355" s="200"/>
      <c r="W355" s="200"/>
      <c r="X355" s="200"/>
      <c r="Y355" s="200"/>
      <c r="Z355" s="192" t="str">
        <f ca="1">IF(Flag_Send_Data=1,_xll.DBSW(PL_Saisie_Estime2!Z355,Server&amp;Cube1,PL_Saisie_Estime2!$F$17,PL_Saisie_Estime2!$F$18,PL_Saisie_Estime2!$F$19,PL_Saisie_Estime2!$F$16,PL_Saisie_Estime2!$C$14,PL_Saisie_Estime2!$F$15,PL_Saisie_Estime2!$F$14,PL_Saisie_Estime2!$F$20,PL_Saisie_Estime2!Z$2,PL_Saisie_Estime2!Z$1,PL_Saisie_Estime2!$C355),"")</f>
        <v/>
      </c>
      <c r="AA355" s="192" t="str">
        <f ca="1">IF(Flag_Send_Data=1,_xll.DBSW(PL_Saisie_Estime2!AA355,Server&amp;Cube1,PL_Saisie_Estime2!$F$17,PL_Saisie_Estime2!$F$18,PL_Saisie_Estime2!$F$19,PL_Saisie_Estime2!$F$16,PL_Saisie_Estime2!$C$14,PL_Saisie_Estime2!$F$15,PL_Saisie_Estime2!$F$14,PL_Saisie_Estime2!$F$20,PL_Saisie_Estime2!AA$2,PL_Saisie_Estime2!AA$1,PL_Saisie_Estime2!$C355),"")</f>
        <v/>
      </c>
      <c r="AB355" s="192" t="str">
        <f ca="1">IF(Flag_Send_Data=1,_xll.DBSW(PL_Saisie_Estime2!AB355,Server&amp;Cube1,PL_Saisie_Estime2!$F$17,PL_Saisie_Estime2!$F$18,PL_Saisie_Estime2!$F$19,PL_Saisie_Estime2!$F$16,PL_Saisie_Estime2!$C$14,PL_Saisie_Estime2!$F$15,PL_Saisie_Estime2!$F$14,PL_Saisie_Estime2!$F$20,PL_Saisie_Estime2!AB$2,PL_Saisie_Estime2!AB$1,PL_Saisie_Estime2!$C355),"")</f>
        <v/>
      </c>
      <c r="AC355" s="192" t="str">
        <f ca="1">IF(Flag_Send_Data=1,_xll.DBSW(PL_Saisie_Estime2!AC355,Server&amp;Cube1,PL_Saisie_Estime2!$F$17,PL_Saisie_Estime2!$F$18,PL_Saisie_Estime2!$F$19,PL_Saisie_Estime2!$F$16,PL_Saisie_Estime2!$C$14,PL_Saisie_Estime2!$F$15,PL_Saisie_Estime2!$F$14,PL_Saisie_Estime2!$F$20,PL_Saisie_Estime2!AC$2,PL_Saisie_Estime2!AC$1,PL_Saisie_Estime2!$C355),"")</f>
        <v/>
      </c>
      <c r="AD355" s="192" t="str">
        <f ca="1">IF(Flag_Send_Data=1,_xll.DBSW(PL_Saisie_Estime2!AD355,Server&amp;Cube1,PL_Saisie_Estime2!$F$17,PL_Saisie_Estime2!$F$18,PL_Saisie_Estime2!$F$19,PL_Saisie_Estime2!$F$16,PL_Saisie_Estime2!$C$14,PL_Saisie_Estime2!$F$15,PL_Saisie_Estime2!$F$14,PL_Saisie_Estime2!$F$20,PL_Saisie_Estime2!AD$2,PL_Saisie_Estime2!AD$1,PL_Saisie_Estime2!$C355),"")</f>
        <v/>
      </c>
      <c r="AE355" s="192" t="str">
        <f ca="1">IF(Flag_Send_Data=1,_xll.DBSW(PL_Saisie_Estime2!AE355,Server&amp;Cube1,PL_Saisie_Estime2!$F$17,PL_Saisie_Estime2!$F$18,PL_Saisie_Estime2!$F$19,PL_Saisie_Estime2!$F$16,PL_Saisie_Estime2!$C$14,PL_Saisie_Estime2!$F$15,PL_Saisie_Estime2!$F$14,PL_Saisie_Estime2!$F$20,PL_Saisie_Estime2!AE$2,PL_Saisie_Estime2!AE$1,PL_Saisie_Estime2!$C355),"")</f>
        <v/>
      </c>
      <c r="AF355" s="204"/>
      <c r="AG355" s="53"/>
      <c r="AH355" s="53"/>
      <c r="AI355" s="53"/>
      <c r="AJ355" s="53"/>
      <c r="AK355" s="53"/>
      <c r="AL355" s="53"/>
      <c r="AM355" s="53"/>
      <c r="AN355" s="53"/>
      <c r="AO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:53" s="9" customFormat="1" ht="24" customHeight="1" x14ac:dyDescent="0.35">
      <c r="A356" s="181"/>
      <c r="B356" s="163"/>
      <c r="C356" s="158"/>
      <c r="E356" s="268"/>
      <c r="F356" s="268"/>
      <c r="G356" s="268"/>
      <c r="H356" s="40"/>
      <c r="I356" s="130"/>
      <c r="J356" s="130"/>
      <c r="K356" s="130"/>
      <c r="L356" s="130"/>
      <c r="M356" s="130"/>
      <c r="N356" s="126"/>
      <c r="O356" s="204"/>
      <c r="P356" s="126"/>
      <c r="Q356" s="124"/>
      <c r="R356" s="192"/>
      <c r="S356" s="126"/>
      <c r="T356" s="200"/>
      <c r="U356" s="200"/>
      <c r="V356" s="200"/>
      <c r="W356" s="200"/>
      <c r="X356" s="200"/>
      <c r="Y356" s="200"/>
      <c r="Z356" s="192" t="str">
        <f ca="1">IF(Flag_Send_Data=1,_xll.DBSW(PL_Saisie_Estime2!Z356,Server&amp;Cube1,PL_Saisie_Estime2!$F$17,PL_Saisie_Estime2!$F$18,PL_Saisie_Estime2!$F$19,PL_Saisie_Estime2!$F$16,PL_Saisie_Estime2!$C$14,PL_Saisie_Estime2!$F$15,PL_Saisie_Estime2!$F$14,PL_Saisie_Estime2!$F$20,PL_Saisie_Estime2!Z$2,PL_Saisie_Estime2!Z$1,PL_Saisie_Estime2!$C356),"")</f>
        <v/>
      </c>
      <c r="AA356" s="192" t="str">
        <f ca="1">IF(Flag_Send_Data=1,_xll.DBSW(PL_Saisie_Estime2!AA356,Server&amp;Cube1,PL_Saisie_Estime2!$F$17,PL_Saisie_Estime2!$F$18,PL_Saisie_Estime2!$F$19,PL_Saisie_Estime2!$F$16,PL_Saisie_Estime2!$C$14,PL_Saisie_Estime2!$F$15,PL_Saisie_Estime2!$F$14,PL_Saisie_Estime2!$F$20,PL_Saisie_Estime2!AA$2,PL_Saisie_Estime2!AA$1,PL_Saisie_Estime2!$C356),"")</f>
        <v/>
      </c>
      <c r="AB356" s="192" t="str">
        <f ca="1">IF(Flag_Send_Data=1,_xll.DBSW(PL_Saisie_Estime2!AB356,Server&amp;Cube1,PL_Saisie_Estime2!$F$17,PL_Saisie_Estime2!$F$18,PL_Saisie_Estime2!$F$19,PL_Saisie_Estime2!$F$16,PL_Saisie_Estime2!$C$14,PL_Saisie_Estime2!$F$15,PL_Saisie_Estime2!$F$14,PL_Saisie_Estime2!$F$20,PL_Saisie_Estime2!AB$2,PL_Saisie_Estime2!AB$1,PL_Saisie_Estime2!$C356),"")</f>
        <v/>
      </c>
      <c r="AC356" s="192" t="str">
        <f ca="1">IF(Flag_Send_Data=1,_xll.DBSW(PL_Saisie_Estime2!AC356,Server&amp;Cube1,PL_Saisie_Estime2!$F$17,PL_Saisie_Estime2!$F$18,PL_Saisie_Estime2!$F$19,PL_Saisie_Estime2!$F$16,PL_Saisie_Estime2!$C$14,PL_Saisie_Estime2!$F$15,PL_Saisie_Estime2!$F$14,PL_Saisie_Estime2!$F$20,PL_Saisie_Estime2!AC$2,PL_Saisie_Estime2!AC$1,PL_Saisie_Estime2!$C356),"")</f>
        <v/>
      </c>
      <c r="AD356" s="192" t="str">
        <f ca="1">IF(Flag_Send_Data=1,_xll.DBSW(PL_Saisie_Estime2!AD356,Server&amp;Cube1,PL_Saisie_Estime2!$F$17,PL_Saisie_Estime2!$F$18,PL_Saisie_Estime2!$F$19,PL_Saisie_Estime2!$F$16,PL_Saisie_Estime2!$C$14,PL_Saisie_Estime2!$F$15,PL_Saisie_Estime2!$F$14,PL_Saisie_Estime2!$F$20,PL_Saisie_Estime2!AD$2,PL_Saisie_Estime2!AD$1,PL_Saisie_Estime2!$C356),"")</f>
        <v/>
      </c>
      <c r="AE356" s="192" t="str">
        <f ca="1">IF(Flag_Send_Data=1,_xll.DBSW(PL_Saisie_Estime2!AE356,Server&amp;Cube1,PL_Saisie_Estime2!$F$17,PL_Saisie_Estime2!$F$18,PL_Saisie_Estime2!$F$19,PL_Saisie_Estime2!$F$16,PL_Saisie_Estime2!$C$14,PL_Saisie_Estime2!$F$15,PL_Saisie_Estime2!$F$14,PL_Saisie_Estime2!$F$20,PL_Saisie_Estime2!AE$2,PL_Saisie_Estime2!AE$1,PL_Saisie_Estime2!$C356),"")</f>
        <v/>
      </c>
      <c r="AF356" s="204"/>
      <c r="AG356" s="53"/>
      <c r="AH356" s="53"/>
      <c r="AI356" s="53"/>
      <c r="AJ356" s="53"/>
      <c r="AK356" s="53"/>
      <c r="AL356" s="53"/>
      <c r="AM356" s="53"/>
      <c r="AN356" s="53"/>
      <c r="AO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:53" s="9" customFormat="1" ht="24" customHeight="1" x14ac:dyDescent="0.35">
      <c r="A357" s="181"/>
      <c r="B357" s="163"/>
      <c r="C357" s="158"/>
      <c r="E357" s="268"/>
      <c r="F357" s="268"/>
      <c r="G357" s="268"/>
      <c r="H357" s="40"/>
      <c r="I357" s="130"/>
      <c r="J357" s="130"/>
      <c r="K357" s="130"/>
      <c r="L357" s="130"/>
      <c r="M357" s="130"/>
      <c r="N357" s="126"/>
      <c r="O357" s="204"/>
      <c r="P357" s="126"/>
      <c r="Q357" s="124"/>
      <c r="R357" s="192"/>
      <c r="S357" s="126"/>
      <c r="T357" s="200"/>
      <c r="U357" s="200"/>
      <c r="V357" s="200"/>
      <c r="W357" s="200"/>
      <c r="X357" s="200"/>
      <c r="Y357" s="200"/>
      <c r="Z357" s="192" t="str">
        <f ca="1">IF(Flag_Send_Data=1,_xll.DBSW(PL_Saisie_Estime2!Z357,Server&amp;Cube1,PL_Saisie_Estime2!$F$17,PL_Saisie_Estime2!$F$18,PL_Saisie_Estime2!$F$19,PL_Saisie_Estime2!$F$16,PL_Saisie_Estime2!$C$14,PL_Saisie_Estime2!$F$15,PL_Saisie_Estime2!$F$14,PL_Saisie_Estime2!$F$20,PL_Saisie_Estime2!Z$2,PL_Saisie_Estime2!Z$1,PL_Saisie_Estime2!$C357),"")</f>
        <v/>
      </c>
      <c r="AA357" s="192" t="str">
        <f ca="1">IF(Flag_Send_Data=1,_xll.DBSW(PL_Saisie_Estime2!AA357,Server&amp;Cube1,PL_Saisie_Estime2!$F$17,PL_Saisie_Estime2!$F$18,PL_Saisie_Estime2!$F$19,PL_Saisie_Estime2!$F$16,PL_Saisie_Estime2!$C$14,PL_Saisie_Estime2!$F$15,PL_Saisie_Estime2!$F$14,PL_Saisie_Estime2!$F$20,PL_Saisie_Estime2!AA$2,PL_Saisie_Estime2!AA$1,PL_Saisie_Estime2!$C357),"")</f>
        <v/>
      </c>
      <c r="AB357" s="192" t="str">
        <f ca="1">IF(Flag_Send_Data=1,_xll.DBSW(PL_Saisie_Estime2!AB357,Server&amp;Cube1,PL_Saisie_Estime2!$F$17,PL_Saisie_Estime2!$F$18,PL_Saisie_Estime2!$F$19,PL_Saisie_Estime2!$F$16,PL_Saisie_Estime2!$C$14,PL_Saisie_Estime2!$F$15,PL_Saisie_Estime2!$F$14,PL_Saisie_Estime2!$F$20,PL_Saisie_Estime2!AB$2,PL_Saisie_Estime2!AB$1,PL_Saisie_Estime2!$C357),"")</f>
        <v/>
      </c>
      <c r="AC357" s="192" t="str">
        <f ca="1">IF(Flag_Send_Data=1,_xll.DBSW(PL_Saisie_Estime2!AC357,Server&amp;Cube1,PL_Saisie_Estime2!$F$17,PL_Saisie_Estime2!$F$18,PL_Saisie_Estime2!$F$19,PL_Saisie_Estime2!$F$16,PL_Saisie_Estime2!$C$14,PL_Saisie_Estime2!$F$15,PL_Saisie_Estime2!$F$14,PL_Saisie_Estime2!$F$20,PL_Saisie_Estime2!AC$2,PL_Saisie_Estime2!AC$1,PL_Saisie_Estime2!$C357),"")</f>
        <v/>
      </c>
      <c r="AD357" s="192" t="str">
        <f ca="1">IF(Flag_Send_Data=1,_xll.DBSW(PL_Saisie_Estime2!AD357,Server&amp;Cube1,PL_Saisie_Estime2!$F$17,PL_Saisie_Estime2!$F$18,PL_Saisie_Estime2!$F$19,PL_Saisie_Estime2!$F$16,PL_Saisie_Estime2!$C$14,PL_Saisie_Estime2!$F$15,PL_Saisie_Estime2!$F$14,PL_Saisie_Estime2!$F$20,PL_Saisie_Estime2!AD$2,PL_Saisie_Estime2!AD$1,PL_Saisie_Estime2!$C357),"")</f>
        <v/>
      </c>
      <c r="AE357" s="192" t="str">
        <f ca="1">IF(Flag_Send_Data=1,_xll.DBSW(PL_Saisie_Estime2!AE357,Server&amp;Cube1,PL_Saisie_Estime2!$F$17,PL_Saisie_Estime2!$F$18,PL_Saisie_Estime2!$F$19,PL_Saisie_Estime2!$F$16,PL_Saisie_Estime2!$C$14,PL_Saisie_Estime2!$F$15,PL_Saisie_Estime2!$F$14,PL_Saisie_Estime2!$F$20,PL_Saisie_Estime2!AE$2,PL_Saisie_Estime2!AE$1,PL_Saisie_Estime2!$C357),"")</f>
        <v/>
      </c>
      <c r="AF357" s="204"/>
      <c r="AG357" s="53"/>
      <c r="AH357" s="53"/>
      <c r="AI357" s="53"/>
      <c r="AJ357" s="53"/>
      <c r="AK357" s="53"/>
      <c r="AL357" s="53"/>
      <c r="AM357" s="53"/>
      <c r="AN357" s="53"/>
      <c r="AO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:53" s="9" customFormat="1" ht="24" customHeight="1" x14ac:dyDescent="0.35">
      <c r="A358" s="181"/>
      <c r="B358" s="163"/>
      <c r="C358" s="158"/>
      <c r="E358" s="268"/>
      <c r="F358" s="268"/>
      <c r="G358" s="268"/>
      <c r="H358" s="40"/>
      <c r="I358" s="130"/>
      <c r="J358" s="130"/>
      <c r="K358" s="130"/>
      <c r="L358" s="130"/>
      <c r="M358" s="130"/>
      <c r="N358" s="126"/>
      <c r="O358" s="204"/>
      <c r="P358" s="126"/>
      <c r="Q358" s="124"/>
      <c r="R358" s="192"/>
      <c r="S358" s="126"/>
      <c r="T358" s="200"/>
      <c r="U358" s="200"/>
      <c r="V358" s="200"/>
      <c r="W358" s="200"/>
      <c r="X358" s="200"/>
      <c r="Y358" s="200"/>
      <c r="Z358" s="192" t="str">
        <f ca="1">IF(Flag_Send_Data=1,_xll.DBSW(PL_Saisie_Estime2!Z358,Server&amp;Cube1,PL_Saisie_Estime2!$F$17,PL_Saisie_Estime2!$F$18,PL_Saisie_Estime2!$F$19,PL_Saisie_Estime2!$F$16,PL_Saisie_Estime2!$C$14,PL_Saisie_Estime2!$F$15,PL_Saisie_Estime2!$F$14,PL_Saisie_Estime2!$F$20,PL_Saisie_Estime2!Z$2,PL_Saisie_Estime2!Z$1,PL_Saisie_Estime2!$C358),"")</f>
        <v/>
      </c>
      <c r="AA358" s="192" t="str">
        <f ca="1">IF(Flag_Send_Data=1,_xll.DBSW(PL_Saisie_Estime2!AA358,Server&amp;Cube1,PL_Saisie_Estime2!$F$17,PL_Saisie_Estime2!$F$18,PL_Saisie_Estime2!$F$19,PL_Saisie_Estime2!$F$16,PL_Saisie_Estime2!$C$14,PL_Saisie_Estime2!$F$15,PL_Saisie_Estime2!$F$14,PL_Saisie_Estime2!$F$20,PL_Saisie_Estime2!AA$2,PL_Saisie_Estime2!AA$1,PL_Saisie_Estime2!$C358),"")</f>
        <v/>
      </c>
      <c r="AB358" s="192" t="str">
        <f ca="1">IF(Flag_Send_Data=1,_xll.DBSW(PL_Saisie_Estime2!AB358,Server&amp;Cube1,PL_Saisie_Estime2!$F$17,PL_Saisie_Estime2!$F$18,PL_Saisie_Estime2!$F$19,PL_Saisie_Estime2!$F$16,PL_Saisie_Estime2!$C$14,PL_Saisie_Estime2!$F$15,PL_Saisie_Estime2!$F$14,PL_Saisie_Estime2!$F$20,PL_Saisie_Estime2!AB$2,PL_Saisie_Estime2!AB$1,PL_Saisie_Estime2!$C358),"")</f>
        <v/>
      </c>
      <c r="AC358" s="192" t="str">
        <f ca="1">IF(Flag_Send_Data=1,_xll.DBSW(PL_Saisie_Estime2!AC358,Server&amp;Cube1,PL_Saisie_Estime2!$F$17,PL_Saisie_Estime2!$F$18,PL_Saisie_Estime2!$F$19,PL_Saisie_Estime2!$F$16,PL_Saisie_Estime2!$C$14,PL_Saisie_Estime2!$F$15,PL_Saisie_Estime2!$F$14,PL_Saisie_Estime2!$F$20,PL_Saisie_Estime2!AC$2,PL_Saisie_Estime2!AC$1,PL_Saisie_Estime2!$C358),"")</f>
        <v/>
      </c>
      <c r="AD358" s="192" t="str">
        <f ca="1">IF(Flag_Send_Data=1,_xll.DBSW(PL_Saisie_Estime2!AD358,Server&amp;Cube1,PL_Saisie_Estime2!$F$17,PL_Saisie_Estime2!$F$18,PL_Saisie_Estime2!$F$19,PL_Saisie_Estime2!$F$16,PL_Saisie_Estime2!$C$14,PL_Saisie_Estime2!$F$15,PL_Saisie_Estime2!$F$14,PL_Saisie_Estime2!$F$20,PL_Saisie_Estime2!AD$2,PL_Saisie_Estime2!AD$1,PL_Saisie_Estime2!$C358),"")</f>
        <v/>
      </c>
      <c r="AE358" s="192" t="str">
        <f ca="1">IF(Flag_Send_Data=1,_xll.DBSW(PL_Saisie_Estime2!AE358,Server&amp;Cube1,PL_Saisie_Estime2!$F$17,PL_Saisie_Estime2!$F$18,PL_Saisie_Estime2!$F$19,PL_Saisie_Estime2!$F$16,PL_Saisie_Estime2!$C$14,PL_Saisie_Estime2!$F$15,PL_Saisie_Estime2!$F$14,PL_Saisie_Estime2!$F$20,PL_Saisie_Estime2!AE$2,PL_Saisie_Estime2!AE$1,PL_Saisie_Estime2!$C358),"")</f>
        <v/>
      </c>
      <c r="AF358" s="204"/>
      <c r="AG358" s="53"/>
      <c r="AH358" s="53"/>
      <c r="AI358" s="53"/>
      <c r="AJ358" s="53"/>
      <c r="AK358" s="53"/>
      <c r="AL358" s="53"/>
      <c r="AM358" s="53"/>
      <c r="AN358" s="53"/>
      <c r="AO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:53" s="9" customFormat="1" ht="24" customHeight="1" x14ac:dyDescent="0.35">
      <c r="A359" s="181"/>
      <c r="B359" s="163"/>
      <c r="C359" s="158"/>
      <c r="E359" s="268"/>
      <c r="F359" s="268"/>
      <c r="G359" s="268"/>
      <c r="H359" s="40"/>
      <c r="I359" s="130"/>
      <c r="J359" s="130"/>
      <c r="K359" s="130"/>
      <c r="L359" s="130"/>
      <c r="M359" s="130"/>
      <c r="N359" s="126"/>
      <c r="O359" s="204"/>
      <c r="P359" s="126"/>
      <c r="Q359" s="124"/>
      <c r="R359" s="192"/>
      <c r="S359" s="126"/>
      <c r="T359" s="200"/>
      <c r="U359" s="200"/>
      <c r="V359" s="200"/>
      <c r="W359" s="200"/>
      <c r="X359" s="200"/>
      <c r="Y359" s="200"/>
      <c r="Z359" s="192" t="str">
        <f ca="1">IF(Flag_Send_Data=1,_xll.DBSW(PL_Saisie_Estime2!Z359,Server&amp;Cube1,PL_Saisie_Estime2!$F$17,PL_Saisie_Estime2!$F$18,PL_Saisie_Estime2!$F$19,PL_Saisie_Estime2!$F$16,PL_Saisie_Estime2!$C$14,PL_Saisie_Estime2!$F$15,PL_Saisie_Estime2!$F$14,PL_Saisie_Estime2!$F$20,PL_Saisie_Estime2!Z$2,PL_Saisie_Estime2!Z$1,PL_Saisie_Estime2!$C359),"")</f>
        <v/>
      </c>
      <c r="AA359" s="192" t="str">
        <f ca="1">IF(Flag_Send_Data=1,_xll.DBSW(PL_Saisie_Estime2!AA359,Server&amp;Cube1,PL_Saisie_Estime2!$F$17,PL_Saisie_Estime2!$F$18,PL_Saisie_Estime2!$F$19,PL_Saisie_Estime2!$F$16,PL_Saisie_Estime2!$C$14,PL_Saisie_Estime2!$F$15,PL_Saisie_Estime2!$F$14,PL_Saisie_Estime2!$F$20,PL_Saisie_Estime2!AA$2,PL_Saisie_Estime2!AA$1,PL_Saisie_Estime2!$C359),"")</f>
        <v/>
      </c>
      <c r="AB359" s="192" t="str">
        <f ca="1">IF(Flag_Send_Data=1,_xll.DBSW(PL_Saisie_Estime2!AB359,Server&amp;Cube1,PL_Saisie_Estime2!$F$17,PL_Saisie_Estime2!$F$18,PL_Saisie_Estime2!$F$19,PL_Saisie_Estime2!$F$16,PL_Saisie_Estime2!$C$14,PL_Saisie_Estime2!$F$15,PL_Saisie_Estime2!$F$14,PL_Saisie_Estime2!$F$20,PL_Saisie_Estime2!AB$2,PL_Saisie_Estime2!AB$1,PL_Saisie_Estime2!$C359),"")</f>
        <v/>
      </c>
      <c r="AC359" s="192" t="str">
        <f ca="1">IF(Flag_Send_Data=1,_xll.DBSW(PL_Saisie_Estime2!AC359,Server&amp;Cube1,PL_Saisie_Estime2!$F$17,PL_Saisie_Estime2!$F$18,PL_Saisie_Estime2!$F$19,PL_Saisie_Estime2!$F$16,PL_Saisie_Estime2!$C$14,PL_Saisie_Estime2!$F$15,PL_Saisie_Estime2!$F$14,PL_Saisie_Estime2!$F$20,PL_Saisie_Estime2!AC$2,PL_Saisie_Estime2!AC$1,PL_Saisie_Estime2!$C359),"")</f>
        <v/>
      </c>
      <c r="AD359" s="192" t="str">
        <f ca="1">IF(Flag_Send_Data=1,_xll.DBSW(PL_Saisie_Estime2!AD359,Server&amp;Cube1,PL_Saisie_Estime2!$F$17,PL_Saisie_Estime2!$F$18,PL_Saisie_Estime2!$F$19,PL_Saisie_Estime2!$F$16,PL_Saisie_Estime2!$C$14,PL_Saisie_Estime2!$F$15,PL_Saisie_Estime2!$F$14,PL_Saisie_Estime2!$F$20,PL_Saisie_Estime2!AD$2,PL_Saisie_Estime2!AD$1,PL_Saisie_Estime2!$C359),"")</f>
        <v/>
      </c>
      <c r="AE359" s="192" t="str">
        <f ca="1">IF(Flag_Send_Data=1,_xll.DBSW(PL_Saisie_Estime2!AE359,Server&amp;Cube1,PL_Saisie_Estime2!$F$17,PL_Saisie_Estime2!$F$18,PL_Saisie_Estime2!$F$19,PL_Saisie_Estime2!$F$16,PL_Saisie_Estime2!$C$14,PL_Saisie_Estime2!$F$15,PL_Saisie_Estime2!$F$14,PL_Saisie_Estime2!$F$20,PL_Saisie_Estime2!AE$2,PL_Saisie_Estime2!AE$1,PL_Saisie_Estime2!$C359),"")</f>
        <v/>
      </c>
      <c r="AF359" s="204"/>
      <c r="AG359" s="53"/>
      <c r="AH359" s="53"/>
      <c r="AI359" s="53"/>
      <c r="AJ359" s="53"/>
      <c r="AK359" s="53"/>
      <c r="AL359" s="53"/>
      <c r="AM359" s="53"/>
      <c r="AN359" s="53"/>
      <c r="AO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:53" s="9" customFormat="1" ht="24" customHeight="1" x14ac:dyDescent="0.35">
      <c r="A360" s="181"/>
      <c r="B360" s="163"/>
      <c r="C360" s="158"/>
      <c r="E360" s="268"/>
      <c r="F360" s="268"/>
      <c r="G360" s="268"/>
      <c r="H360" s="40"/>
      <c r="I360" s="130"/>
      <c r="J360" s="130"/>
      <c r="K360" s="130"/>
      <c r="L360" s="130"/>
      <c r="M360" s="130"/>
      <c r="N360" s="126"/>
      <c r="O360" s="204"/>
      <c r="P360" s="126"/>
      <c r="Q360" s="124"/>
      <c r="R360" s="192"/>
      <c r="S360" s="126"/>
      <c r="T360" s="200"/>
      <c r="U360" s="200"/>
      <c r="V360" s="200"/>
      <c r="W360" s="200"/>
      <c r="X360" s="200"/>
      <c r="Y360" s="200"/>
      <c r="Z360" s="192" t="str">
        <f ca="1">IF(Flag_Send_Data=1,_xll.DBSW(PL_Saisie_Estime2!Z360,Server&amp;Cube1,PL_Saisie_Estime2!$F$17,PL_Saisie_Estime2!$F$18,PL_Saisie_Estime2!$F$19,PL_Saisie_Estime2!$F$16,PL_Saisie_Estime2!$C$14,PL_Saisie_Estime2!$F$15,PL_Saisie_Estime2!$F$14,PL_Saisie_Estime2!$F$20,PL_Saisie_Estime2!Z$2,PL_Saisie_Estime2!Z$1,PL_Saisie_Estime2!$C360),"")</f>
        <v/>
      </c>
      <c r="AA360" s="192" t="str">
        <f ca="1">IF(Flag_Send_Data=1,_xll.DBSW(PL_Saisie_Estime2!AA360,Server&amp;Cube1,PL_Saisie_Estime2!$F$17,PL_Saisie_Estime2!$F$18,PL_Saisie_Estime2!$F$19,PL_Saisie_Estime2!$F$16,PL_Saisie_Estime2!$C$14,PL_Saisie_Estime2!$F$15,PL_Saisie_Estime2!$F$14,PL_Saisie_Estime2!$F$20,PL_Saisie_Estime2!AA$2,PL_Saisie_Estime2!AA$1,PL_Saisie_Estime2!$C360),"")</f>
        <v/>
      </c>
      <c r="AB360" s="192" t="str">
        <f ca="1">IF(Flag_Send_Data=1,_xll.DBSW(PL_Saisie_Estime2!AB360,Server&amp;Cube1,PL_Saisie_Estime2!$F$17,PL_Saisie_Estime2!$F$18,PL_Saisie_Estime2!$F$19,PL_Saisie_Estime2!$F$16,PL_Saisie_Estime2!$C$14,PL_Saisie_Estime2!$F$15,PL_Saisie_Estime2!$F$14,PL_Saisie_Estime2!$F$20,PL_Saisie_Estime2!AB$2,PL_Saisie_Estime2!AB$1,PL_Saisie_Estime2!$C360),"")</f>
        <v/>
      </c>
      <c r="AC360" s="192" t="str">
        <f ca="1">IF(Flag_Send_Data=1,_xll.DBSW(PL_Saisie_Estime2!AC360,Server&amp;Cube1,PL_Saisie_Estime2!$F$17,PL_Saisie_Estime2!$F$18,PL_Saisie_Estime2!$F$19,PL_Saisie_Estime2!$F$16,PL_Saisie_Estime2!$C$14,PL_Saisie_Estime2!$F$15,PL_Saisie_Estime2!$F$14,PL_Saisie_Estime2!$F$20,PL_Saisie_Estime2!AC$2,PL_Saisie_Estime2!AC$1,PL_Saisie_Estime2!$C360),"")</f>
        <v/>
      </c>
      <c r="AD360" s="192" t="str">
        <f ca="1">IF(Flag_Send_Data=1,_xll.DBSW(PL_Saisie_Estime2!AD360,Server&amp;Cube1,PL_Saisie_Estime2!$F$17,PL_Saisie_Estime2!$F$18,PL_Saisie_Estime2!$F$19,PL_Saisie_Estime2!$F$16,PL_Saisie_Estime2!$C$14,PL_Saisie_Estime2!$F$15,PL_Saisie_Estime2!$F$14,PL_Saisie_Estime2!$F$20,PL_Saisie_Estime2!AD$2,PL_Saisie_Estime2!AD$1,PL_Saisie_Estime2!$C360),"")</f>
        <v/>
      </c>
      <c r="AE360" s="192" t="str">
        <f ca="1">IF(Flag_Send_Data=1,_xll.DBSW(PL_Saisie_Estime2!AE360,Server&amp;Cube1,PL_Saisie_Estime2!$F$17,PL_Saisie_Estime2!$F$18,PL_Saisie_Estime2!$F$19,PL_Saisie_Estime2!$F$16,PL_Saisie_Estime2!$C$14,PL_Saisie_Estime2!$F$15,PL_Saisie_Estime2!$F$14,PL_Saisie_Estime2!$F$20,PL_Saisie_Estime2!AE$2,PL_Saisie_Estime2!AE$1,PL_Saisie_Estime2!$C360),"")</f>
        <v/>
      </c>
      <c r="AF360" s="204"/>
      <c r="AG360" s="53"/>
      <c r="AH360" s="53"/>
      <c r="AI360" s="53"/>
      <c r="AJ360" s="53"/>
      <c r="AK360" s="53"/>
      <c r="AL360" s="53"/>
      <c r="AM360" s="53"/>
      <c r="AN360" s="53"/>
      <c r="AO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:53" s="9" customFormat="1" ht="24" customHeight="1" x14ac:dyDescent="0.35">
      <c r="A361" s="181"/>
      <c r="B361" s="163"/>
      <c r="C361" s="158"/>
      <c r="E361" s="268"/>
      <c r="F361" s="268"/>
      <c r="G361" s="268"/>
      <c r="H361" s="40"/>
      <c r="I361" s="130"/>
      <c r="J361" s="130"/>
      <c r="K361" s="130"/>
      <c r="L361" s="130"/>
      <c r="M361" s="130"/>
      <c r="N361" s="126"/>
      <c r="O361" s="204"/>
      <c r="P361" s="126"/>
      <c r="Q361" s="124"/>
      <c r="R361" s="192"/>
      <c r="S361" s="126"/>
      <c r="T361" s="200"/>
      <c r="U361" s="200"/>
      <c r="V361" s="200"/>
      <c r="W361" s="200"/>
      <c r="X361" s="200"/>
      <c r="Y361" s="200"/>
      <c r="Z361" s="192" t="str">
        <f ca="1">IF(Flag_Send_Data=1,_xll.DBSW(PL_Saisie_Estime2!Z361,Server&amp;Cube1,PL_Saisie_Estime2!$F$17,PL_Saisie_Estime2!$F$18,PL_Saisie_Estime2!$F$19,PL_Saisie_Estime2!$F$16,PL_Saisie_Estime2!$C$14,PL_Saisie_Estime2!$F$15,PL_Saisie_Estime2!$F$14,PL_Saisie_Estime2!$F$20,PL_Saisie_Estime2!Z$2,PL_Saisie_Estime2!Z$1,PL_Saisie_Estime2!$C361),"")</f>
        <v/>
      </c>
      <c r="AA361" s="192" t="str">
        <f ca="1">IF(Flag_Send_Data=1,_xll.DBSW(PL_Saisie_Estime2!AA361,Server&amp;Cube1,PL_Saisie_Estime2!$F$17,PL_Saisie_Estime2!$F$18,PL_Saisie_Estime2!$F$19,PL_Saisie_Estime2!$F$16,PL_Saisie_Estime2!$C$14,PL_Saisie_Estime2!$F$15,PL_Saisie_Estime2!$F$14,PL_Saisie_Estime2!$F$20,PL_Saisie_Estime2!AA$2,PL_Saisie_Estime2!AA$1,PL_Saisie_Estime2!$C361),"")</f>
        <v/>
      </c>
      <c r="AB361" s="192" t="str">
        <f ca="1">IF(Flag_Send_Data=1,_xll.DBSW(PL_Saisie_Estime2!AB361,Server&amp;Cube1,PL_Saisie_Estime2!$F$17,PL_Saisie_Estime2!$F$18,PL_Saisie_Estime2!$F$19,PL_Saisie_Estime2!$F$16,PL_Saisie_Estime2!$C$14,PL_Saisie_Estime2!$F$15,PL_Saisie_Estime2!$F$14,PL_Saisie_Estime2!$F$20,PL_Saisie_Estime2!AB$2,PL_Saisie_Estime2!AB$1,PL_Saisie_Estime2!$C361),"")</f>
        <v/>
      </c>
      <c r="AC361" s="192" t="str">
        <f ca="1">IF(Flag_Send_Data=1,_xll.DBSW(PL_Saisie_Estime2!AC361,Server&amp;Cube1,PL_Saisie_Estime2!$F$17,PL_Saisie_Estime2!$F$18,PL_Saisie_Estime2!$F$19,PL_Saisie_Estime2!$F$16,PL_Saisie_Estime2!$C$14,PL_Saisie_Estime2!$F$15,PL_Saisie_Estime2!$F$14,PL_Saisie_Estime2!$F$20,PL_Saisie_Estime2!AC$2,PL_Saisie_Estime2!AC$1,PL_Saisie_Estime2!$C361),"")</f>
        <v/>
      </c>
      <c r="AD361" s="192" t="str">
        <f ca="1">IF(Flag_Send_Data=1,_xll.DBSW(PL_Saisie_Estime2!AD361,Server&amp;Cube1,PL_Saisie_Estime2!$F$17,PL_Saisie_Estime2!$F$18,PL_Saisie_Estime2!$F$19,PL_Saisie_Estime2!$F$16,PL_Saisie_Estime2!$C$14,PL_Saisie_Estime2!$F$15,PL_Saisie_Estime2!$F$14,PL_Saisie_Estime2!$F$20,PL_Saisie_Estime2!AD$2,PL_Saisie_Estime2!AD$1,PL_Saisie_Estime2!$C361),"")</f>
        <v/>
      </c>
      <c r="AE361" s="192" t="str">
        <f ca="1">IF(Flag_Send_Data=1,_xll.DBSW(PL_Saisie_Estime2!AE361,Server&amp;Cube1,PL_Saisie_Estime2!$F$17,PL_Saisie_Estime2!$F$18,PL_Saisie_Estime2!$F$19,PL_Saisie_Estime2!$F$16,PL_Saisie_Estime2!$C$14,PL_Saisie_Estime2!$F$15,PL_Saisie_Estime2!$F$14,PL_Saisie_Estime2!$F$20,PL_Saisie_Estime2!AE$2,PL_Saisie_Estime2!AE$1,PL_Saisie_Estime2!$C361),"")</f>
        <v/>
      </c>
      <c r="AF361" s="204"/>
      <c r="AG361" s="53"/>
      <c r="AH361" s="53"/>
      <c r="AI361" s="53"/>
      <c r="AJ361" s="53"/>
      <c r="AK361" s="53"/>
      <c r="AL361" s="53"/>
      <c r="AM361" s="53"/>
      <c r="AN361" s="53"/>
      <c r="AO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:53" s="9" customFormat="1" ht="24" customHeight="1" x14ac:dyDescent="0.35">
      <c r="A362" s="181"/>
      <c r="B362" s="163"/>
      <c r="C362" s="158"/>
      <c r="E362" s="268"/>
      <c r="F362" s="268"/>
      <c r="G362" s="268"/>
      <c r="H362" s="40"/>
      <c r="I362" s="130"/>
      <c r="J362" s="130"/>
      <c r="K362" s="130"/>
      <c r="L362" s="130"/>
      <c r="M362" s="130"/>
      <c r="N362" s="126"/>
      <c r="O362" s="204"/>
      <c r="P362" s="126"/>
      <c r="Q362" s="124"/>
      <c r="R362" s="192"/>
      <c r="S362" s="126"/>
      <c r="T362" s="200"/>
      <c r="U362" s="200"/>
      <c r="V362" s="200"/>
      <c r="W362" s="200"/>
      <c r="X362" s="200"/>
      <c r="Y362" s="200"/>
      <c r="Z362" s="192" t="str">
        <f ca="1">IF(Flag_Send_Data=1,_xll.DBSW(PL_Saisie_Estime2!Z362,Server&amp;Cube1,PL_Saisie_Estime2!$F$17,PL_Saisie_Estime2!$F$18,PL_Saisie_Estime2!$F$19,PL_Saisie_Estime2!$F$16,PL_Saisie_Estime2!$C$14,PL_Saisie_Estime2!$F$15,PL_Saisie_Estime2!$F$14,PL_Saisie_Estime2!$F$20,PL_Saisie_Estime2!Z$2,PL_Saisie_Estime2!Z$1,PL_Saisie_Estime2!$C362),"")</f>
        <v/>
      </c>
      <c r="AA362" s="192" t="str">
        <f ca="1">IF(Flag_Send_Data=1,_xll.DBSW(PL_Saisie_Estime2!AA362,Server&amp;Cube1,PL_Saisie_Estime2!$F$17,PL_Saisie_Estime2!$F$18,PL_Saisie_Estime2!$F$19,PL_Saisie_Estime2!$F$16,PL_Saisie_Estime2!$C$14,PL_Saisie_Estime2!$F$15,PL_Saisie_Estime2!$F$14,PL_Saisie_Estime2!$F$20,PL_Saisie_Estime2!AA$2,PL_Saisie_Estime2!AA$1,PL_Saisie_Estime2!$C362),"")</f>
        <v/>
      </c>
      <c r="AB362" s="192" t="str">
        <f ca="1">IF(Flag_Send_Data=1,_xll.DBSW(PL_Saisie_Estime2!AB362,Server&amp;Cube1,PL_Saisie_Estime2!$F$17,PL_Saisie_Estime2!$F$18,PL_Saisie_Estime2!$F$19,PL_Saisie_Estime2!$F$16,PL_Saisie_Estime2!$C$14,PL_Saisie_Estime2!$F$15,PL_Saisie_Estime2!$F$14,PL_Saisie_Estime2!$F$20,PL_Saisie_Estime2!AB$2,PL_Saisie_Estime2!AB$1,PL_Saisie_Estime2!$C362),"")</f>
        <v/>
      </c>
      <c r="AC362" s="192" t="str">
        <f ca="1">IF(Flag_Send_Data=1,_xll.DBSW(PL_Saisie_Estime2!AC362,Server&amp;Cube1,PL_Saisie_Estime2!$F$17,PL_Saisie_Estime2!$F$18,PL_Saisie_Estime2!$F$19,PL_Saisie_Estime2!$F$16,PL_Saisie_Estime2!$C$14,PL_Saisie_Estime2!$F$15,PL_Saisie_Estime2!$F$14,PL_Saisie_Estime2!$F$20,PL_Saisie_Estime2!AC$2,PL_Saisie_Estime2!AC$1,PL_Saisie_Estime2!$C362),"")</f>
        <v/>
      </c>
      <c r="AD362" s="192" t="str">
        <f ca="1">IF(Flag_Send_Data=1,_xll.DBSW(PL_Saisie_Estime2!AD362,Server&amp;Cube1,PL_Saisie_Estime2!$F$17,PL_Saisie_Estime2!$F$18,PL_Saisie_Estime2!$F$19,PL_Saisie_Estime2!$F$16,PL_Saisie_Estime2!$C$14,PL_Saisie_Estime2!$F$15,PL_Saisie_Estime2!$F$14,PL_Saisie_Estime2!$F$20,PL_Saisie_Estime2!AD$2,PL_Saisie_Estime2!AD$1,PL_Saisie_Estime2!$C362),"")</f>
        <v/>
      </c>
      <c r="AE362" s="192" t="str">
        <f ca="1">IF(Flag_Send_Data=1,_xll.DBSW(PL_Saisie_Estime2!AE362,Server&amp;Cube1,PL_Saisie_Estime2!$F$17,PL_Saisie_Estime2!$F$18,PL_Saisie_Estime2!$F$19,PL_Saisie_Estime2!$F$16,PL_Saisie_Estime2!$C$14,PL_Saisie_Estime2!$F$15,PL_Saisie_Estime2!$F$14,PL_Saisie_Estime2!$F$20,PL_Saisie_Estime2!AE$2,PL_Saisie_Estime2!AE$1,PL_Saisie_Estime2!$C362),"")</f>
        <v/>
      </c>
      <c r="AF362" s="204"/>
      <c r="AG362" s="53"/>
      <c r="AH362" s="53"/>
      <c r="AI362" s="53"/>
      <c r="AJ362" s="53"/>
      <c r="AK362" s="53"/>
      <c r="AL362" s="53"/>
      <c r="AM362" s="53"/>
      <c r="AN362" s="53"/>
      <c r="AO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:53" s="9" customFormat="1" ht="24" customHeight="1" x14ac:dyDescent="0.35">
      <c r="A363" s="181"/>
      <c r="B363" s="163"/>
      <c r="C363" s="158"/>
      <c r="E363" s="268"/>
      <c r="F363" s="268"/>
      <c r="G363" s="268"/>
      <c r="H363" s="40"/>
      <c r="I363" s="130"/>
      <c r="J363" s="130"/>
      <c r="K363" s="130"/>
      <c r="L363" s="130"/>
      <c r="M363" s="130"/>
      <c r="N363" s="126"/>
      <c r="O363" s="204"/>
      <c r="P363" s="126"/>
      <c r="Q363" s="124"/>
      <c r="R363" s="192"/>
      <c r="S363" s="126"/>
      <c r="T363" s="200"/>
      <c r="U363" s="200"/>
      <c r="V363" s="200"/>
      <c r="W363" s="200"/>
      <c r="X363" s="200"/>
      <c r="Y363" s="200"/>
      <c r="Z363" s="192" t="str">
        <f ca="1">IF(Flag_Send_Data=1,_xll.DBSW(PL_Saisie_Estime2!Z363,Server&amp;Cube1,PL_Saisie_Estime2!$F$17,PL_Saisie_Estime2!$F$18,PL_Saisie_Estime2!$F$19,PL_Saisie_Estime2!$F$16,PL_Saisie_Estime2!$C$14,PL_Saisie_Estime2!$F$15,PL_Saisie_Estime2!$F$14,PL_Saisie_Estime2!$F$20,PL_Saisie_Estime2!Z$2,PL_Saisie_Estime2!Z$1,PL_Saisie_Estime2!$C363),"")</f>
        <v/>
      </c>
      <c r="AA363" s="192" t="str">
        <f ca="1">IF(Flag_Send_Data=1,_xll.DBSW(PL_Saisie_Estime2!AA363,Server&amp;Cube1,PL_Saisie_Estime2!$F$17,PL_Saisie_Estime2!$F$18,PL_Saisie_Estime2!$F$19,PL_Saisie_Estime2!$F$16,PL_Saisie_Estime2!$C$14,PL_Saisie_Estime2!$F$15,PL_Saisie_Estime2!$F$14,PL_Saisie_Estime2!$F$20,PL_Saisie_Estime2!AA$2,PL_Saisie_Estime2!AA$1,PL_Saisie_Estime2!$C363),"")</f>
        <v/>
      </c>
      <c r="AB363" s="192" t="str">
        <f ca="1">IF(Flag_Send_Data=1,_xll.DBSW(PL_Saisie_Estime2!AB363,Server&amp;Cube1,PL_Saisie_Estime2!$F$17,PL_Saisie_Estime2!$F$18,PL_Saisie_Estime2!$F$19,PL_Saisie_Estime2!$F$16,PL_Saisie_Estime2!$C$14,PL_Saisie_Estime2!$F$15,PL_Saisie_Estime2!$F$14,PL_Saisie_Estime2!$F$20,PL_Saisie_Estime2!AB$2,PL_Saisie_Estime2!AB$1,PL_Saisie_Estime2!$C363),"")</f>
        <v/>
      </c>
      <c r="AC363" s="192" t="str">
        <f ca="1">IF(Flag_Send_Data=1,_xll.DBSW(PL_Saisie_Estime2!AC363,Server&amp;Cube1,PL_Saisie_Estime2!$F$17,PL_Saisie_Estime2!$F$18,PL_Saisie_Estime2!$F$19,PL_Saisie_Estime2!$F$16,PL_Saisie_Estime2!$C$14,PL_Saisie_Estime2!$F$15,PL_Saisie_Estime2!$F$14,PL_Saisie_Estime2!$F$20,PL_Saisie_Estime2!AC$2,PL_Saisie_Estime2!AC$1,PL_Saisie_Estime2!$C363),"")</f>
        <v/>
      </c>
      <c r="AD363" s="192" t="str">
        <f ca="1">IF(Flag_Send_Data=1,_xll.DBSW(PL_Saisie_Estime2!AD363,Server&amp;Cube1,PL_Saisie_Estime2!$F$17,PL_Saisie_Estime2!$F$18,PL_Saisie_Estime2!$F$19,PL_Saisie_Estime2!$F$16,PL_Saisie_Estime2!$C$14,PL_Saisie_Estime2!$F$15,PL_Saisie_Estime2!$F$14,PL_Saisie_Estime2!$F$20,PL_Saisie_Estime2!AD$2,PL_Saisie_Estime2!AD$1,PL_Saisie_Estime2!$C363),"")</f>
        <v/>
      </c>
      <c r="AE363" s="192" t="str">
        <f ca="1">IF(Flag_Send_Data=1,_xll.DBSW(PL_Saisie_Estime2!AE363,Server&amp;Cube1,PL_Saisie_Estime2!$F$17,PL_Saisie_Estime2!$F$18,PL_Saisie_Estime2!$F$19,PL_Saisie_Estime2!$F$16,PL_Saisie_Estime2!$C$14,PL_Saisie_Estime2!$F$15,PL_Saisie_Estime2!$F$14,PL_Saisie_Estime2!$F$20,PL_Saisie_Estime2!AE$2,PL_Saisie_Estime2!AE$1,PL_Saisie_Estime2!$C363),"")</f>
        <v/>
      </c>
      <c r="AF363" s="204"/>
      <c r="AG363" s="53"/>
      <c r="AH363" s="53"/>
      <c r="AI363" s="53"/>
      <c r="AJ363" s="53"/>
      <c r="AK363" s="53"/>
      <c r="AL363" s="53"/>
      <c r="AM363" s="53"/>
      <c r="AN363" s="53"/>
      <c r="AO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:53" s="9" customFormat="1" ht="24" customHeight="1" x14ac:dyDescent="0.35">
      <c r="A364" s="181"/>
      <c r="B364" s="163"/>
      <c r="C364" s="158"/>
      <c r="E364" s="268"/>
      <c r="F364" s="268"/>
      <c r="G364" s="268"/>
      <c r="H364" s="40"/>
      <c r="I364" s="130"/>
      <c r="J364" s="130"/>
      <c r="K364" s="130"/>
      <c r="L364" s="130"/>
      <c r="M364" s="130"/>
      <c r="N364" s="126"/>
      <c r="O364" s="204"/>
      <c r="P364" s="126"/>
      <c r="Q364" s="124"/>
      <c r="R364" s="192"/>
      <c r="S364" s="126"/>
      <c r="T364" s="200"/>
      <c r="U364" s="200"/>
      <c r="V364" s="200"/>
      <c r="W364" s="200"/>
      <c r="X364" s="200"/>
      <c r="Y364" s="200"/>
      <c r="Z364" s="192" t="str">
        <f ca="1">IF(Flag_Send_Data=1,_xll.DBSW(PL_Saisie_Estime2!Z364,Server&amp;Cube1,PL_Saisie_Estime2!$F$17,PL_Saisie_Estime2!$F$18,PL_Saisie_Estime2!$F$19,PL_Saisie_Estime2!$F$16,PL_Saisie_Estime2!$C$14,PL_Saisie_Estime2!$F$15,PL_Saisie_Estime2!$F$14,PL_Saisie_Estime2!$F$20,PL_Saisie_Estime2!Z$2,PL_Saisie_Estime2!Z$1,PL_Saisie_Estime2!$C364),"")</f>
        <v/>
      </c>
      <c r="AA364" s="192" t="str">
        <f ca="1">IF(Flag_Send_Data=1,_xll.DBSW(PL_Saisie_Estime2!AA364,Server&amp;Cube1,PL_Saisie_Estime2!$F$17,PL_Saisie_Estime2!$F$18,PL_Saisie_Estime2!$F$19,PL_Saisie_Estime2!$F$16,PL_Saisie_Estime2!$C$14,PL_Saisie_Estime2!$F$15,PL_Saisie_Estime2!$F$14,PL_Saisie_Estime2!$F$20,PL_Saisie_Estime2!AA$2,PL_Saisie_Estime2!AA$1,PL_Saisie_Estime2!$C364),"")</f>
        <v/>
      </c>
      <c r="AB364" s="192" t="str">
        <f ca="1">IF(Flag_Send_Data=1,_xll.DBSW(PL_Saisie_Estime2!AB364,Server&amp;Cube1,PL_Saisie_Estime2!$F$17,PL_Saisie_Estime2!$F$18,PL_Saisie_Estime2!$F$19,PL_Saisie_Estime2!$F$16,PL_Saisie_Estime2!$C$14,PL_Saisie_Estime2!$F$15,PL_Saisie_Estime2!$F$14,PL_Saisie_Estime2!$F$20,PL_Saisie_Estime2!AB$2,PL_Saisie_Estime2!AB$1,PL_Saisie_Estime2!$C364),"")</f>
        <v/>
      </c>
      <c r="AC364" s="192" t="str">
        <f ca="1">IF(Flag_Send_Data=1,_xll.DBSW(PL_Saisie_Estime2!AC364,Server&amp;Cube1,PL_Saisie_Estime2!$F$17,PL_Saisie_Estime2!$F$18,PL_Saisie_Estime2!$F$19,PL_Saisie_Estime2!$F$16,PL_Saisie_Estime2!$C$14,PL_Saisie_Estime2!$F$15,PL_Saisie_Estime2!$F$14,PL_Saisie_Estime2!$F$20,PL_Saisie_Estime2!AC$2,PL_Saisie_Estime2!AC$1,PL_Saisie_Estime2!$C364),"")</f>
        <v/>
      </c>
      <c r="AD364" s="192" t="str">
        <f ca="1">IF(Flag_Send_Data=1,_xll.DBSW(PL_Saisie_Estime2!AD364,Server&amp;Cube1,PL_Saisie_Estime2!$F$17,PL_Saisie_Estime2!$F$18,PL_Saisie_Estime2!$F$19,PL_Saisie_Estime2!$F$16,PL_Saisie_Estime2!$C$14,PL_Saisie_Estime2!$F$15,PL_Saisie_Estime2!$F$14,PL_Saisie_Estime2!$F$20,PL_Saisie_Estime2!AD$2,PL_Saisie_Estime2!AD$1,PL_Saisie_Estime2!$C364),"")</f>
        <v/>
      </c>
      <c r="AE364" s="192" t="str">
        <f ca="1">IF(Flag_Send_Data=1,_xll.DBSW(PL_Saisie_Estime2!AE364,Server&amp;Cube1,PL_Saisie_Estime2!$F$17,PL_Saisie_Estime2!$F$18,PL_Saisie_Estime2!$F$19,PL_Saisie_Estime2!$F$16,PL_Saisie_Estime2!$C$14,PL_Saisie_Estime2!$F$15,PL_Saisie_Estime2!$F$14,PL_Saisie_Estime2!$F$20,PL_Saisie_Estime2!AE$2,PL_Saisie_Estime2!AE$1,PL_Saisie_Estime2!$C364),"")</f>
        <v/>
      </c>
      <c r="AF364" s="204"/>
      <c r="AG364" s="53"/>
      <c r="AH364" s="53"/>
      <c r="AI364" s="53"/>
      <c r="AJ364" s="53"/>
      <c r="AK364" s="53"/>
      <c r="AL364" s="53"/>
      <c r="AM364" s="53"/>
      <c r="AN364" s="53"/>
      <c r="AO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:53" s="9" customFormat="1" ht="24" customHeight="1" x14ac:dyDescent="0.35">
      <c r="A365" s="181"/>
      <c r="B365" s="163"/>
      <c r="C365" s="158"/>
      <c r="E365" s="268"/>
      <c r="F365" s="268"/>
      <c r="G365" s="268"/>
      <c r="H365" s="40"/>
      <c r="I365" s="130"/>
      <c r="J365" s="130"/>
      <c r="K365" s="130"/>
      <c r="L365" s="130"/>
      <c r="M365" s="130"/>
      <c r="N365" s="126"/>
      <c r="O365" s="204"/>
      <c r="P365" s="126"/>
      <c r="Q365" s="124"/>
      <c r="R365" s="192"/>
      <c r="S365" s="126"/>
      <c r="T365" s="200"/>
      <c r="U365" s="200"/>
      <c r="V365" s="200"/>
      <c r="W365" s="200"/>
      <c r="X365" s="200"/>
      <c r="Y365" s="200"/>
      <c r="Z365" s="192" t="str">
        <f ca="1">IF(Flag_Send_Data=1,_xll.DBSW(PL_Saisie_Estime2!Z365,Server&amp;Cube1,PL_Saisie_Estime2!$F$17,PL_Saisie_Estime2!$F$18,PL_Saisie_Estime2!$F$19,PL_Saisie_Estime2!$F$16,PL_Saisie_Estime2!$C$14,PL_Saisie_Estime2!$F$15,PL_Saisie_Estime2!$F$14,PL_Saisie_Estime2!$F$20,PL_Saisie_Estime2!Z$2,PL_Saisie_Estime2!Z$1,PL_Saisie_Estime2!$C365),"")</f>
        <v/>
      </c>
      <c r="AA365" s="192" t="str">
        <f ca="1">IF(Flag_Send_Data=1,_xll.DBSW(PL_Saisie_Estime2!AA365,Server&amp;Cube1,PL_Saisie_Estime2!$F$17,PL_Saisie_Estime2!$F$18,PL_Saisie_Estime2!$F$19,PL_Saisie_Estime2!$F$16,PL_Saisie_Estime2!$C$14,PL_Saisie_Estime2!$F$15,PL_Saisie_Estime2!$F$14,PL_Saisie_Estime2!$F$20,PL_Saisie_Estime2!AA$2,PL_Saisie_Estime2!AA$1,PL_Saisie_Estime2!$C365),"")</f>
        <v/>
      </c>
      <c r="AB365" s="192" t="str">
        <f ca="1">IF(Flag_Send_Data=1,_xll.DBSW(PL_Saisie_Estime2!AB365,Server&amp;Cube1,PL_Saisie_Estime2!$F$17,PL_Saisie_Estime2!$F$18,PL_Saisie_Estime2!$F$19,PL_Saisie_Estime2!$F$16,PL_Saisie_Estime2!$C$14,PL_Saisie_Estime2!$F$15,PL_Saisie_Estime2!$F$14,PL_Saisie_Estime2!$F$20,PL_Saisie_Estime2!AB$2,PL_Saisie_Estime2!AB$1,PL_Saisie_Estime2!$C365),"")</f>
        <v/>
      </c>
      <c r="AC365" s="192" t="str">
        <f ca="1">IF(Flag_Send_Data=1,_xll.DBSW(PL_Saisie_Estime2!AC365,Server&amp;Cube1,PL_Saisie_Estime2!$F$17,PL_Saisie_Estime2!$F$18,PL_Saisie_Estime2!$F$19,PL_Saisie_Estime2!$F$16,PL_Saisie_Estime2!$C$14,PL_Saisie_Estime2!$F$15,PL_Saisie_Estime2!$F$14,PL_Saisie_Estime2!$F$20,PL_Saisie_Estime2!AC$2,PL_Saisie_Estime2!AC$1,PL_Saisie_Estime2!$C365),"")</f>
        <v/>
      </c>
      <c r="AD365" s="192" t="str">
        <f ca="1">IF(Flag_Send_Data=1,_xll.DBSW(PL_Saisie_Estime2!AD365,Server&amp;Cube1,PL_Saisie_Estime2!$F$17,PL_Saisie_Estime2!$F$18,PL_Saisie_Estime2!$F$19,PL_Saisie_Estime2!$F$16,PL_Saisie_Estime2!$C$14,PL_Saisie_Estime2!$F$15,PL_Saisie_Estime2!$F$14,PL_Saisie_Estime2!$F$20,PL_Saisie_Estime2!AD$2,PL_Saisie_Estime2!AD$1,PL_Saisie_Estime2!$C365),"")</f>
        <v/>
      </c>
      <c r="AE365" s="192" t="str">
        <f ca="1">IF(Flag_Send_Data=1,_xll.DBSW(PL_Saisie_Estime2!AE365,Server&amp;Cube1,PL_Saisie_Estime2!$F$17,PL_Saisie_Estime2!$F$18,PL_Saisie_Estime2!$F$19,PL_Saisie_Estime2!$F$16,PL_Saisie_Estime2!$C$14,PL_Saisie_Estime2!$F$15,PL_Saisie_Estime2!$F$14,PL_Saisie_Estime2!$F$20,PL_Saisie_Estime2!AE$2,PL_Saisie_Estime2!AE$1,PL_Saisie_Estime2!$C365),"")</f>
        <v/>
      </c>
      <c r="AF365" s="204"/>
      <c r="AG365" s="53"/>
      <c r="AH365" s="53"/>
      <c r="AI365" s="53"/>
      <c r="AJ365" s="53"/>
      <c r="AK365" s="53"/>
      <c r="AL365" s="53"/>
      <c r="AM365" s="53"/>
      <c r="AN365" s="53"/>
      <c r="AO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:53" s="9" customFormat="1" ht="24" customHeight="1" x14ac:dyDescent="0.35">
      <c r="A366" s="181"/>
      <c r="B366" s="163"/>
      <c r="C366" s="158"/>
      <c r="E366" s="268"/>
      <c r="F366" s="268"/>
      <c r="G366" s="268"/>
      <c r="H366" s="40"/>
      <c r="I366" s="130"/>
      <c r="J366" s="130"/>
      <c r="K366" s="130"/>
      <c r="L366" s="130"/>
      <c r="M366" s="130"/>
      <c r="N366" s="126"/>
      <c r="O366" s="204"/>
      <c r="P366" s="126"/>
      <c r="Q366" s="124"/>
      <c r="R366" s="192"/>
      <c r="S366" s="126"/>
      <c r="T366" s="200"/>
      <c r="U366" s="200"/>
      <c r="V366" s="200"/>
      <c r="W366" s="200"/>
      <c r="X366" s="200"/>
      <c r="Y366" s="200"/>
      <c r="Z366" s="192" t="str">
        <f ca="1">IF(Flag_Send_Data=1,_xll.DBSW(PL_Saisie_Estime2!Z366,Server&amp;Cube1,PL_Saisie_Estime2!$F$17,PL_Saisie_Estime2!$F$18,PL_Saisie_Estime2!$F$19,PL_Saisie_Estime2!$F$16,PL_Saisie_Estime2!$C$14,PL_Saisie_Estime2!$F$15,PL_Saisie_Estime2!$F$14,PL_Saisie_Estime2!$F$20,PL_Saisie_Estime2!Z$2,PL_Saisie_Estime2!Z$1,PL_Saisie_Estime2!$C366),"")</f>
        <v/>
      </c>
      <c r="AA366" s="192" t="str">
        <f ca="1">IF(Flag_Send_Data=1,_xll.DBSW(PL_Saisie_Estime2!AA366,Server&amp;Cube1,PL_Saisie_Estime2!$F$17,PL_Saisie_Estime2!$F$18,PL_Saisie_Estime2!$F$19,PL_Saisie_Estime2!$F$16,PL_Saisie_Estime2!$C$14,PL_Saisie_Estime2!$F$15,PL_Saisie_Estime2!$F$14,PL_Saisie_Estime2!$F$20,PL_Saisie_Estime2!AA$2,PL_Saisie_Estime2!AA$1,PL_Saisie_Estime2!$C366),"")</f>
        <v/>
      </c>
      <c r="AB366" s="192" t="str">
        <f ca="1">IF(Flag_Send_Data=1,_xll.DBSW(PL_Saisie_Estime2!AB366,Server&amp;Cube1,PL_Saisie_Estime2!$F$17,PL_Saisie_Estime2!$F$18,PL_Saisie_Estime2!$F$19,PL_Saisie_Estime2!$F$16,PL_Saisie_Estime2!$C$14,PL_Saisie_Estime2!$F$15,PL_Saisie_Estime2!$F$14,PL_Saisie_Estime2!$F$20,PL_Saisie_Estime2!AB$2,PL_Saisie_Estime2!AB$1,PL_Saisie_Estime2!$C366),"")</f>
        <v/>
      </c>
      <c r="AC366" s="192" t="str">
        <f ca="1">IF(Flag_Send_Data=1,_xll.DBSW(PL_Saisie_Estime2!AC366,Server&amp;Cube1,PL_Saisie_Estime2!$F$17,PL_Saisie_Estime2!$F$18,PL_Saisie_Estime2!$F$19,PL_Saisie_Estime2!$F$16,PL_Saisie_Estime2!$C$14,PL_Saisie_Estime2!$F$15,PL_Saisie_Estime2!$F$14,PL_Saisie_Estime2!$F$20,PL_Saisie_Estime2!AC$2,PL_Saisie_Estime2!AC$1,PL_Saisie_Estime2!$C366),"")</f>
        <v/>
      </c>
      <c r="AD366" s="192" t="str">
        <f ca="1">IF(Flag_Send_Data=1,_xll.DBSW(PL_Saisie_Estime2!AD366,Server&amp;Cube1,PL_Saisie_Estime2!$F$17,PL_Saisie_Estime2!$F$18,PL_Saisie_Estime2!$F$19,PL_Saisie_Estime2!$F$16,PL_Saisie_Estime2!$C$14,PL_Saisie_Estime2!$F$15,PL_Saisie_Estime2!$F$14,PL_Saisie_Estime2!$F$20,PL_Saisie_Estime2!AD$2,PL_Saisie_Estime2!AD$1,PL_Saisie_Estime2!$C366),"")</f>
        <v/>
      </c>
      <c r="AE366" s="192" t="str">
        <f ca="1">IF(Flag_Send_Data=1,_xll.DBSW(PL_Saisie_Estime2!AE366,Server&amp;Cube1,PL_Saisie_Estime2!$F$17,PL_Saisie_Estime2!$F$18,PL_Saisie_Estime2!$F$19,PL_Saisie_Estime2!$F$16,PL_Saisie_Estime2!$C$14,PL_Saisie_Estime2!$F$15,PL_Saisie_Estime2!$F$14,PL_Saisie_Estime2!$F$20,PL_Saisie_Estime2!AE$2,PL_Saisie_Estime2!AE$1,PL_Saisie_Estime2!$C366),"")</f>
        <v/>
      </c>
      <c r="AF366" s="204"/>
      <c r="AG366" s="53"/>
      <c r="AH366" s="53"/>
      <c r="AI366" s="53"/>
      <c r="AJ366" s="53"/>
      <c r="AK366" s="53"/>
      <c r="AL366" s="53"/>
      <c r="AM366" s="53"/>
      <c r="AN366" s="53"/>
      <c r="AO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:53" s="9" customFormat="1" ht="24" customHeight="1" x14ac:dyDescent="0.35">
      <c r="A367" s="181"/>
      <c r="B367" s="163"/>
      <c r="C367" s="119"/>
      <c r="E367" s="269"/>
      <c r="F367" s="269"/>
      <c r="G367" s="269"/>
      <c r="H367" s="40"/>
      <c r="I367" s="159"/>
      <c r="J367" s="159"/>
      <c r="K367" s="159"/>
      <c r="L367" s="159"/>
      <c r="M367" s="159"/>
      <c r="N367" s="125"/>
      <c r="O367" s="161"/>
      <c r="P367" s="125"/>
      <c r="Q367" s="124"/>
      <c r="R367" s="161"/>
      <c r="S367" s="125"/>
      <c r="T367" s="202"/>
      <c r="U367" s="202"/>
      <c r="V367" s="202"/>
      <c r="W367" s="202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53"/>
      <c r="AH367" s="53"/>
      <c r="AI367" s="53"/>
      <c r="AJ367" s="53"/>
      <c r="AK367" s="53"/>
      <c r="AL367" s="53"/>
      <c r="AM367" s="53"/>
      <c r="AN367" s="53"/>
      <c r="AO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:53" s="9" customFormat="1" ht="24" customHeight="1" x14ac:dyDescent="0.35">
      <c r="A368" s="181"/>
      <c r="B368" s="163"/>
      <c r="C368" s="117"/>
      <c r="E368" s="270"/>
      <c r="F368" s="270"/>
      <c r="G368" s="270"/>
      <c r="H368" s="40"/>
      <c r="I368" s="130"/>
      <c r="J368" s="130"/>
      <c r="K368" s="130"/>
      <c r="L368" s="130"/>
      <c r="M368" s="130"/>
      <c r="N368" s="125"/>
      <c r="O368" s="125"/>
      <c r="P368" s="125"/>
      <c r="Q368" s="124"/>
      <c r="R368" s="125"/>
      <c r="S368" s="125"/>
      <c r="T368" s="201"/>
      <c r="U368" s="201"/>
      <c r="V368" s="201"/>
      <c r="W368" s="201"/>
      <c r="X368" s="125"/>
      <c r="Y368" s="125"/>
      <c r="Z368" s="125"/>
      <c r="AA368" s="125"/>
      <c r="AB368" s="125"/>
      <c r="AC368" s="125"/>
      <c r="AD368" s="125"/>
      <c r="AE368" s="125"/>
      <c r="AF368" s="125"/>
      <c r="AG368" s="53"/>
      <c r="AH368" s="53"/>
      <c r="AI368" s="53"/>
      <c r="AJ368" s="53"/>
      <c r="AK368" s="53"/>
      <c r="AL368" s="53"/>
      <c r="AM368" s="53"/>
      <c r="AN368" s="53"/>
      <c r="AO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:53" s="9" customFormat="1" ht="24" customHeight="1" x14ac:dyDescent="0.35">
      <c r="A369" s="181"/>
      <c r="B369" s="163"/>
      <c r="C369" s="117"/>
      <c r="E369" s="268"/>
      <c r="F369" s="268"/>
      <c r="G369" s="268"/>
      <c r="H369" s="40"/>
      <c r="I369" s="130"/>
      <c r="J369" s="130"/>
      <c r="K369" s="130"/>
      <c r="L369" s="130"/>
      <c r="M369" s="130"/>
      <c r="N369" s="126"/>
      <c r="O369" s="204"/>
      <c r="P369" s="126"/>
      <c r="Q369" s="124"/>
      <c r="R369" s="192"/>
      <c r="S369" s="126"/>
      <c r="T369" s="200"/>
      <c r="U369" s="200"/>
      <c r="V369" s="200"/>
      <c r="W369" s="200"/>
      <c r="X369" s="200"/>
      <c r="Y369" s="200"/>
      <c r="Z369" s="192" t="str">
        <f ca="1">IF(Flag_Send_Data=1,_xll.DBSW(PL_Saisie_Estime2!Z369,Server&amp;Cube1,PL_Saisie_Estime2!$F$17,PL_Saisie_Estime2!$F$18,PL_Saisie_Estime2!$F$19,PL_Saisie_Estime2!$F$16,PL_Saisie_Estime2!$C$14,PL_Saisie_Estime2!$F$15,PL_Saisie_Estime2!$F$14,PL_Saisie_Estime2!$F$20,PL_Saisie_Estime2!Z$2,PL_Saisie_Estime2!Z$1,PL_Saisie_Estime2!$C369),"")</f>
        <v/>
      </c>
      <c r="AA369" s="192" t="str">
        <f ca="1">IF(Flag_Send_Data=1,_xll.DBSW(PL_Saisie_Estime2!AA369,Server&amp;Cube1,PL_Saisie_Estime2!$F$17,PL_Saisie_Estime2!$F$18,PL_Saisie_Estime2!$F$19,PL_Saisie_Estime2!$F$16,PL_Saisie_Estime2!$C$14,PL_Saisie_Estime2!$F$15,PL_Saisie_Estime2!$F$14,PL_Saisie_Estime2!$F$20,PL_Saisie_Estime2!AA$2,PL_Saisie_Estime2!AA$1,PL_Saisie_Estime2!$C369),"")</f>
        <v/>
      </c>
      <c r="AB369" s="192" t="str">
        <f ca="1">IF(Flag_Send_Data=1,_xll.DBSW(PL_Saisie_Estime2!AB369,Server&amp;Cube1,PL_Saisie_Estime2!$F$17,PL_Saisie_Estime2!$F$18,PL_Saisie_Estime2!$F$19,PL_Saisie_Estime2!$F$16,PL_Saisie_Estime2!$C$14,PL_Saisie_Estime2!$F$15,PL_Saisie_Estime2!$F$14,PL_Saisie_Estime2!$F$20,PL_Saisie_Estime2!AB$2,PL_Saisie_Estime2!AB$1,PL_Saisie_Estime2!$C369),"")</f>
        <v/>
      </c>
      <c r="AC369" s="192" t="str">
        <f ca="1">IF(Flag_Send_Data=1,_xll.DBSW(PL_Saisie_Estime2!AC369,Server&amp;Cube1,PL_Saisie_Estime2!$F$17,PL_Saisie_Estime2!$F$18,PL_Saisie_Estime2!$F$19,PL_Saisie_Estime2!$F$16,PL_Saisie_Estime2!$C$14,PL_Saisie_Estime2!$F$15,PL_Saisie_Estime2!$F$14,PL_Saisie_Estime2!$F$20,PL_Saisie_Estime2!AC$2,PL_Saisie_Estime2!AC$1,PL_Saisie_Estime2!$C369),"")</f>
        <v/>
      </c>
      <c r="AD369" s="192" t="str">
        <f ca="1">IF(Flag_Send_Data=1,_xll.DBSW(PL_Saisie_Estime2!AD369,Server&amp;Cube1,PL_Saisie_Estime2!$F$17,PL_Saisie_Estime2!$F$18,PL_Saisie_Estime2!$F$19,PL_Saisie_Estime2!$F$16,PL_Saisie_Estime2!$C$14,PL_Saisie_Estime2!$F$15,PL_Saisie_Estime2!$F$14,PL_Saisie_Estime2!$F$20,PL_Saisie_Estime2!AD$2,PL_Saisie_Estime2!AD$1,PL_Saisie_Estime2!$C369),"")</f>
        <v/>
      </c>
      <c r="AE369" s="192" t="str">
        <f ca="1">IF(Flag_Send_Data=1,_xll.DBSW(PL_Saisie_Estime2!AE369,Server&amp;Cube1,PL_Saisie_Estime2!$F$17,PL_Saisie_Estime2!$F$18,PL_Saisie_Estime2!$F$19,PL_Saisie_Estime2!$F$16,PL_Saisie_Estime2!$C$14,PL_Saisie_Estime2!$F$15,PL_Saisie_Estime2!$F$14,PL_Saisie_Estime2!$F$20,PL_Saisie_Estime2!AE$2,PL_Saisie_Estime2!AE$1,PL_Saisie_Estime2!$C369),"")</f>
        <v/>
      </c>
      <c r="AF369" s="204"/>
      <c r="AG369" s="53"/>
      <c r="AH369" s="53"/>
      <c r="AI369" s="53"/>
      <c r="AJ369" s="53"/>
      <c r="AK369" s="53"/>
      <c r="AL369" s="53"/>
      <c r="AM369" s="53"/>
      <c r="AN369" s="53"/>
      <c r="AO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:53" s="9" customFormat="1" ht="24" customHeight="1" x14ac:dyDescent="0.35">
      <c r="A370" s="181"/>
      <c r="B370" s="163"/>
      <c r="C370" s="117"/>
      <c r="E370" s="268"/>
      <c r="F370" s="268"/>
      <c r="G370" s="268"/>
      <c r="H370" s="40"/>
      <c r="I370" s="130"/>
      <c r="J370" s="130"/>
      <c r="K370" s="130"/>
      <c r="L370" s="130"/>
      <c r="M370" s="130"/>
      <c r="N370" s="126"/>
      <c r="O370" s="204"/>
      <c r="P370" s="126"/>
      <c r="Q370" s="124"/>
      <c r="R370" s="192"/>
      <c r="S370" s="126"/>
      <c r="T370" s="200"/>
      <c r="U370" s="200"/>
      <c r="V370" s="200"/>
      <c r="W370" s="200"/>
      <c r="X370" s="200"/>
      <c r="Y370" s="200"/>
      <c r="Z370" s="192" t="str">
        <f ca="1">IF(Flag_Send_Data=1,_xll.DBSW(PL_Saisie_Estime2!Z370,Server&amp;Cube1,PL_Saisie_Estime2!$F$17,PL_Saisie_Estime2!$F$18,PL_Saisie_Estime2!$F$19,PL_Saisie_Estime2!$F$16,PL_Saisie_Estime2!$C$14,PL_Saisie_Estime2!$F$15,PL_Saisie_Estime2!$F$14,PL_Saisie_Estime2!$F$20,PL_Saisie_Estime2!Z$2,PL_Saisie_Estime2!Z$1,PL_Saisie_Estime2!$C370),"")</f>
        <v/>
      </c>
      <c r="AA370" s="192" t="str">
        <f ca="1">IF(Flag_Send_Data=1,_xll.DBSW(PL_Saisie_Estime2!AA370,Server&amp;Cube1,PL_Saisie_Estime2!$F$17,PL_Saisie_Estime2!$F$18,PL_Saisie_Estime2!$F$19,PL_Saisie_Estime2!$F$16,PL_Saisie_Estime2!$C$14,PL_Saisie_Estime2!$F$15,PL_Saisie_Estime2!$F$14,PL_Saisie_Estime2!$F$20,PL_Saisie_Estime2!AA$2,PL_Saisie_Estime2!AA$1,PL_Saisie_Estime2!$C370),"")</f>
        <v/>
      </c>
      <c r="AB370" s="192" t="str">
        <f ca="1">IF(Flag_Send_Data=1,_xll.DBSW(PL_Saisie_Estime2!AB370,Server&amp;Cube1,PL_Saisie_Estime2!$F$17,PL_Saisie_Estime2!$F$18,PL_Saisie_Estime2!$F$19,PL_Saisie_Estime2!$F$16,PL_Saisie_Estime2!$C$14,PL_Saisie_Estime2!$F$15,PL_Saisie_Estime2!$F$14,PL_Saisie_Estime2!$F$20,PL_Saisie_Estime2!AB$2,PL_Saisie_Estime2!AB$1,PL_Saisie_Estime2!$C370),"")</f>
        <v/>
      </c>
      <c r="AC370" s="192" t="str">
        <f ca="1">IF(Flag_Send_Data=1,_xll.DBSW(PL_Saisie_Estime2!AC370,Server&amp;Cube1,PL_Saisie_Estime2!$F$17,PL_Saisie_Estime2!$F$18,PL_Saisie_Estime2!$F$19,PL_Saisie_Estime2!$F$16,PL_Saisie_Estime2!$C$14,PL_Saisie_Estime2!$F$15,PL_Saisie_Estime2!$F$14,PL_Saisie_Estime2!$F$20,PL_Saisie_Estime2!AC$2,PL_Saisie_Estime2!AC$1,PL_Saisie_Estime2!$C370),"")</f>
        <v/>
      </c>
      <c r="AD370" s="192" t="str">
        <f ca="1">IF(Flag_Send_Data=1,_xll.DBSW(PL_Saisie_Estime2!AD370,Server&amp;Cube1,PL_Saisie_Estime2!$F$17,PL_Saisie_Estime2!$F$18,PL_Saisie_Estime2!$F$19,PL_Saisie_Estime2!$F$16,PL_Saisie_Estime2!$C$14,PL_Saisie_Estime2!$F$15,PL_Saisie_Estime2!$F$14,PL_Saisie_Estime2!$F$20,PL_Saisie_Estime2!AD$2,PL_Saisie_Estime2!AD$1,PL_Saisie_Estime2!$C370),"")</f>
        <v/>
      </c>
      <c r="AE370" s="192" t="str">
        <f ca="1">IF(Flag_Send_Data=1,_xll.DBSW(PL_Saisie_Estime2!AE370,Server&amp;Cube1,PL_Saisie_Estime2!$F$17,PL_Saisie_Estime2!$F$18,PL_Saisie_Estime2!$F$19,PL_Saisie_Estime2!$F$16,PL_Saisie_Estime2!$C$14,PL_Saisie_Estime2!$F$15,PL_Saisie_Estime2!$F$14,PL_Saisie_Estime2!$F$20,PL_Saisie_Estime2!AE$2,PL_Saisie_Estime2!AE$1,PL_Saisie_Estime2!$C370),"")</f>
        <v/>
      </c>
      <c r="AF370" s="204"/>
      <c r="AG370" s="53"/>
      <c r="AH370" s="53"/>
      <c r="AI370" s="53"/>
      <c r="AJ370" s="53"/>
      <c r="AK370" s="53"/>
      <c r="AL370" s="53"/>
      <c r="AM370" s="53"/>
      <c r="AN370" s="53"/>
      <c r="AO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:53" s="9" customFormat="1" ht="24" customHeight="1" x14ac:dyDescent="0.35">
      <c r="A371" s="181"/>
      <c r="B371" s="163"/>
      <c r="C371" s="117"/>
      <c r="E371" s="268"/>
      <c r="F371" s="268"/>
      <c r="G371" s="268"/>
      <c r="H371" s="40"/>
      <c r="I371" s="130"/>
      <c r="J371" s="130"/>
      <c r="K371" s="130"/>
      <c r="L371" s="130"/>
      <c r="M371" s="130"/>
      <c r="N371" s="126"/>
      <c r="O371" s="204"/>
      <c r="P371" s="126"/>
      <c r="Q371" s="124"/>
      <c r="R371" s="192"/>
      <c r="S371" s="126"/>
      <c r="T371" s="200"/>
      <c r="U371" s="200"/>
      <c r="V371" s="200"/>
      <c r="W371" s="200"/>
      <c r="X371" s="200"/>
      <c r="Y371" s="200"/>
      <c r="Z371" s="192" t="str">
        <f ca="1">IF(Flag_Send_Data=1,_xll.DBSW(PL_Saisie_Estime2!Z371,Server&amp;Cube1,PL_Saisie_Estime2!$F$17,PL_Saisie_Estime2!$F$18,PL_Saisie_Estime2!$F$19,PL_Saisie_Estime2!$F$16,PL_Saisie_Estime2!$C$14,PL_Saisie_Estime2!$F$15,PL_Saisie_Estime2!$F$14,PL_Saisie_Estime2!$F$20,PL_Saisie_Estime2!Z$2,PL_Saisie_Estime2!Z$1,PL_Saisie_Estime2!$C371),"")</f>
        <v/>
      </c>
      <c r="AA371" s="192" t="str">
        <f ca="1">IF(Flag_Send_Data=1,_xll.DBSW(PL_Saisie_Estime2!AA371,Server&amp;Cube1,PL_Saisie_Estime2!$F$17,PL_Saisie_Estime2!$F$18,PL_Saisie_Estime2!$F$19,PL_Saisie_Estime2!$F$16,PL_Saisie_Estime2!$C$14,PL_Saisie_Estime2!$F$15,PL_Saisie_Estime2!$F$14,PL_Saisie_Estime2!$F$20,PL_Saisie_Estime2!AA$2,PL_Saisie_Estime2!AA$1,PL_Saisie_Estime2!$C371),"")</f>
        <v/>
      </c>
      <c r="AB371" s="192" t="str">
        <f ca="1">IF(Flag_Send_Data=1,_xll.DBSW(PL_Saisie_Estime2!AB371,Server&amp;Cube1,PL_Saisie_Estime2!$F$17,PL_Saisie_Estime2!$F$18,PL_Saisie_Estime2!$F$19,PL_Saisie_Estime2!$F$16,PL_Saisie_Estime2!$C$14,PL_Saisie_Estime2!$F$15,PL_Saisie_Estime2!$F$14,PL_Saisie_Estime2!$F$20,PL_Saisie_Estime2!AB$2,PL_Saisie_Estime2!AB$1,PL_Saisie_Estime2!$C371),"")</f>
        <v/>
      </c>
      <c r="AC371" s="192" t="str">
        <f ca="1">IF(Flag_Send_Data=1,_xll.DBSW(PL_Saisie_Estime2!AC371,Server&amp;Cube1,PL_Saisie_Estime2!$F$17,PL_Saisie_Estime2!$F$18,PL_Saisie_Estime2!$F$19,PL_Saisie_Estime2!$F$16,PL_Saisie_Estime2!$C$14,PL_Saisie_Estime2!$F$15,PL_Saisie_Estime2!$F$14,PL_Saisie_Estime2!$F$20,PL_Saisie_Estime2!AC$2,PL_Saisie_Estime2!AC$1,PL_Saisie_Estime2!$C371),"")</f>
        <v/>
      </c>
      <c r="AD371" s="192" t="str">
        <f ca="1">IF(Flag_Send_Data=1,_xll.DBSW(PL_Saisie_Estime2!AD371,Server&amp;Cube1,PL_Saisie_Estime2!$F$17,PL_Saisie_Estime2!$F$18,PL_Saisie_Estime2!$F$19,PL_Saisie_Estime2!$F$16,PL_Saisie_Estime2!$C$14,PL_Saisie_Estime2!$F$15,PL_Saisie_Estime2!$F$14,PL_Saisie_Estime2!$F$20,PL_Saisie_Estime2!AD$2,PL_Saisie_Estime2!AD$1,PL_Saisie_Estime2!$C371),"")</f>
        <v/>
      </c>
      <c r="AE371" s="192" t="str">
        <f ca="1">IF(Flag_Send_Data=1,_xll.DBSW(PL_Saisie_Estime2!AE371,Server&amp;Cube1,PL_Saisie_Estime2!$F$17,PL_Saisie_Estime2!$F$18,PL_Saisie_Estime2!$F$19,PL_Saisie_Estime2!$F$16,PL_Saisie_Estime2!$C$14,PL_Saisie_Estime2!$F$15,PL_Saisie_Estime2!$F$14,PL_Saisie_Estime2!$F$20,PL_Saisie_Estime2!AE$2,PL_Saisie_Estime2!AE$1,PL_Saisie_Estime2!$C371),"")</f>
        <v/>
      </c>
      <c r="AF371" s="204"/>
      <c r="AG371" s="53"/>
      <c r="AH371" s="53"/>
      <c r="AI371" s="53"/>
      <c r="AJ371" s="53"/>
      <c r="AK371" s="53"/>
      <c r="AL371" s="53"/>
      <c r="AM371" s="53"/>
      <c r="AN371" s="53"/>
      <c r="AO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:53" s="9" customFormat="1" ht="24" customHeight="1" x14ac:dyDescent="0.35">
      <c r="A372" s="181"/>
      <c r="B372" s="163"/>
      <c r="C372" s="117"/>
      <c r="E372" s="268"/>
      <c r="F372" s="268"/>
      <c r="G372" s="268"/>
      <c r="H372" s="40"/>
      <c r="I372" s="130"/>
      <c r="J372" s="130"/>
      <c r="K372" s="130"/>
      <c r="L372" s="130"/>
      <c r="M372" s="130"/>
      <c r="N372" s="126"/>
      <c r="O372" s="204"/>
      <c r="P372" s="126"/>
      <c r="Q372" s="124"/>
      <c r="R372" s="192"/>
      <c r="S372" s="126"/>
      <c r="T372" s="200"/>
      <c r="U372" s="200"/>
      <c r="V372" s="200"/>
      <c r="W372" s="200"/>
      <c r="X372" s="200"/>
      <c r="Y372" s="200"/>
      <c r="Z372" s="192" t="str">
        <f ca="1">IF(Flag_Send_Data=1,_xll.DBSW(PL_Saisie_Estime2!Z372,Server&amp;Cube1,PL_Saisie_Estime2!$F$17,PL_Saisie_Estime2!$F$18,PL_Saisie_Estime2!$F$19,PL_Saisie_Estime2!$F$16,PL_Saisie_Estime2!$C$14,PL_Saisie_Estime2!$F$15,PL_Saisie_Estime2!$F$14,PL_Saisie_Estime2!$F$20,PL_Saisie_Estime2!Z$2,PL_Saisie_Estime2!Z$1,PL_Saisie_Estime2!$C372),"")</f>
        <v/>
      </c>
      <c r="AA372" s="192" t="str">
        <f ca="1">IF(Flag_Send_Data=1,_xll.DBSW(PL_Saisie_Estime2!AA372,Server&amp;Cube1,PL_Saisie_Estime2!$F$17,PL_Saisie_Estime2!$F$18,PL_Saisie_Estime2!$F$19,PL_Saisie_Estime2!$F$16,PL_Saisie_Estime2!$C$14,PL_Saisie_Estime2!$F$15,PL_Saisie_Estime2!$F$14,PL_Saisie_Estime2!$F$20,PL_Saisie_Estime2!AA$2,PL_Saisie_Estime2!AA$1,PL_Saisie_Estime2!$C372),"")</f>
        <v/>
      </c>
      <c r="AB372" s="192" t="str">
        <f ca="1">IF(Flag_Send_Data=1,_xll.DBSW(PL_Saisie_Estime2!AB372,Server&amp;Cube1,PL_Saisie_Estime2!$F$17,PL_Saisie_Estime2!$F$18,PL_Saisie_Estime2!$F$19,PL_Saisie_Estime2!$F$16,PL_Saisie_Estime2!$C$14,PL_Saisie_Estime2!$F$15,PL_Saisie_Estime2!$F$14,PL_Saisie_Estime2!$F$20,PL_Saisie_Estime2!AB$2,PL_Saisie_Estime2!AB$1,PL_Saisie_Estime2!$C372),"")</f>
        <v/>
      </c>
      <c r="AC372" s="192" t="str">
        <f ca="1">IF(Flag_Send_Data=1,_xll.DBSW(PL_Saisie_Estime2!AC372,Server&amp;Cube1,PL_Saisie_Estime2!$F$17,PL_Saisie_Estime2!$F$18,PL_Saisie_Estime2!$F$19,PL_Saisie_Estime2!$F$16,PL_Saisie_Estime2!$C$14,PL_Saisie_Estime2!$F$15,PL_Saisie_Estime2!$F$14,PL_Saisie_Estime2!$F$20,PL_Saisie_Estime2!AC$2,PL_Saisie_Estime2!AC$1,PL_Saisie_Estime2!$C372),"")</f>
        <v/>
      </c>
      <c r="AD372" s="192" t="str">
        <f ca="1">IF(Flag_Send_Data=1,_xll.DBSW(PL_Saisie_Estime2!AD372,Server&amp;Cube1,PL_Saisie_Estime2!$F$17,PL_Saisie_Estime2!$F$18,PL_Saisie_Estime2!$F$19,PL_Saisie_Estime2!$F$16,PL_Saisie_Estime2!$C$14,PL_Saisie_Estime2!$F$15,PL_Saisie_Estime2!$F$14,PL_Saisie_Estime2!$F$20,PL_Saisie_Estime2!AD$2,PL_Saisie_Estime2!AD$1,PL_Saisie_Estime2!$C372),"")</f>
        <v/>
      </c>
      <c r="AE372" s="192" t="str">
        <f ca="1">IF(Flag_Send_Data=1,_xll.DBSW(PL_Saisie_Estime2!AE372,Server&amp;Cube1,PL_Saisie_Estime2!$F$17,PL_Saisie_Estime2!$F$18,PL_Saisie_Estime2!$F$19,PL_Saisie_Estime2!$F$16,PL_Saisie_Estime2!$C$14,PL_Saisie_Estime2!$F$15,PL_Saisie_Estime2!$F$14,PL_Saisie_Estime2!$F$20,PL_Saisie_Estime2!AE$2,PL_Saisie_Estime2!AE$1,PL_Saisie_Estime2!$C372),"")</f>
        <v/>
      </c>
      <c r="AF372" s="204"/>
      <c r="AG372" s="53"/>
      <c r="AH372" s="53"/>
      <c r="AI372" s="53"/>
      <c r="AJ372" s="53"/>
      <c r="AK372" s="53"/>
      <c r="AL372" s="53"/>
      <c r="AM372" s="53"/>
      <c r="AN372" s="53"/>
      <c r="AO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:53" s="9" customFormat="1" ht="24" customHeight="1" x14ac:dyDescent="0.35">
      <c r="A373" s="181"/>
      <c r="B373" s="163"/>
      <c r="C373" s="117"/>
      <c r="E373" s="268"/>
      <c r="F373" s="268"/>
      <c r="G373" s="268"/>
      <c r="H373" s="40"/>
      <c r="I373" s="130"/>
      <c r="J373" s="130"/>
      <c r="K373" s="130"/>
      <c r="L373" s="130"/>
      <c r="M373" s="130"/>
      <c r="N373" s="126"/>
      <c r="O373" s="204"/>
      <c r="P373" s="126"/>
      <c r="Q373" s="124"/>
      <c r="R373" s="192"/>
      <c r="S373" s="126"/>
      <c r="T373" s="200"/>
      <c r="U373" s="200"/>
      <c r="V373" s="200"/>
      <c r="W373" s="200"/>
      <c r="X373" s="200"/>
      <c r="Y373" s="200"/>
      <c r="Z373" s="192" t="str">
        <f ca="1">IF(Flag_Send_Data=1,_xll.DBSW(PL_Saisie_Estime2!Z373,Server&amp;Cube1,PL_Saisie_Estime2!$F$17,PL_Saisie_Estime2!$F$18,PL_Saisie_Estime2!$F$19,PL_Saisie_Estime2!$F$16,PL_Saisie_Estime2!$C$14,PL_Saisie_Estime2!$F$15,PL_Saisie_Estime2!$F$14,PL_Saisie_Estime2!$F$20,PL_Saisie_Estime2!Z$2,PL_Saisie_Estime2!Z$1,PL_Saisie_Estime2!$C373),"")</f>
        <v/>
      </c>
      <c r="AA373" s="192" t="str">
        <f ca="1">IF(Flag_Send_Data=1,_xll.DBSW(PL_Saisie_Estime2!AA373,Server&amp;Cube1,PL_Saisie_Estime2!$F$17,PL_Saisie_Estime2!$F$18,PL_Saisie_Estime2!$F$19,PL_Saisie_Estime2!$F$16,PL_Saisie_Estime2!$C$14,PL_Saisie_Estime2!$F$15,PL_Saisie_Estime2!$F$14,PL_Saisie_Estime2!$F$20,PL_Saisie_Estime2!AA$2,PL_Saisie_Estime2!AA$1,PL_Saisie_Estime2!$C373),"")</f>
        <v/>
      </c>
      <c r="AB373" s="192" t="str">
        <f ca="1">IF(Flag_Send_Data=1,_xll.DBSW(PL_Saisie_Estime2!AB373,Server&amp;Cube1,PL_Saisie_Estime2!$F$17,PL_Saisie_Estime2!$F$18,PL_Saisie_Estime2!$F$19,PL_Saisie_Estime2!$F$16,PL_Saisie_Estime2!$C$14,PL_Saisie_Estime2!$F$15,PL_Saisie_Estime2!$F$14,PL_Saisie_Estime2!$F$20,PL_Saisie_Estime2!AB$2,PL_Saisie_Estime2!AB$1,PL_Saisie_Estime2!$C373),"")</f>
        <v/>
      </c>
      <c r="AC373" s="192" t="str">
        <f ca="1">IF(Flag_Send_Data=1,_xll.DBSW(PL_Saisie_Estime2!AC373,Server&amp;Cube1,PL_Saisie_Estime2!$F$17,PL_Saisie_Estime2!$F$18,PL_Saisie_Estime2!$F$19,PL_Saisie_Estime2!$F$16,PL_Saisie_Estime2!$C$14,PL_Saisie_Estime2!$F$15,PL_Saisie_Estime2!$F$14,PL_Saisie_Estime2!$F$20,PL_Saisie_Estime2!AC$2,PL_Saisie_Estime2!AC$1,PL_Saisie_Estime2!$C373),"")</f>
        <v/>
      </c>
      <c r="AD373" s="192" t="str">
        <f ca="1">IF(Flag_Send_Data=1,_xll.DBSW(PL_Saisie_Estime2!AD373,Server&amp;Cube1,PL_Saisie_Estime2!$F$17,PL_Saisie_Estime2!$F$18,PL_Saisie_Estime2!$F$19,PL_Saisie_Estime2!$F$16,PL_Saisie_Estime2!$C$14,PL_Saisie_Estime2!$F$15,PL_Saisie_Estime2!$F$14,PL_Saisie_Estime2!$F$20,PL_Saisie_Estime2!AD$2,PL_Saisie_Estime2!AD$1,PL_Saisie_Estime2!$C373),"")</f>
        <v/>
      </c>
      <c r="AE373" s="192" t="str">
        <f ca="1">IF(Flag_Send_Data=1,_xll.DBSW(PL_Saisie_Estime2!AE373,Server&amp;Cube1,PL_Saisie_Estime2!$F$17,PL_Saisie_Estime2!$F$18,PL_Saisie_Estime2!$F$19,PL_Saisie_Estime2!$F$16,PL_Saisie_Estime2!$C$14,PL_Saisie_Estime2!$F$15,PL_Saisie_Estime2!$F$14,PL_Saisie_Estime2!$F$20,PL_Saisie_Estime2!AE$2,PL_Saisie_Estime2!AE$1,PL_Saisie_Estime2!$C373),"")</f>
        <v/>
      </c>
      <c r="AF373" s="204"/>
      <c r="AG373" s="53"/>
      <c r="AH373" s="53"/>
      <c r="AI373" s="53"/>
      <c r="AJ373" s="53"/>
      <c r="AK373" s="53"/>
      <c r="AL373" s="53"/>
      <c r="AM373" s="53"/>
      <c r="AN373" s="53"/>
      <c r="AO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:53" s="9" customFormat="1" ht="24" customHeight="1" x14ac:dyDescent="0.35">
      <c r="A374" s="181"/>
      <c r="B374" s="163"/>
      <c r="C374" s="117"/>
      <c r="E374" s="268"/>
      <c r="F374" s="268"/>
      <c r="G374" s="268"/>
      <c r="H374" s="40"/>
      <c r="I374" s="130"/>
      <c r="J374" s="130"/>
      <c r="K374" s="130"/>
      <c r="L374" s="130"/>
      <c r="M374" s="130"/>
      <c r="N374" s="126"/>
      <c r="O374" s="204"/>
      <c r="P374" s="126"/>
      <c r="Q374" s="124"/>
      <c r="R374" s="192"/>
      <c r="S374" s="126"/>
      <c r="T374" s="200"/>
      <c r="U374" s="200"/>
      <c r="V374" s="200"/>
      <c r="W374" s="200"/>
      <c r="X374" s="200"/>
      <c r="Y374" s="200"/>
      <c r="Z374" s="192" t="str">
        <f ca="1">IF(Flag_Send_Data=1,_xll.DBSW(PL_Saisie_Estime2!Z374,Server&amp;Cube1,PL_Saisie_Estime2!$F$17,PL_Saisie_Estime2!$F$18,PL_Saisie_Estime2!$F$19,PL_Saisie_Estime2!$F$16,PL_Saisie_Estime2!$C$14,PL_Saisie_Estime2!$F$15,PL_Saisie_Estime2!$F$14,PL_Saisie_Estime2!$F$20,PL_Saisie_Estime2!Z$2,PL_Saisie_Estime2!Z$1,PL_Saisie_Estime2!$C374),"")</f>
        <v/>
      </c>
      <c r="AA374" s="192" t="str">
        <f ca="1">IF(Flag_Send_Data=1,_xll.DBSW(PL_Saisie_Estime2!AA374,Server&amp;Cube1,PL_Saisie_Estime2!$F$17,PL_Saisie_Estime2!$F$18,PL_Saisie_Estime2!$F$19,PL_Saisie_Estime2!$F$16,PL_Saisie_Estime2!$C$14,PL_Saisie_Estime2!$F$15,PL_Saisie_Estime2!$F$14,PL_Saisie_Estime2!$F$20,PL_Saisie_Estime2!AA$2,PL_Saisie_Estime2!AA$1,PL_Saisie_Estime2!$C374),"")</f>
        <v/>
      </c>
      <c r="AB374" s="192" t="str">
        <f ca="1">IF(Flag_Send_Data=1,_xll.DBSW(PL_Saisie_Estime2!AB374,Server&amp;Cube1,PL_Saisie_Estime2!$F$17,PL_Saisie_Estime2!$F$18,PL_Saisie_Estime2!$F$19,PL_Saisie_Estime2!$F$16,PL_Saisie_Estime2!$C$14,PL_Saisie_Estime2!$F$15,PL_Saisie_Estime2!$F$14,PL_Saisie_Estime2!$F$20,PL_Saisie_Estime2!AB$2,PL_Saisie_Estime2!AB$1,PL_Saisie_Estime2!$C374),"")</f>
        <v/>
      </c>
      <c r="AC374" s="192" t="str">
        <f ca="1">IF(Flag_Send_Data=1,_xll.DBSW(PL_Saisie_Estime2!AC374,Server&amp;Cube1,PL_Saisie_Estime2!$F$17,PL_Saisie_Estime2!$F$18,PL_Saisie_Estime2!$F$19,PL_Saisie_Estime2!$F$16,PL_Saisie_Estime2!$C$14,PL_Saisie_Estime2!$F$15,PL_Saisie_Estime2!$F$14,PL_Saisie_Estime2!$F$20,PL_Saisie_Estime2!AC$2,PL_Saisie_Estime2!AC$1,PL_Saisie_Estime2!$C374),"")</f>
        <v/>
      </c>
      <c r="AD374" s="192" t="str">
        <f ca="1">IF(Flag_Send_Data=1,_xll.DBSW(PL_Saisie_Estime2!AD374,Server&amp;Cube1,PL_Saisie_Estime2!$F$17,PL_Saisie_Estime2!$F$18,PL_Saisie_Estime2!$F$19,PL_Saisie_Estime2!$F$16,PL_Saisie_Estime2!$C$14,PL_Saisie_Estime2!$F$15,PL_Saisie_Estime2!$F$14,PL_Saisie_Estime2!$F$20,PL_Saisie_Estime2!AD$2,PL_Saisie_Estime2!AD$1,PL_Saisie_Estime2!$C374),"")</f>
        <v/>
      </c>
      <c r="AE374" s="192" t="str">
        <f ca="1">IF(Flag_Send_Data=1,_xll.DBSW(PL_Saisie_Estime2!AE374,Server&amp;Cube1,PL_Saisie_Estime2!$F$17,PL_Saisie_Estime2!$F$18,PL_Saisie_Estime2!$F$19,PL_Saisie_Estime2!$F$16,PL_Saisie_Estime2!$C$14,PL_Saisie_Estime2!$F$15,PL_Saisie_Estime2!$F$14,PL_Saisie_Estime2!$F$20,PL_Saisie_Estime2!AE$2,PL_Saisie_Estime2!AE$1,PL_Saisie_Estime2!$C374),"")</f>
        <v/>
      </c>
      <c r="AF374" s="204"/>
      <c r="AG374" s="53"/>
      <c r="AH374" s="53"/>
      <c r="AI374" s="53"/>
      <c r="AJ374" s="53"/>
      <c r="AK374" s="53"/>
      <c r="AL374" s="53"/>
      <c r="AM374" s="53"/>
      <c r="AN374" s="53"/>
      <c r="AO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:53" s="9" customFormat="1" ht="24" customHeight="1" x14ac:dyDescent="0.35">
      <c r="A375" s="181"/>
      <c r="B375" s="163"/>
      <c r="C375" s="117"/>
      <c r="E375" s="268"/>
      <c r="F375" s="268"/>
      <c r="G375" s="268"/>
      <c r="H375" s="40"/>
      <c r="I375" s="130"/>
      <c r="J375" s="130"/>
      <c r="K375" s="130"/>
      <c r="L375" s="130"/>
      <c r="M375" s="130"/>
      <c r="N375" s="126"/>
      <c r="O375" s="204"/>
      <c r="P375" s="126"/>
      <c r="Q375" s="124"/>
      <c r="R375" s="192"/>
      <c r="S375" s="126"/>
      <c r="T375" s="200"/>
      <c r="U375" s="200"/>
      <c r="V375" s="200"/>
      <c r="W375" s="200"/>
      <c r="X375" s="200"/>
      <c r="Y375" s="200"/>
      <c r="Z375" s="192" t="str">
        <f ca="1">IF(Flag_Send_Data=1,_xll.DBSW(PL_Saisie_Estime2!Z375,Server&amp;Cube1,PL_Saisie_Estime2!$F$17,PL_Saisie_Estime2!$F$18,PL_Saisie_Estime2!$F$19,PL_Saisie_Estime2!$F$16,PL_Saisie_Estime2!$C$14,PL_Saisie_Estime2!$F$15,PL_Saisie_Estime2!$F$14,PL_Saisie_Estime2!$F$20,PL_Saisie_Estime2!Z$2,PL_Saisie_Estime2!Z$1,PL_Saisie_Estime2!$C375),"")</f>
        <v/>
      </c>
      <c r="AA375" s="192" t="str">
        <f ca="1">IF(Flag_Send_Data=1,_xll.DBSW(PL_Saisie_Estime2!AA375,Server&amp;Cube1,PL_Saisie_Estime2!$F$17,PL_Saisie_Estime2!$F$18,PL_Saisie_Estime2!$F$19,PL_Saisie_Estime2!$F$16,PL_Saisie_Estime2!$C$14,PL_Saisie_Estime2!$F$15,PL_Saisie_Estime2!$F$14,PL_Saisie_Estime2!$F$20,PL_Saisie_Estime2!AA$2,PL_Saisie_Estime2!AA$1,PL_Saisie_Estime2!$C375),"")</f>
        <v/>
      </c>
      <c r="AB375" s="192" t="str">
        <f ca="1">IF(Flag_Send_Data=1,_xll.DBSW(PL_Saisie_Estime2!AB375,Server&amp;Cube1,PL_Saisie_Estime2!$F$17,PL_Saisie_Estime2!$F$18,PL_Saisie_Estime2!$F$19,PL_Saisie_Estime2!$F$16,PL_Saisie_Estime2!$C$14,PL_Saisie_Estime2!$F$15,PL_Saisie_Estime2!$F$14,PL_Saisie_Estime2!$F$20,PL_Saisie_Estime2!AB$2,PL_Saisie_Estime2!AB$1,PL_Saisie_Estime2!$C375),"")</f>
        <v/>
      </c>
      <c r="AC375" s="192" t="str">
        <f ca="1">IF(Flag_Send_Data=1,_xll.DBSW(PL_Saisie_Estime2!AC375,Server&amp;Cube1,PL_Saisie_Estime2!$F$17,PL_Saisie_Estime2!$F$18,PL_Saisie_Estime2!$F$19,PL_Saisie_Estime2!$F$16,PL_Saisie_Estime2!$C$14,PL_Saisie_Estime2!$F$15,PL_Saisie_Estime2!$F$14,PL_Saisie_Estime2!$F$20,PL_Saisie_Estime2!AC$2,PL_Saisie_Estime2!AC$1,PL_Saisie_Estime2!$C375),"")</f>
        <v/>
      </c>
      <c r="AD375" s="192" t="str">
        <f ca="1">IF(Flag_Send_Data=1,_xll.DBSW(PL_Saisie_Estime2!AD375,Server&amp;Cube1,PL_Saisie_Estime2!$F$17,PL_Saisie_Estime2!$F$18,PL_Saisie_Estime2!$F$19,PL_Saisie_Estime2!$F$16,PL_Saisie_Estime2!$C$14,PL_Saisie_Estime2!$F$15,PL_Saisie_Estime2!$F$14,PL_Saisie_Estime2!$F$20,PL_Saisie_Estime2!AD$2,PL_Saisie_Estime2!AD$1,PL_Saisie_Estime2!$C375),"")</f>
        <v/>
      </c>
      <c r="AE375" s="192" t="str">
        <f ca="1">IF(Flag_Send_Data=1,_xll.DBSW(PL_Saisie_Estime2!AE375,Server&amp;Cube1,PL_Saisie_Estime2!$F$17,PL_Saisie_Estime2!$F$18,PL_Saisie_Estime2!$F$19,PL_Saisie_Estime2!$F$16,PL_Saisie_Estime2!$C$14,PL_Saisie_Estime2!$F$15,PL_Saisie_Estime2!$F$14,PL_Saisie_Estime2!$F$20,PL_Saisie_Estime2!AE$2,PL_Saisie_Estime2!AE$1,PL_Saisie_Estime2!$C375),"")</f>
        <v/>
      </c>
      <c r="AF375" s="204"/>
      <c r="AG375" s="53"/>
      <c r="AH375" s="53"/>
      <c r="AI375" s="53"/>
      <c r="AJ375" s="53"/>
      <c r="AK375" s="53"/>
      <c r="AL375" s="53"/>
      <c r="AM375" s="53"/>
      <c r="AN375" s="53"/>
      <c r="AO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:53" s="9" customFormat="1" ht="24" customHeight="1" x14ac:dyDescent="0.35">
      <c r="A376" s="181"/>
      <c r="B376" s="163"/>
      <c r="C376" s="117"/>
      <c r="E376" s="268"/>
      <c r="F376" s="268"/>
      <c r="G376" s="268"/>
      <c r="H376" s="40"/>
      <c r="I376" s="130"/>
      <c r="J376" s="130"/>
      <c r="K376" s="130"/>
      <c r="L376" s="130"/>
      <c r="M376" s="130"/>
      <c r="N376" s="126"/>
      <c r="O376" s="204"/>
      <c r="P376" s="126"/>
      <c r="Q376" s="124"/>
      <c r="R376" s="192"/>
      <c r="S376" s="126"/>
      <c r="T376" s="200"/>
      <c r="U376" s="200"/>
      <c r="V376" s="200"/>
      <c r="W376" s="200"/>
      <c r="X376" s="200"/>
      <c r="Y376" s="200"/>
      <c r="Z376" s="192" t="str">
        <f ca="1">IF(Flag_Send_Data=1,_xll.DBSW(PL_Saisie_Estime2!Z376,Server&amp;Cube1,PL_Saisie_Estime2!$F$17,PL_Saisie_Estime2!$F$18,PL_Saisie_Estime2!$F$19,PL_Saisie_Estime2!$F$16,PL_Saisie_Estime2!$C$14,PL_Saisie_Estime2!$F$15,PL_Saisie_Estime2!$F$14,PL_Saisie_Estime2!$F$20,PL_Saisie_Estime2!Z$2,PL_Saisie_Estime2!Z$1,PL_Saisie_Estime2!$C376),"")</f>
        <v/>
      </c>
      <c r="AA376" s="192" t="str">
        <f ca="1">IF(Flag_Send_Data=1,_xll.DBSW(PL_Saisie_Estime2!AA376,Server&amp;Cube1,PL_Saisie_Estime2!$F$17,PL_Saisie_Estime2!$F$18,PL_Saisie_Estime2!$F$19,PL_Saisie_Estime2!$F$16,PL_Saisie_Estime2!$C$14,PL_Saisie_Estime2!$F$15,PL_Saisie_Estime2!$F$14,PL_Saisie_Estime2!$F$20,PL_Saisie_Estime2!AA$2,PL_Saisie_Estime2!AA$1,PL_Saisie_Estime2!$C376),"")</f>
        <v/>
      </c>
      <c r="AB376" s="192" t="str">
        <f ca="1">IF(Flag_Send_Data=1,_xll.DBSW(PL_Saisie_Estime2!AB376,Server&amp;Cube1,PL_Saisie_Estime2!$F$17,PL_Saisie_Estime2!$F$18,PL_Saisie_Estime2!$F$19,PL_Saisie_Estime2!$F$16,PL_Saisie_Estime2!$C$14,PL_Saisie_Estime2!$F$15,PL_Saisie_Estime2!$F$14,PL_Saisie_Estime2!$F$20,PL_Saisie_Estime2!AB$2,PL_Saisie_Estime2!AB$1,PL_Saisie_Estime2!$C376),"")</f>
        <v/>
      </c>
      <c r="AC376" s="192" t="str">
        <f ca="1">IF(Flag_Send_Data=1,_xll.DBSW(PL_Saisie_Estime2!AC376,Server&amp;Cube1,PL_Saisie_Estime2!$F$17,PL_Saisie_Estime2!$F$18,PL_Saisie_Estime2!$F$19,PL_Saisie_Estime2!$F$16,PL_Saisie_Estime2!$C$14,PL_Saisie_Estime2!$F$15,PL_Saisie_Estime2!$F$14,PL_Saisie_Estime2!$F$20,PL_Saisie_Estime2!AC$2,PL_Saisie_Estime2!AC$1,PL_Saisie_Estime2!$C376),"")</f>
        <v/>
      </c>
      <c r="AD376" s="192" t="str">
        <f ca="1">IF(Flag_Send_Data=1,_xll.DBSW(PL_Saisie_Estime2!AD376,Server&amp;Cube1,PL_Saisie_Estime2!$F$17,PL_Saisie_Estime2!$F$18,PL_Saisie_Estime2!$F$19,PL_Saisie_Estime2!$F$16,PL_Saisie_Estime2!$C$14,PL_Saisie_Estime2!$F$15,PL_Saisie_Estime2!$F$14,PL_Saisie_Estime2!$F$20,PL_Saisie_Estime2!AD$2,PL_Saisie_Estime2!AD$1,PL_Saisie_Estime2!$C376),"")</f>
        <v/>
      </c>
      <c r="AE376" s="192" t="str">
        <f ca="1">IF(Flag_Send_Data=1,_xll.DBSW(PL_Saisie_Estime2!AE376,Server&amp;Cube1,PL_Saisie_Estime2!$F$17,PL_Saisie_Estime2!$F$18,PL_Saisie_Estime2!$F$19,PL_Saisie_Estime2!$F$16,PL_Saisie_Estime2!$C$14,PL_Saisie_Estime2!$F$15,PL_Saisie_Estime2!$F$14,PL_Saisie_Estime2!$F$20,PL_Saisie_Estime2!AE$2,PL_Saisie_Estime2!AE$1,PL_Saisie_Estime2!$C376),"")</f>
        <v/>
      </c>
      <c r="AF376" s="204"/>
      <c r="AG376" s="53"/>
      <c r="AH376" s="53"/>
      <c r="AI376" s="53"/>
      <c r="AJ376" s="53"/>
      <c r="AK376" s="53"/>
      <c r="AL376" s="53"/>
      <c r="AM376" s="53"/>
      <c r="AN376" s="53"/>
      <c r="AO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:53" s="9" customFormat="1" ht="24" customHeight="1" x14ac:dyDescent="0.35">
      <c r="A377" s="181"/>
      <c r="B377" s="163"/>
      <c r="C377" s="117"/>
      <c r="E377" s="268"/>
      <c r="F377" s="268"/>
      <c r="G377" s="268"/>
      <c r="H377" s="40"/>
      <c r="I377" s="130"/>
      <c r="J377" s="130"/>
      <c r="K377" s="130"/>
      <c r="L377" s="130"/>
      <c r="M377" s="130"/>
      <c r="N377" s="126"/>
      <c r="O377" s="204"/>
      <c r="P377" s="126"/>
      <c r="Q377" s="124"/>
      <c r="R377" s="192"/>
      <c r="S377" s="126"/>
      <c r="T377" s="200"/>
      <c r="U377" s="200"/>
      <c r="V377" s="200"/>
      <c r="W377" s="200"/>
      <c r="X377" s="200"/>
      <c r="Y377" s="200"/>
      <c r="Z377" s="192" t="str">
        <f ca="1">IF(Flag_Send_Data=1,_xll.DBSW(PL_Saisie_Estime2!Z377,Server&amp;Cube1,PL_Saisie_Estime2!$F$17,PL_Saisie_Estime2!$F$18,PL_Saisie_Estime2!$F$19,PL_Saisie_Estime2!$F$16,PL_Saisie_Estime2!$C$14,PL_Saisie_Estime2!$F$15,PL_Saisie_Estime2!$F$14,PL_Saisie_Estime2!$F$20,PL_Saisie_Estime2!Z$2,PL_Saisie_Estime2!Z$1,PL_Saisie_Estime2!$C377),"")</f>
        <v/>
      </c>
      <c r="AA377" s="192" t="str">
        <f ca="1">IF(Flag_Send_Data=1,_xll.DBSW(PL_Saisie_Estime2!AA377,Server&amp;Cube1,PL_Saisie_Estime2!$F$17,PL_Saisie_Estime2!$F$18,PL_Saisie_Estime2!$F$19,PL_Saisie_Estime2!$F$16,PL_Saisie_Estime2!$C$14,PL_Saisie_Estime2!$F$15,PL_Saisie_Estime2!$F$14,PL_Saisie_Estime2!$F$20,PL_Saisie_Estime2!AA$2,PL_Saisie_Estime2!AA$1,PL_Saisie_Estime2!$C377),"")</f>
        <v/>
      </c>
      <c r="AB377" s="192" t="str">
        <f ca="1">IF(Flag_Send_Data=1,_xll.DBSW(PL_Saisie_Estime2!AB377,Server&amp;Cube1,PL_Saisie_Estime2!$F$17,PL_Saisie_Estime2!$F$18,PL_Saisie_Estime2!$F$19,PL_Saisie_Estime2!$F$16,PL_Saisie_Estime2!$C$14,PL_Saisie_Estime2!$F$15,PL_Saisie_Estime2!$F$14,PL_Saisie_Estime2!$F$20,PL_Saisie_Estime2!AB$2,PL_Saisie_Estime2!AB$1,PL_Saisie_Estime2!$C377),"")</f>
        <v/>
      </c>
      <c r="AC377" s="192" t="str">
        <f ca="1">IF(Flag_Send_Data=1,_xll.DBSW(PL_Saisie_Estime2!AC377,Server&amp;Cube1,PL_Saisie_Estime2!$F$17,PL_Saisie_Estime2!$F$18,PL_Saisie_Estime2!$F$19,PL_Saisie_Estime2!$F$16,PL_Saisie_Estime2!$C$14,PL_Saisie_Estime2!$F$15,PL_Saisie_Estime2!$F$14,PL_Saisie_Estime2!$F$20,PL_Saisie_Estime2!AC$2,PL_Saisie_Estime2!AC$1,PL_Saisie_Estime2!$C377),"")</f>
        <v/>
      </c>
      <c r="AD377" s="192" t="str">
        <f ca="1">IF(Flag_Send_Data=1,_xll.DBSW(PL_Saisie_Estime2!AD377,Server&amp;Cube1,PL_Saisie_Estime2!$F$17,PL_Saisie_Estime2!$F$18,PL_Saisie_Estime2!$F$19,PL_Saisie_Estime2!$F$16,PL_Saisie_Estime2!$C$14,PL_Saisie_Estime2!$F$15,PL_Saisie_Estime2!$F$14,PL_Saisie_Estime2!$F$20,PL_Saisie_Estime2!AD$2,PL_Saisie_Estime2!AD$1,PL_Saisie_Estime2!$C377),"")</f>
        <v/>
      </c>
      <c r="AE377" s="192" t="str">
        <f ca="1">IF(Flag_Send_Data=1,_xll.DBSW(PL_Saisie_Estime2!AE377,Server&amp;Cube1,PL_Saisie_Estime2!$F$17,PL_Saisie_Estime2!$F$18,PL_Saisie_Estime2!$F$19,PL_Saisie_Estime2!$F$16,PL_Saisie_Estime2!$C$14,PL_Saisie_Estime2!$F$15,PL_Saisie_Estime2!$F$14,PL_Saisie_Estime2!$F$20,PL_Saisie_Estime2!AE$2,PL_Saisie_Estime2!AE$1,PL_Saisie_Estime2!$C377),"")</f>
        <v/>
      </c>
      <c r="AF377" s="204"/>
      <c r="AG377" s="53"/>
      <c r="AH377" s="53"/>
      <c r="AI377" s="53"/>
      <c r="AJ377" s="53"/>
      <c r="AK377" s="53"/>
      <c r="AL377" s="53"/>
      <c r="AM377" s="53"/>
      <c r="AN377" s="53"/>
      <c r="AO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:53" s="9" customFormat="1" ht="24" customHeight="1" x14ac:dyDescent="0.35">
      <c r="A378" s="181"/>
      <c r="B378" s="163"/>
      <c r="C378" s="117"/>
      <c r="E378" s="268"/>
      <c r="F378" s="268"/>
      <c r="G378" s="268"/>
      <c r="H378" s="40"/>
      <c r="I378" s="130"/>
      <c r="J378" s="130"/>
      <c r="K378" s="130"/>
      <c r="L378" s="130"/>
      <c r="M378" s="130"/>
      <c r="N378" s="126"/>
      <c r="O378" s="204"/>
      <c r="P378" s="126"/>
      <c r="Q378" s="124"/>
      <c r="R378" s="192"/>
      <c r="S378" s="126"/>
      <c r="T378" s="200"/>
      <c r="U378" s="200"/>
      <c r="V378" s="200"/>
      <c r="W378" s="200"/>
      <c r="X378" s="200"/>
      <c r="Y378" s="200"/>
      <c r="Z378" s="192" t="str">
        <f ca="1">IF(Flag_Send_Data=1,_xll.DBSW(PL_Saisie_Estime2!Z378,Server&amp;Cube1,PL_Saisie_Estime2!$F$17,PL_Saisie_Estime2!$F$18,PL_Saisie_Estime2!$F$19,PL_Saisie_Estime2!$F$16,PL_Saisie_Estime2!$C$14,PL_Saisie_Estime2!$F$15,PL_Saisie_Estime2!$F$14,PL_Saisie_Estime2!$F$20,PL_Saisie_Estime2!Z$2,PL_Saisie_Estime2!Z$1,PL_Saisie_Estime2!$C378),"")</f>
        <v/>
      </c>
      <c r="AA378" s="192" t="str">
        <f ca="1">IF(Flag_Send_Data=1,_xll.DBSW(PL_Saisie_Estime2!AA378,Server&amp;Cube1,PL_Saisie_Estime2!$F$17,PL_Saisie_Estime2!$F$18,PL_Saisie_Estime2!$F$19,PL_Saisie_Estime2!$F$16,PL_Saisie_Estime2!$C$14,PL_Saisie_Estime2!$F$15,PL_Saisie_Estime2!$F$14,PL_Saisie_Estime2!$F$20,PL_Saisie_Estime2!AA$2,PL_Saisie_Estime2!AA$1,PL_Saisie_Estime2!$C378),"")</f>
        <v/>
      </c>
      <c r="AB378" s="192" t="str">
        <f ca="1">IF(Flag_Send_Data=1,_xll.DBSW(PL_Saisie_Estime2!AB378,Server&amp;Cube1,PL_Saisie_Estime2!$F$17,PL_Saisie_Estime2!$F$18,PL_Saisie_Estime2!$F$19,PL_Saisie_Estime2!$F$16,PL_Saisie_Estime2!$C$14,PL_Saisie_Estime2!$F$15,PL_Saisie_Estime2!$F$14,PL_Saisie_Estime2!$F$20,PL_Saisie_Estime2!AB$2,PL_Saisie_Estime2!AB$1,PL_Saisie_Estime2!$C378),"")</f>
        <v/>
      </c>
      <c r="AC378" s="192" t="str">
        <f ca="1">IF(Flag_Send_Data=1,_xll.DBSW(PL_Saisie_Estime2!AC378,Server&amp;Cube1,PL_Saisie_Estime2!$F$17,PL_Saisie_Estime2!$F$18,PL_Saisie_Estime2!$F$19,PL_Saisie_Estime2!$F$16,PL_Saisie_Estime2!$C$14,PL_Saisie_Estime2!$F$15,PL_Saisie_Estime2!$F$14,PL_Saisie_Estime2!$F$20,PL_Saisie_Estime2!AC$2,PL_Saisie_Estime2!AC$1,PL_Saisie_Estime2!$C378),"")</f>
        <v/>
      </c>
      <c r="AD378" s="192" t="str">
        <f ca="1">IF(Flag_Send_Data=1,_xll.DBSW(PL_Saisie_Estime2!AD378,Server&amp;Cube1,PL_Saisie_Estime2!$F$17,PL_Saisie_Estime2!$F$18,PL_Saisie_Estime2!$F$19,PL_Saisie_Estime2!$F$16,PL_Saisie_Estime2!$C$14,PL_Saisie_Estime2!$F$15,PL_Saisie_Estime2!$F$14,PL_Saisie_Estime2!$F$20,PL_Saisie_Estime2!AD$2,PL_Saisie_Estime2!AD$1,PL_Saisie_Estime2!$C378),"")</f>
        <v/>
      </c>
      <c r="AE378" s="192" t="str">
        <f ca="1">IF(Flag_Send_Data=1,_xll.DBSW(PL_Saisie_Estime2!AE378,Server&amp;Cube1,PL_Saisie_Estime2!$F$17,PL_Saisie_Estime2!$F$18,PL_Saisie_Estime2!$F$19,PL_Saisie_Estime2!$F$16,PL_Saisie_Estime2!$C$14,PL_Saisie_Estime2!$F$15,PL_Saisie_Estime2!$F$14,PL_Saisie_Estime2!$F$20,PL_Saisie_Estime2!AE$2,PL_Saisie_Estime2!AE$1,PL_Saisie_Estime2!$C378),"")</f>
        <v/>
      </c>
      <c r="AF378" s="204"/>
      <c r="AG378" s="53"/>
      <c r="AH378" s="53"/>
      <c r="AI378" s="53"/>
      <c r="AJ378" s="53"/>
      <c r="AK378" s="53"/>
      <c r="AL378" s="53"/>
      <c r="AM378" s="53"/>
      <c r="AN378" s="53"/>
      <c r="AO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:53" s="9" customFormat="1" ht="24" customHeight="1" x14ac:dyDescent="0.35">
      <c r="A379" s="181"/>
      <c r="B379" s="163"/>
      <c r="C379" s="117"/>
      <c r="E379" s="268"/>
      <c r="F379" s="268"/>
      <c r="G379" s="268"/>
      <c r="H379" s="40"/>
      <c r="I379" s="130"/>
      <c r="J379" s="130"/>
      <c r="K379" s="130"/>
      <c r="L379" s="130"/>
      <c r="M379" s="130"/>
      <c r="N379" s="126"/>
      <c r="O379" s="204"/>
      <c r="P379" s="126"/>
      <c r="Q379" s="124"/>
      <c r="R379" s="192"/>
      <c r="S379" s="126"/>
      <c r="T379" s="200"/>
      <c r="U379" s="200"/>
      <c r="V379" s="200"/>
      <c r="W379" s="200"/>
      <c r="X379" s="200"/>
      <c r="Y379" s="200"/>
      <c r="Z379" s="192" t="str">
        <f ca="1">IF(Flag_Send_Data=1,_xll.DBSW(PL_Saisie_Estime2!Z379,Server&amp;Cube1,PL_Saisie_Estime2!$F$17,PL_Saisie_Estime2!$F$18,PL_Saisie_Estime2!$F$19,PL_Saisie_Estime2!$F$16,PL_Saisie_Estime2!$C$14,PL_Saisie_Estime2!$F$15,PL_Saisie_Estime2!$F$14,PL_Saisie_Estime2!$F$20,PL_Saisie_Estime2!Z$2,PL_Saisie_Estime2!Z$1,PL_Saisie_Estime2!$C379),"")</f>
        <v/>
      </c>
      <c r="AA379" s="192" t="str">
        <f ca="1">IF(Flag_Send_Data=1,_xll.DBSW(PL_Saisie_Estime2!AA379,Server&amp;Cube1,PL_Saisie_Estime2!$F$17,PL_Saisie_Estime2!$F$18,PL_Saisie_Estime2!$F$19,PL_Saisie_Estime2!$F$16,PL_Saisie_Estime2!$C$14,PL_Saisie_Estime2!$F$15,PL_Saisie_Estime2!$F$14,PL_Saisie_Estime2!$F$20,PL_Saisie_Estime2!AA$2,PL_Saisie_Estime2!AA$1,PL_Saisie_Estime2!$C379),"")</f>
        <v/>
      </c>
      <c r="AB379" s="192" t="str">
        <f ca="1">IF(Flag_Send_Data=1,_xll.DBSW(PL_Saisie_Estime2!AB379,Server&amp;Cube1,PL_Saisie_Estime2!$F$17,PL_Saisie_Estime2!$F$18,PL_Saisie_Estime2!$F$19,PL_Saisie_Estime2!$F$16,PL_Saisie_Estime2!$C$14,PL_Saisie_Estime2!$F$15,PL_Saisie_Estime2!$F$14,PL_Saisie_Estime2!$F$20,PL_Saisie_Estime2!AB$2,PL_Saisie_Estime2!AB$1,PL_Saisie_Estime2!$C379),"")</f>
        <v/>
      </c>
      <c r="AC379" s="192" t="str">
        <f ca="1">IF(Flag_Send_Data=1,_xll.DBSW(PL_Saisie_Estime2!AC379,Server&amp;Cube1,PL_Saisie_Estime2!$F$17,PL_Saisie_Estime2!$F$18,PL_Saisie_Estime2!$F$19,PL_Saisie_Estime2!$F$16,PL_Saisie_Estime2!$C$14,PL_Saisie_Estime2!$F$15,PL_Saisie_Estime2!$F$14,PL_Saisie_Estime2!$F$20,PL_Saisie_Estime2!AC$2,PL_Saisie_Estime2!AC$1,PL_Saisie_Estime2!$C379),"")</f>
        <v/>
      </c>
      <c r="AD379" s="192" t="str">
        <f ca="1">IF(Flag_Send_Data=1,_xll.DBSW(PL_Saisie_Estime2!AD379,Server&amp;Cube1,PL_Saisie_Estime2!$F$17,PL_Saisie_Estime2!$F$18,PL_Saisie_Estime2!$F$19,PL_Saisie_Estime2!$F$16,PL_Saisie_Estime2!$C$14,PL_Saisie_Estime2!$F$15,PL_Saisie_Estime2!$F$14,PL_Saisie_Estime2!$F$20,PL_Saisie_Estime2!AD$2,PL_Saisie_Estime2!AD$1,PL_Saisie_Estime2!$C379),"")</f>
        <v/>
      </c>
      <c r="AE379" s="192" t="str">
        <f ca="1">IF(Flag_Send_Data=1,_xll.DBSW(PL_Saisie_Estime2!AE379,Server&amp;Cube1,PL_Saisie_Estime2!$F$17,PL_Saisie_Estime2!$F$18,PL_Saisie_Estime2!$F$19,PL_Saisie_Estime2!$F$16,PL_Saisie_Estime2!$C$14,PL_Saisie_Estime2!$F$15,PL_Saisie_Estime2!$F$14,PL_Saisie_Estime2!$F$20,PL_Saisie_Estime2!AE$2,PL_Saisie_Estime2!AE$1,PL_Saisie_Estime2!$C379),"")</f>
        <v/>
      </c>
      <c r="AF379" s="204"/>
      <c r="AG379" s="53"/>
      <c r="AH379" s="53"/>
      <c r="AI379" s="53"/>
      <c r="AJ379" s="53"/>
      <c r="AK379" s="53"/>
      <c r="AL379" s="53"/>
      <c r="AM379" s="53"/>
      <c r="AN379" s="53"/>
      <c r="AO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:53" s="9" customFormat="1" ht="24" customHeight="1" x14ac:dyDescent="0.35">
      <c r="A380" s="181"/>
      <c r="B380" s="163"/>
      <c r="C380" s="117"/>
      <c r="E380" s="268"/>
      <c r="F380" s="268"/>
      <c r="G380" s="268"/>
      <c r="H380" s="40"/>
      <c r="I380" s="130"/>
      <c r="J380" s="130"/>
      <c r="K380" s="130"/>
      <c r="L380" s="130"/>
      <c r="M380" s="130"/>
      <c r="N380" s="126"/>
      <c r="O380" s="204"/>
      <c r="P380" s="126"/>
      <c r="Q380" s="124"/>
      <c r="R380" s="192"/>
      <c r="S380" s="126"/>
      <c r="T380" s="200"/>
      <c r="U380" s="200"/>
      <c r="V380" s="200"/>
      <c r="W380" s="200"/>
      <c r="X380" s="200"/>
      <c r="Y380" s="200"/>
      <c r="Z380" s="192" t="str">
        <f ca="1">IF(Flag_Send_Data=1,_xll.DBSW(PL_Saisie_Estime2!Z380,Server&amp;Cube1,PL_Saisie_Estime2!$F$17,PL_Saisie_Estime2!$F$18,PL_Saisie_Estime2!$F$19,PL_Saisie_Estime2!$F$16,PL_Saisie_Estime2!$C$14,PL_Saisie_Estime2!$F$15,PL_Saisie_Estime2!$F$14,PL_Saisie_Estime2!$F$20,PL_Saisie_Estime2!Z$2,PL_Saisie_Estime2!Z$1,PL_Saisie_Estime2!$C380),"")</f>
        <v/>
      </c>
      <c r="AA380" s="192" t="str">
        <f ca="1">IF(Flag_Send_Data=1,_xll.DBSW(PL_Saisie_Estime2!AA380,Server&amp;Cube1,PL_Saisie_Estime2!$F$17,PL_Saisie_Estime2!$F$18,PL_Saisie_Estime2!$F$19,PL_Saisie_Estime2!$F$16,PL_Saisie_Estime2!$C$14,PL_Saisie_Estime2!$F$15,PL_Saisie_Estime2!$F$14,PL_Saisie_Estime2!$F$20,PL_Saisie_Estime2!AA$2,PL_Saisie_Estime2!AA$1,PL_Saisie_Estime2!$C380),"")</f>
        <v/>
      </c>
      <c r="AB380" s="192" t="str">
        <f ca="1">IF(Flag_Send_Data=1,_xll.DBSW(PL_Saisie_Estime2!AB380,Server&amp;Cube1,PL_Saisie_Estime2!$F$17,PL_Saisie_Estime2!$F$18,PL_Saisie_Estime2!$F$19,PL_Saisie_Estime2!$F$16,PL_Saisie_Estime2!$C$14,PL_Saisie_Estime2!$F$15,PL_Saisie_Estime2!$F$14,PL_Saisie_Estime2!$F$20,PL_Saisie_Estime2!AB$2,PL_Saisie_Estime2!AB$1,PL_Saisie_Estime2!$C380),"")</f>
        <v/>
      </c>
      <c r="AC380" s="192" t="str">
        <f ca="1">IF(Flag_Send_Data=1,_xll.DBSW(PL_Saisie_Estime2!AC380,Server&amp;Cube1,PL_Saisie_Estime2!$F$17,PL_Saisie_Estime2!$F$18,PL_Saisie_Estime2!$F$19,PL_Saisie_Estime2!$F$16,PL_Saisie_Estime2!$C$14,PL_Saisie_Estime2!$F$15,PL_Saisie_Estime2!$F$14,PL_Saisie_Estime2!$F$20,PL_Saisie_Estime2!AC$2,PL_Saisie_Estime2!AC$1,PL_Saisie_Estime2!$C380),"")</f>
        <v/>
      </c>
      <c r="AD380" s="192" t="str">
        <f ca="1">IF(Flag_Send_Data=1,_xll.DBSW(PL_Saisie_Estime2!AD380,Server&amp;Cube1,PL_Saisie_Estime2!$F$17,PL_Saisie_Estime2!$F$18,PL_Saisie_Estime2!$F$19,PL_Saisie_Estime2!$F$16,PL_Saisie_Estime2!$C$14,PL_Saisie_Estime2!$F$15,PL_Saisie_Estime2!$F$14,PL_Saisie_Estime2!$F$20,PL_Saisie_Estime2!AD$2,PL_Saisie_Estime2!AD$1,PL_Saisie_Estime2!$C380),"")</f>
        <v/>
      </c>
      <c r="AE380" s="192" t="str">
        <f ca="1">IF(Flag_Send_Data=1,_xll.DBSW(PL_Saisie_Estime2!AE380,Server&amp;Cube1,PL_Saisie_Estime2!$F$17,PL_Saisie_Estime2!$F$18,PL_Saisie_Estime2!$F$19,PL_Saisie_Estime2!$F$16,PL_Saisie_Estime2!$C$14,PL_Saisie_Estime2!$F$15,PL_Saisie_Estime2!$F$14,PL_Saisie_Estime2!$F$20,PL_Saisie_Estime2!AE$2,PL_Saisie_Estime2!AE$1,PL_Saisie_Estime2!$C380),"")</f>
        <v/>
      </c>
      <c r="AF380" s="204"/>
      <c r="AG380" s="53"/>
      <c r="AH380" s="53"/>
      <c r="AI380" s="53"/>
      <c r="AJ380" s="53"/>
      <c r="AK380" s="53"/>
      <c r="AL380" s="53"/>
      <c r="AM380" s="53"/>
      <c r="AN380" s="53"/>
      <c r="AO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:53" s="9" customFormat="1" ht="24" customHeight="1" x14ac:dyDescent="0.35">
      <c r="A381" s="181"/>
      <c r="B381" s="163"/>
      <c r="C381" s="117"/>
      <c r="E381" s="268"/>
      <c r="F381" s="268"/>
      <c r="G381" s="268"/>
      <c r="H381" s="40"/>
      <c r="I381" s="130"/>
      <c r="J381" s="130"/>
      <c r="K381" s="130"/>
      <c r="L381" s="130"/>
      <c r="M381" s="130"/>
      <c r="N381" s="126"/>
      <c r="O381" s="204"/>
      <c r="P381" s="126"/>
      <c r="Q381" s="124"/>
      <c r="R381" s="192"/>
      <c r="S381" s="126"/>
      <c r="T381" s="200"/>
      <c r="U381" s="200"/>
      <c r="V381" s="200"/>
      <c r="W381" s="200"/>
      <c r="X381" s="200"/>
      <c r="Y381" s="200"/>
      <c r="Z381" s="192" t="str">
        <f ca="1">IF(Flag_Send_Data=1,_xll.DBSW(PL_Saisie_Estime2!Z381,Server&amp;Cube1,PL_Saisie_Estime2!$F$17,PL_Saisie_Estime2!$F$18,PL_Saisie_Estime2!$F$19,PL_Saisie_Estime2!$F$16,PL_Saisie_Estime2!$C$14,PL_Saisie_Estime2!$F$15,PL_Saisie_Estime2!$F$14,PL_Saisie_Estime2!$F$20,PL_Saisie_Estime2!Z$2,PL_Saisie_Estime2!Z$1,PL_Saisie_Estime2!$C381),"")</f>
        <v/>
      </c>
      <c r="AA381" s="192" t="str">
        <f ca="1">IF(Flag_Send_Data=1,_xll.DBSW(PL_Saisie_Estime2!AA381,Server&amp;Cube1,PL_Saisie_Estime2!$F$17,PL_Saisie_Estime2!$F$18,PL_Saisie_Estime2!$F$19,PL_Saisie_Estime2!$F$16,PL_Saisie_Estime2!$C$14,PL_Saisie_Estime2!$F$15,PL_Saisie_Estime2!$F$14,PL_Saisie_Estime2!$F$20,PL_Saisie_Estime2!AA$2,PL_Saisie_Estime2!AA$1,PL_Saisie_Estime2!$C381),"")</f>
        <v/>
      </c>
      <c r="AB381" s="192" t="str">
        <f ca="1">IF(Flag_Send_Data=1,_xll.DBSW(PL_Saisie_Estime2!AB381,Server&amp;Cube1,PL_Saisie_Estime2!$F$17,PL_Saisie_Estime2!$F$18,PL_Saisie_Estime2!$F$19,PL_Saisie_Estime2!$F$16,PL_Saisie_Estime2!$C$14,PL_Saisie_Estime2!$F$15,PL_Saisie_Estime2!$F$14,PL_Saisie_Estime2!$F$20,PL_Saisie_Estime2!AB$2,PL_Saisie_Estime2!AB$1,PL_Saisie_Estime2!$C381),"")</f>
        <v/>
      </c>
      <c r="AC381" s="192" t="str">
        <f ca="1">IF(Flag_Send_Data=1,_xll.DBSW(PL_Saisie_Estime2!AC381,Server&amp;Cube1,PL_Saisie_Estime2!$F$17,PL_Saisie_Estime2!$F$18,PL_Saisie_Estime2!$F$19,PL_Saisie_Estime2!$F$16,PL_Saisie_Estime2!$C$14,PL_Saisie_Estime2!$F$15,PL_Saisie_Estime2!$F$14,PL_Saisie_Estime2!$F$20,PL_Saisie_Estime2!AC$2,PL_Saisie_Estime2!AC$1,PL_Saisie_Estime2!$C381),"")</f>
        <v/>
      </c>
      <c r="AD381" s="192" t="str">
        <f ca="1">IF(Flag_Send_Data=1,_xll.DBSW(PL_Saisie_Estime2!AD381,Server&amp;Cube1,PL_Saisie_Estime2!$F$17,PL_Saisie_Estime2!$F$18,PL_Saisie_Estime2!$F$19,PL_Saisie_Estime2!$F$16,PL_Saisie_Estime2!$C$14,PL_Saisie_Estime2!$F$15,PL_Saisie_Estime2!$F$14,PL_Saisie_Estime2!$F$20,PL_Saisie_Estime2!AD$2,PL_Saisie_Estime2!AD$1,PL_Saisie_Estime2!$C381),"")</f>
        <v/>
      </c>
      <c r="AE381" s="192" t="str">
        <f ca="1">IF(Flag_Send_Data=1,_xll.DBSW(PL_Saisie_Estime2!AE381,Server&amp;Cube1,PL_Saisie_Estime2!$F$17,PL_Saisie_Estime2!$F$18,PL_Saisie_Estime2!$F$19,PL_Saisie_Estime2!$F$16,PL_Saisie_Estime2!$C$14,PL_Saisie_Estime2!$F$15,PL_Saisie_Estime2!$F$14,PL_Saisie_Estime2!$F$20,PL_Saisie_Estime2!AE$2,PL_Saisie_Estime2!AE$1,PL_Saisie_Estime2!$C381),"")</f>
        <v/>
      </c>
      <c r="AF381" s="204"/>
      <c r="AG381" s="53"/>
      <c r="AH381" s="53"/>
      <c r="AI381" s="53"/>
      <c r="AJ381" s="53"/>
      <c r="AK381" s="53"/>
      <c r="AL381" s="53"/>
      <c r="AM381" s="53"/>
      <c r="AN381" s="53"/>
      <c r="AO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:53" s="9" customFormat="1" ht="24" customHeight="1" x14ac:dyDescent="0.35">
      <c r="A382" s="181"/>
      <c r="B382" s="163"/>
      <c r="C382" s="117"/>
      <c r="E382" s="270"/>
      <c r="F382" s="270"/>
      <c r="G382" s="270"/>
      <c r="H382" s="40"/>
      <c r="I382" s="130"/>
      <c r="J382" s="130"/>
      <c r="K382" s="130"/>
      <c r="L382" s="130"/>
      <c r="M382" s="130"/>
      <c r="N382" s="125"/>
      <c r="O382" s="125"/>
      <c r="P382" s="125"/>
      <c r="Q382" s="124"/>
      <c r="R382" s="125"/>
      <c r="S382" s="125"/>
      <c r="T382" s="201"/>
      <c r="U382" s="201"/>
      <c r="V382" s="201"/>
      <c r="W382" s="201"/>
      <c r="X382" s="125"/>
      <c r="Y382" s="125"/>
      <c r="Z382" s="125"/>
      <c r="AA382" s="125"/>
      <c r="AB382" s="125"/>
      <c r="AC382" s="125"/>
      <c r="AD382" s="125"/>
      <c r="AE382" s="125"/>
      <c r="AF382" s="125"/>
      <c r="AG382" s="53"/>
      <c r="AH382" s="53"/>
      <c r="AI382" s="53"/>
      <c r="AJ382" s="53"/>
      <c r="AK382" s="53"/>
      <c r="AL382" s="53"/>
      <c r="AM382" s="53"/>
      <c r="AN382" s="53"/>
      <c r="AO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:53" s="9" customFormat="1" ht="24" customHeight="1" x14ac:dyDescent="0.35">
      <c r="A383" s="181"/>
      <c r="B383" s="163"/>
      <c r="C383" s="117"/>
      <c r="E383" s="268"/>
      <c r="F383" s="268"/>
      <c r="G383" s="268"/>
      <c r="H383" s="40"/>
      <c r="I383" s="130"/>
      <c r="J383" s="130"/>
      <c r="K383" s="130"/>
      <c r="L383" s="130"/>
      <c r="M383" s="130"/>
      <c r="N383" s="126"/>
      <c r="O383" s="204"/>
      <c r="P383" s="126"/>
      <c r="Q383" s="124"/>
      <c r="R383" s="192"/>
      <c r="S383" s="126"/>
      <c r="T383" s="200"/>
      <c r="U383" s="200"/>
      <c r="V383" s="200"/>
      <c r="W383" s="200"/>
      <c r="X383" s="200"/>
      <c r="Y383" s="200"/>
      <c r="Z383" s="192" t="str">
        <f ca="1">IF(Flag_Send_Data=1,_xll.DBSW(PL_Saisie_Estime2!Z383,Server&amp;Cube1,PL_Saisie_Estime2!$F$17,PL_Saisie_Estime2!$F$18,PL_Saisie_Estime2!$F$19,PL_Saisie_Estime2!$F$16,PL_Saisie_Estime2!$C$14,PL_Saisie_Estime2!$F$15,PL_Saisie_Estime2!$F$14,PL_Saisie_Estime2!$F$20,PL_Saisie_Estime2!Z$2,PL_Saisie_Estime2!Z$1,PL_Saisie_Estime2!$C383),"")</f>
        <v/>
      </c>
      <c r="AA383" s="192" t="str">
        <f ca="1">IF(Flag_Send_Data=1,_xll.DBSW(PL_Saisie_Estime2!AA383,Server&amp;Cube1,PL_Saisie_Estime2!$F$17,PL_Saisie_Estime2!$F$18,PL_Saisie_Estime2!$F$19,PL_Saisie_Estime2!$F$16,PL_Saisie_Estime2!$C$14,PL_Saisie_Estime2!$F$15,PL_Saisie_Estime2!$F$14,PL_Saisie_Estime2!$F$20,PL_Saisie_Estime2!AA$2,PL_Saisie_Estime2!AA$1,PL_Saisie_Estime2!$C383),"")</f>
        <v/>
      </c>
      <c r="AB383" s="192" t="str">
        <f ca="1">IF(Flag_Send_Data=1,_xll.DBSW(PL_Saisie_Estime2!AB383,Server&amp;Cube1,PL_Saisie_Estime2!$F$17,PL_Saisie_Estime2!$F$18,PL_Saisie_Estime2!$F$19,PL_Saisie_Estime2!$F$16,PL_Saisie_Estime2!$C$14,PL_Saisie_Estime2!$F$15,PL_Saisie_Estime2!$F$14,PL_Saisie_Estime2!$F$20,PL_Saisie_Estime2!AB$2,PL_Saisie_Estime2!AB$1,PL_Saisie_Estime2!$C383),"")</f>
        <v/>
      </c>
      <c r="AC383" s="192" t="str">
        <f ca="1">IF(Flag_Send_Data=1,_xll.DBSW(PL_Saisie_Estime2!AC383,Server&amp;Cube1,PL_Saisie_Estime2!$F$17,PL_Saisie_Estime2!$F$18,PL_Saisie_Estime2!$F$19,PL_Saisie_Estime2!$F$16,PL_Saisie_Estime2!$C$14,PL_Saisie_Estime2!$F$15,PL_Saisie_Estime2!$F$14,PL_Saisie_Estime2!$F$20,PL_Saisie_Estime2!AC$2,PL_Saisie_Estime2!AC$1,PL_Saisie_Estime2!$C383),"")</f>
        <v/>
      </c>
      <c r="AD383" s="192" t="str">
        <f ca="1">IF(Flag_Send_Data=1,_xll.DBSW(PL_Saisie_Estime2!AD383,Server&amp;Cube1,PL_Saisie_Estime2!$F$17,PL_Saisie_Estime2!$F$18,PL_Saisie_Estime2!$F$19,PL_Saisie_Estime2!$F$16,PL_Saisie_Estime2!$C$14,PL_Saisie_Estime2!$F$15,PL_Saisie_Estime2!$F$14,PL_Saisie_Estime2!$F$20,PL_Saisie_Estime2!AD$2,PL_Saisie_Estime2!AD$1,PL_Saisie_Estime2!$C383),"")</f>
        <v/>
      </c>
      <c r="AE383" s="192" t="str">
        <f ca="1">IF(Flag_Send_Data=1,_xll.DBSW(PL_Saisie_Estime2!AE383,Server&amp;Cube1,PL_Saisie_Estime2!$F$17,PL_Saisie_Estime2!$F$18,PL_Saisie_Estime2!$F$19,PL_Saisie_Estime2!$F$16,PL_Saisie_Estime2!$C$14,PL_Saisie_Estime2!$F$15,PL_Saisie_Estime2!$F$14,PL_Saisie_Estime2!$F$20,PL_Saisie_Estime2!AE$2,PL_Saisie_Estime2!AE$1,PL_Saisie_Estime2!$C383),"")</f>
        <v/>
      </c>
      <c r="AF383" s="204"/>
      <c r="AG383" s="53"/>
      <c r="AH383" s="53"/>
      <c r="AI383" s="53"/>
      <c r="AJ383" s="53"/>
      <c r="AK383" s="53"/>
      <c r="AL383" s="53"/>
      <c r="AM383" s="53"/>
      <c r="AN383" s="53"/>
      <c r="AO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:53" s="9" customFormat="1" ht="24" customHeight="1" x14ac:dyDescent="0.35">
      <c r="A384" s="181"/>
      <c r="B384" s="163"/>
      <c r="C384" s="117"/>
      <c r="E384" s="268"/>
      <c r="F384" s="268"/>
      <c r="G384" s="268"/>
      <c r="H384" s="40"/>
      <c r="I384" s="130"/>
      <c r="J384" s="130"/>
      <c r="K384" s="130"/>
      <c r="L384" s="130"/>
      <c r="M384" s="130"/>
      <c r="N384" s="126"/>
      <c r="O384" s="204"/>
      <c r="P384" s="126"/>
      <c r="Q384" s="124"/>
      <c r="R384" s="192"/>
      <c r="S384" s="126"/>
      <c r="T384" s="200"/>
      <c r="U384" s="200"/>
      <c r="V384" s="200"/>
      <c r="W384" s="200"/>
      <c r="X384" s="200"/>
      <c r="Y384" s="200"/>
      <c r="Z384" s="192" t="str">
        <f ca="1">IF(Flag_Send_Data=1,_xll.DBSW(PL_Saisie_Estime2!Z384,Server&amp;Cube1,PL_Saisie_Estime2!$F$17,PL_Saisie_Estime2!$F$18,PL_Saisie_Estime2!$F$19,PL_Saisie_Estime2!$F$16,PL_Saisie_Estime2!$C$14,PL_Saisie_Estime2!$F$15,PL_Saisie_Estime2!$F$14,PL_Saisie_Estime2!$F$20,PL_Saisie_Estime2!Z$2,PL_Saisie_Estime2!Z$1,PL_Saisie_Estime2!$C384),"")</f>
        <v/>
      </c>
      <c r="AA384" s="192" t="str">
        <f ca="1">IF(Flag_Send_Data=1,_xll.DBSW(PL_Saisie_Estime2!AA384,Server&amp;Cube1,PL_Saisie_Estime2!$F$17,PL_Saisie_Estime2!$F$18,PL_Saisie_Estime2!$F$19,PL_Saisie_Estime2!$F$16,PL_Saisie_Estime2!$C$14,PL_Saisie_Estime2!$F$15,PL_Saisie_Estime2!$F$14,PL_Saisie_Estime2!$F$20,PL_Saisie_Estime2!AA$2,PL_Saisie_Estime2!AA$1,PL_Saisie_Estime2!$C384),"")</f>
        <v/>
      </c>
      <c r="AB384" s="192" t="str">
        <f ca="1">IF(Flag_Send_Data=1,_xll.DBSW(PL_Saisie_Estime2!AB384,Server&amp;Cube1,PL_Saisie_Estime2!$F$17,PL_Saisie_Estime2!$F$18,PL_Saisie_Estime2!$F$19,PL_Saisie_Estime2!$F$16,PL_Saisie_Estime2!$C$14,PL_Saisie_Estime2!$F$15,PL_Saisie_Estime2!$F$14,PL_Saisie_Estime2!$F$20,PL_Saisie_Estime2!AB$2,PL_Saisie_Estime2!AB$1,PL_Saisie_Estime2!$C384),"")</f>
        <v/>
      </c>
      <c r="AC384" s="192" t="str">
        <f ca="1">IF(Flag_Send_Data=1,_xll.DBSW(PL_Saisie_Estime2!AC384,Server&amp;Cube1,PL_Saisie_Estime2!$F$17,PL_Saisie_Estime2!$F$18,PL_Saisie_Estime2!$F$19,PL_Saisie_Estime2!$F$16,PL_Saisie_Estime2!$C$14,PL_Saisie_Estime2!$F$15,PL_Saisie_Estime2!$F$14,PL_Saisie_Estime2!$F$20,PL_Saisie_Estime2!AC$2,PL_Saisie_Estime2!AC$1,PL_Saisie_Estime2!$C384),"")</f>
        <v/>
      </c>
      <c r="AD384" s="192" t="str">
        <f ca="1">IF(Flag_Send_Data=1,_xll.DBSW(PL_Saisie_Estime2!AD384,Server&amp;Cube1,PL_Saisie_Estime2!$F$17,PL_Saisie_Estime2!$F$18,PL_Saisie_Estime2!$F$19,PL_Saisie_Estime2!$F$16,PL_Saisie_Estime2!$C$14,PL_Saisie_Estime2!$F$15,PL_Saisie_Estime2!$F$14,PL_Saisie_Estime2!$F$20,PL_Saisie_Estime2!AD$2,PL_Saisie_Estime2!AD$1,PL_Saisie_Estime2!$C384),"")</f>
        <v/>
      </c>
      <c r="AE384" s="192" t="str">
        <f ca="1">IF(Flag_Send_Data=1,_xll.DBSW(PL_Saisie_Estime2!AE384,Server&amp;Cube1,PL_Saisie_Estime2!$F$17,PL_Saisie_Estime2!$F$18,PL_Saisie_Estime2!$F$19,PL_Saisie_Estime2!$F$16,PL_Saisie_Estime2!$C$14,PL_Saisie_Estime2!$F$15,PL_Saisie_Estime2!$F$14,PL_Saisie_Estime2!$F$20,PL_Saisie_Estime2!AE$2,PL_Saisie_Estime2!AE$1,PL_Saisie_Estime2!$C384),"")</f>
        <v/>
      </c>
      <c r="AF384" s="204"/>
      <c r="AG384" s="53"/>
      <c r="AH384" s="53"/>
      <c r="AI384" s="53"/>
      <c r="AJ384" s="53"/>
      <c r="AK384" s="53"/>
      <c r="AL384" s="53"/>
      <c r="AM384" s="53"/>
      <c r="AN384" s="53"/>
      <c r="AO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:53" s="9" customFormat="1" ht="24" customHeight="1" x14ac:dyDescent="0.35">
      <c r="A385" s="181"/>
      <c r="B385" s="163"/>
      <c r="C385" s="117"/>
      <c r="E385" s="268"/>
      <c r="F385" s="268"/>
      <c r="G385" s="268"/>
      <c r="H385" s="40"/>
      <c r="I385" s="130"/>
      <c r="J385" s="130"/>
      <c r="K385" s="130"/>
      <c r="L385" s="130"/>
      <c r="M385" s="130"/>
      <c r="N385" s="126"/>
      <c r="O385" s="204"/>
      <c r="P385" s="126"/>
      <c r="Q385" s="124"/>
      <c r="R385" s="192"/>
      <c r="S385" s="126"/>
      <c r="T385" s="200"/>
      <c r="U385" s="200"/>
      <c r="V385" s="200"/>
      <c r="W385" s="200"/>
      <c r="X385" s="200"/>
      <c r="Y385" s="200"/>
      <c r="Z385" s="192" t="str">
        <f ca="1">IF(Flag_Send_Data=1,_xll.DBSW(PL_Saisie_Estime2!Z385,Server&amp;Cube1,PL_Saisie_Estime2!$F$17,PL_Saisie_Estime2!$F$18,PL_Saisie_Estime2!$F$19,PL_Saisie_Estime2!$F$16,PL_Saisie_Estime2!$C$14,PL_Saisie_Estime2!$F$15,PL_Saisie_Estime2!$F$14,PL_Saisie_Estime2!$F$20,PL_Saisie_Estime2!Z$2,PL_Saisie_Estime2!Z$1,PL_Saisie_Estime2!$C385),"")</f>
        <v/>
      </c>
      <c r="AA385" s="192" t="str">
        <f ca="1">IF(Flag_Send_Data=1,_xll.DBSW(PL_Saisie_Estime2!AA385,Server&amp;Cube1,PL_Saisie_Estime2!$F$17,PL_Saisie_Estime2!$F$18,PL_Saisie_Estime2!$F$19,PL_Saisie_Estime2!$F$16,PL_Saisie_Estime2!$C$14,PL_Saisie_Estime2!$F$15,PL_Saisie_Estime2!$F$14,PL_Saisie_Estime2!$F$20,PL_Saisie_Estime2!AA$2,PL_Saisie_Estime2!AA$1,PL_Saisie_Estime2!$C385),"")</f>
        <v/>
      </c>
      <c r="AB385" s="192" t="str">
        <f ca="1">IF(Flag_Send_Data=1,_xll.DBSW(PL_Saisie_Estime2!AB385,Server&amp;Cube1,PL_Saisie_Estime2!$F$17,PL_Saisie_Estime2!$F$18,PL_Saisie_Estime2!$F$19,PL_Saisie_Estime2!$F$16,PL_Saisie_Estime2!$C$14,PL_Saisie_Estime2!$F$15,PL_Saisie_Estime2!$F$14,PL_Saisie_Estime2!$F$20,PL_Saisie_Estime2!AB$2,PL_Saisie_Estime2!AB$1,PL_Saisie_Estime2!$C385),"")</f>
        <v/>
      </c>
      <c r="AC385" s="192" t="str">
        <f ca="1">IF(Flag_Send_Data=1,_xll.DBSW(PL_Saisie_Estime2!AC385,Server&amp;Cube1,PL_Saisie_Estime2!$F$17,PL_Saisie_Estime2!$F$18,PL_Saisie_Estime2!$F$19,PL_Saisie_Estime2!$F$16,PL_Saisie_Estime2!$C$14,PL_Saisie_Estime2!$F$15,PL_Saisie_Estime2!$F$14,PL_Saisie_Estime2!$F$20,PL_Saisie_Estime2!AC$2,PL_Saisie_Estime2!AC$1,PL_Saisie_Estime2!$C385),"")</f>
        <v/>
      </c>
      <c r="AD385" s="192" t="str">
        <f ca="1">IF(Flag_Send_Data=1,_xll.DBSW(PL_Saisie_Estime2!AD385,Server&amp;Cube1,PL_Saisie_Estime2!$F$17,PL_Saisie_Estime2!$F$18,PL_Saisie_Estime2!$F$19,PL_Saisie_Estime2!$F$16,PL_Saisie_Estime2!$C$14,PL_Saisie_Estime2!$F$15,PL_Saisie_Estime2!$F$14,PL_Saisie_Estime2!$F$20,PL_Saisie_Estime2!AD$2,PL_Saisie_Estime2!AD$1,PL_Saisie_Estime2!$C385),"")</f>
        <v/>
      </c>
      <c r="AE385" s="192" t="str">
        <f ca="1">IF(Flag_Send_Data=1,_xll.DBSW(PL_Saisie_Estime2!AE385,Server&amp;Cube1,PL_Saisie_Estime2!$F$17,PL_Saisie_Estime2!$F$18,PL_Saisie_Estime2!$F$19,PL_Saisie_Estime2!$F$16,PL_Saisie_Estime2!$C$14,PL_Saisie_Estime2!$F$15,PL_Saisie_Estime2!$F$14,PL_Saisie_Estime2!$F$20,PL_Saisie_Estime2!AE$2,PL_Saisie_Estime2!AE$1,PL_Saisie_Estime2!$C385),"")</f>
        <v/>
      </c>
      <c r="AF385" s="204"/>
      <c r="AG385" s="53"/>
      <c r="AH385" s="53"/>
      <c r="AI385" s="53"/>
      <c r="AJ385" s="53"/>
      <c r="AK385" s="53"/>
      <c r="AL385" s="53"/>
      <c r="AM385" s="53"/>
      <c r="AN385" s="53"/>
      <c r="AO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:53" s="9" customFormat="1" ht="24" customHeight="1" x14ac:dyDescent="0.35">
      <c r="A386" s="181"/>
      <c r="B386" s="163"/>
      <c r="C386" s="117"/>
      <c r="E386" s="268"/>
      <c r="F386" s="268"/>
      <c r="G386" s="268"/>
      <c r="H386" s="40"/>
      <c r="I386" s="130"/>
      <c r="J386" s="130"/>
      <c r="K386" s="130"/>
      <c r="L386" s="130"/>
      <c r="M386" s="130"/>
      <c r="N386" s="126"/>
      <c r="O386" s="204"/>
      <c r="P386" s="126"/>
      <c r="Q386" s="124"/>
      <c r="R386" s="192"/>
      <c r="S386" s="126"/>
      <c r="T386" s="200"/>
      <c r="U386" s="200"/>
      <c r="V386" s="200"/>
      <c r="W386" s="200"/>
      <c r="X386" s="200"/>
      <c r="Y386" s="200"/>
      <c r="Z386" s="192" t="str">
        <f ca="1">IF(Flag_Send_Data=1,_xll.DBSW(PL_Saisie_Estime2!Z386,Server&amp;Cube1,PL_Saisie_Estime2!$F$17,PL_Saisie_Estime2!$F$18,PL_Saisie_Estime2!$F$19,PL_Saisie_Estime2!$F$16,PL_Saisie_Estime2!$C$14,PL_Saisie_Estime2!$F$15,PL_Saisie_Estime2!$F$14,PL_Saisie_Estime2!$F$20,PL_Saisie_Estime2!Z$2,PL_Saisie_Estime2!Z$1,PL_Saisie_Estime2!$C386),"")</f>
        <v/>
      </c>
      <c r="AA386" s="192" t="str">
        <f ca="1">IF(Flag_Send_Data=1,_xll.DBSW(PL_Saisie_Estime2!AA386,Server&amp;Cube1,PL_Saisie_Estime2!$F$17,PL_Saisie_Estime2!$F$18,PL_Saisie_Estime2!$F$19,PL_Saisie_Estime2!$F$16,PL_Saisie_Estime2!$C$14,PL_Saisie_Estime2!$F$15,PL_Saisie_Estime2!$F$14,PL_Saisie_Estime2!$F$20,PL_Saisie_Estime2!AA$2,PL_Saisie_Estime2!AA$1,PL_Saisie_Estime2!$C386),"")</f>
        <v/>
      </c>
      <c r="AB386" s="192" t="str">
        <f ca="1">IF(Flag_Send_Data=1,_xll.DBSW(PL_Saisie_Estime2!AB386,Server&amp;Cube1,PL_Saisie_Estime2!$F$17,PL_Saisie_Estime2!$F$18,PL_Saisie_Estime2!$F$19,PL_Saisie_Estime2!$F$16,PL_Saisie_Estime2!$C$14,PL_Saisie_Estime2!$F$15,PL_Saisie_Estime2!$F$14,PL_Saisie_Estime2!$F$20,PL_Saisie_Estime2!AB$2,PL_Saisie_Estime2!AB$1,PL_Saisie_Estime2!$C386),"")</f>
        <v/>
      </c>
      <c r="AC386" s="192" t="str">
        <f ca="1">IF(Flag_Send_Data=1,_xll.DBSW(PL_Saisie_Estime2!AC386,Server&amp;Cube1,PL_Saisie_Estime2!$F$17,PL_Saisie_Estime2!$F$18,PL_Saisie_Estime2!$F$19,PL_Saisie_Estime2!$F$16,PL_Saisie_Estime2!$C$14,PL_Saisie_Estime2!$F$15,PL_Saisie_Estime2!$F$14,PL_Saisie_Estime2!$F$20,PL_Saisie_Estime2!AC$2,PL_Saisie_Estime2!AC$1,PL_Saisie_Estime2!$C386),"")</f>
        <v/>
      </c>
      <c r="AD386" s="192" t="str">
        <f ca="1">IF(Flag_Send_Data=1,_xll.DBSW(PL_Saisie_Estime2!AD386,Server&amp;Cube1,PL_Saisie_Estime2!$F$17,PL_Saisie_Estime2!$F$18,PL_Saisie_Estime2!$F$19,PL_Saisie_Estime2!$F$16,PL_Saisie_Estime2!$C$14,PL_Saisie_Estime2!$F$15,PL_Saisie_Estime2!$F$14,PL_Saisie_Estime2!$F$20,PL_Saisie_Estime2!AD$2,PL_Saisie_Estime2!AD$1,PL_Saisie_Estime2!$C386),"")</f>
        <v/>
      </c>
      <c r="AE386" s="192" t="str">
        <f ca="1">IF(Flag_Send_Data=1,_xll.DBSW(PL_Saisie_Estime2!AE386,Server&amp;Cube1,PL_Saisie_Estime2!$F$17,PL_Saisie_Estime2!$F$18,PL_Saisie_Estime2!$F$19,PL_Saisie_Estime2!$F$16,PL_Saisie_Estime2!$C$14,PL_Saisie_Estime2!$F$15,PL_Saisie_Estime2!$F$14,PL_Saisie_Estime2!$F$20,PL_Saisie_Estime2!AE$2,PL_Saisie_Estime2!AE$1,PL_Saisie_Estime2!$C386),"")</f>
        <v/>
      </c>
      <c r="AF386" s="204"/>
      <c r="AG386" s="53"/>
      <c r="AH386" s="53"/>
      <c r="AI386" s="53"/>
      <c r="AJ386" s="53"/>
      <c r="AK386" s="53"/>
      <c r="AL386" s="53"/>
      <c r="AM386" s="53"/>
      <c r="AN386" s="53"/>
      <c r="AO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:53" s="9" customFormat="1" ht="24" customHeight="1" x14ac:dyDescent="0.35">
      <c r="A387" s="181"/>
      <c r="B387" s="163"/>
      <c r="C387" s="117"/>
      <c r="E387" s="268"/>
      <c r="F387" s="268"/>
      <c r="G387" s="268"/>
      <c r="H387" s="40"/>
      <c r="I387" s="130"/>
      <c r="J387" s="130"/>
      <c r="K387" s="130"/>
      <c r="L387" s="130"/>
      <c r="M387" s="130"/>
      <c r="N387" s="126"/>
      <c r="O387" s="204"/>
      <c r="P387" s="126"/>
      <c r="Q387" s="124"/>
      <c r="R387" s="192"/>
      <c r="S387" s="126"/>
      <c r="T387" s="200"/>
      <c r="U387" s="200"/>
      <c r="V387" s="200"/>
      <c r="W387" s="200"/>
      <c r="X387" s="200"/>
      <c r="Y387" s="200"/>
      <c r="Z387" s="192" t="str">
        <f ca="1">IF(Flag_Send_Data=1,_xll.DBSW(PL_Saisie_Estime2!Z387,Server&amp;Cube1,PL_Saisie_Estime2!$F$17,PL_Saisie_Estime2!$F$18,PL_Saisie_Estime2!$F$19,PL_Saisie_Estime2!$F$16,PL_Saisie_Estime2!$C$14,PL_Saisie_Estime2!$F$15,PL_Saisie_Estime2!$F$14,PL_Saisie_Estime2!$F$20,PL_Saisie_Estime2!Z$2,PL_Saisie_Estime2!Z$1,PL_Saisie_Estime2!$C387),"")</f>
        <v/>
      </c>
      <c r="AA387" s="192" t="str">
        <f ca="1">IF(Flag_Send_Data=1,_xll.DBSW(PL_Saisie_Estime2!AA387,Server&amp;Cube1,PL_Saisie_Estime2!$F$17,PL_Saisie_Estime2!$F$18,PL_Saisie_Estime2!$F$19,PL_Saisie_Estime2!$F$16,PL_Saisie_Estime2!$C$14,PL_Saisie_Estime2!$F$15,PL_Saisie_Estime2!$F$14,PL_Saisie_Estime2!$F$20,PL_Saisie_Estime2!AA$2,PL_Saisie_Estime2!AA$1,PL_Saisie_Estime2!$C387),"")</f>
        <v/>
      </c>
      <c r="AB387" s="192" t="str">
        <f ca="1">IF(Flag_Send_Data=1,_xll.DBSW(PL_Saisie_Estime2!AB387,Server&amp;Cube1,PL_Saisie_Estime2!$F$17,PL_Saisie_Estime2!$F$18,PL_Saisie_Estime2!$F$19,PL_Saisie_Estime2!$F$16,PL_Saisie_Estime2!$C$14,PL_Saisie_Estime2!$F$15,PL_Saisie_Estime2!$F$14,PL_Saisie_Estime2!$F$20,PL_Saisie_Estime2!AB$2,PL_Saisie_Estime2!AB$1,PL_Saisie_Estime2!$C387),"")</f>
        <v/>
      </c>
      <c r="AC387" s="192" t="str">
        <f ca="1">IF(Flag_Send_Data=1,_xll.DBSW(PL_Saisie_Estime2!AC387,Server&amp;Cube1,PL_Saisie_Estime2!$F$17,PL_Saisie_Estime2!$F$18,PL_Saisie_Estime2!$F$19,PL_Saisie_Estime2!$F$16,PL_Saisie_Estime2!$C$14,PL_Saisie_Estime2!$F$15,PL_Saisie_Estime2!$F$14,PL_Saisie_Estime2!$F$20,PL_Saisie_Estime2!AC$2,PL_Saisie_Estime2!AC$1,PL_Saisie_Estime2!$C387),"")</f>
        <v/>
      </c>
      <c r="AD387" s="192" t="str">
        <f ca="1">IF(Flag_Send_Data=1,_xll.DBSW(PL_Saisie_Estime2!AD387,Server&amp;Cube1,PL_Saisie_Estime2!$F$17,PL_Saisie_Estime2!$F$18,PL_Saisie_Estime2!$F$19,PL_Saisie_Estime2!$F$16,PL_Saisie_Estime2!$C$14,PL_Saisie_Estime2!$F$15,PL_Saisie_Estime2!$F$14,PL_Saisie_Estime2!$F$20,PL_Saisie_Estime2!AD$2,PL_Saisie_Estime2!AD$1,PL_Saisie_Estime2!$C387),"")</f>
        <v/>
      </c>
      <c r="AE387" s="192" t="str">
        <f ca="1">IF(Flag_Send_Data=1,_xll.DBSW(PL_Saisie_Estime2!AE387,Server&amp;Cube1,PL_Saisie_Estime2!$F$17,PL_Saisie_Estime2!$F$18,PL_Saisie_Estime2!$F$19,PL_Saisie_Estime2!$F$16,PL_Saisie_Estime2!$C$14,PL_Saisie_Estime2!$F$15,PL_Saisie_Estime2!$F$14,PL_Saisie_Estime2!$F$20,PL_Saisie_Estime2!AE$2,PL_Saisie_Estime2!AE$1,PL_Saisie_Estime2!$C387),"")</f>
        <v/>
      </c>
      <c r="AF387" s="204"/>
      <c r="AG387" s="53"/>
      <c r="AH387" s="53"/>
      <c r="AI387" s="53"/>
      <c r="AJ387" s="53"/>
      <c r="AK387" s="53"/>
      <c r="AL387" s="53"/>
      <c r="AM387" s="53"/>
      <c r="AN387" s="53"/>
      <c r="AO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:53" s="9" customFormat="1" ht="24" customHeight="1" x14ac:dyDescent="0.35">
      <c r="A388" s="181"/>
      <c r="B388" s="163"/>
      <c r="C388" s="117"/>
      <c r="E388" s="268"/>
      <c r="F388" s="268"/>
      <c r="G388" s="268"/>
      <c r="H388" s="40"/>
      <c r="I388" s="130"/>
      <c r="J388" s="130"/>
      <c r="K388" s="130"/>
      <c r="L388" s="130"/>
      <c r="M388" s="130"/>
      <c r="N388" s="126"/>
      <c r="O388" s="204"/>
      <c r="P388" s="126"/>
      <c r="Q388" s="124"/>
      <c r="R388" s="192"/>
      <c r="S388" s="126"/>
      <c r="T388" s="200"/>
      <c r="U388" s="200"/>
      <c r="V388" s="200"/>
      <c r="W388" s="200"/>
      <c r="X388" s="200"/>
      <c r="Y388" s="200"/>
      <c r="Z388" s="192" t="str">
        <f ca="1">IF(Flag_Send_Data=1,_xll.DBSW(PL_Saisie_Estime2!Z388,Server&amp;Cube1,PL_Saisie_Estime2!$F$17,PL_Saisie_Estime2!$F$18,PL_Saisie_Estime2!$F$19,PL_Saisie_Estime2!$F$16,PL_Saisie_Estime2!$C$14,PL_Saisie_Estime2!$F$15,PL_Saisie_Estime2!$F$14,PL_Saisie_Estime2!$F$20,PL_Saisie_Estime2!Z$2,PL_Saisie_Estime2!Z$1,PL_Saisie_Estime2!$C388),"")</f>
        <v/>
      </c>
      <c r="AA388" s="192" t="str">
        <f ca="1">IF(Flag_Send_Data=1,_xll.DBSW(PL_Saisie_Estime2!AA388,Server&amp;Cube1,PL_Saisie_Estime2!$F$17,PL_Saisie_Estime2!$F$18,PL_Saisie_Estime2!$F$19,PL_Saisie_Estime2!$F$16,PL_Saisie_Estime2!$C$14,PL_Saisie_Estime2!$F$15,PL_Saisie_Estime2!$F$14,PL_Saisie_Estime2!$F$20,PL_Saisie_Estime2!AA$2,PL_Saisie_Estime2!AA$1,PL_Saisie_Estime2!$C388),"")</f>
        <v/>
      </c>
      <c r="AB388" s="192" t="str">
        <f ca="1">IF(Flag_Send_Data=1,_xll.DBSW(PL_Saisie_Estime2!AB388,Server&amp;Cube1,PL_Saisie_Estime2!$F$17,PL_Saisie_Estime2!$F$18,PL_Saisie_Estime2!$F$19,PL_Saisie_Estime2!$F$16,PL_Saisie_Estime2!$C$14,PL_Saisie_Estime2!$F$15,PL_Saisie_Estime2!$F$14,PL_Saisie_Estime2!$F$20,PL_Saisie_Estime2!AB$2,PL_Saisie_Estime2!AB$1,PL_Saisie_Estime2!$C388),"")</f>
        <v/>
      </c>
      <c r="AC388" s="192" t="str">
        <f ca="1">IF(Flag_Send_Data=1,_xll.DBSW(PL_Saisie_Estime2!AC388,Server&amp;Cube1,PL_Saisie_Estime2!$F$17,PL_Saisie_Estime2!$F$18,PL_Saisie_Estime2!$F$19,PL_Saisie_Estime2!$F$16,PL_Saisie_Estime2!$C$14,PL_Saisie_Estime2!$F$15,PL_Saisie_Estime2!$F$14,PL_Saisie_Estime2!$F$20,PL_Saisie_Estime2!AC$2,PL_Saisie_Estime2!AC$1,PL_Saisie_Estime2!$C388),"")</f>
        <v/>
      </c>
      <c r="AD388" s="192" t="str">
        <f ca="1">IF(Flag_Send_Data=1,_xll.DBSW(PL_Saisie_Estime2!AD388,Server&amp;Cube1,PL_Saisie_Estime2!$F$17,PL_Saisie_Estime2!$F$18,PL_Saisie_Estime2!$F$19,PL_Saisie_Estime2!$F$16,PL_Saisie_Estime2!$C$14,PL_Saisie_Estime2!$F$15,PL_Saisie_Estime2!$F$14,PL_Saisie_Estime2!$F$20,PL_Saisie_Estime2!AD$2,PL_Saisie_Estime2!AD$1,PL_Saisie_Estime2!$C388),"")</f>
        <v/>
      </c>
      <c r="AE388" s="192" t="str">
        <f ca="1">IF(Flag_Send_Data=1,_xll.DBSW(PL_Saisie_Estime2!AE388,Server&amp;Cube1,PL_Saisie_Estime2!$F$17,PL_Saisie_Estime2!$F$18,PL_Saisie_Estime2!$F$19,PL_Saisie_Estime2!$F$16,PL_Saisie_Estime2!$C$14,PL_Saisie_Estime2!$F$15,PL_Saisie_Estime2!$F$14,PL_Saisie_Estime2!$F$20,PL_Saisie_Estime2!AE$2,PL_Saisie_Estime2!AE$1,PL_Saisie_Estime2!$C388),"")</f>
        <v/>
      </c>
      <c r="AF388" s="204"/>
      <c r="AG388" s="53"/>
      <c r="AH388" s="53"/>
      <c r="AI388" s="53"/>
      <c r="AJ388" s="53"/>
      <c r="AK388" s="53"/>
      <c r="AL388" s="53"/>
      <c r="AM388" s="53"/>
      <c r="AN388" s="53"/>
      <c r="AO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:53" s="9" customFormat="1" ht="24" customHeight="1" x14ac:dyDescent="0.35">
      <c r="A389" s="181"/>
      <c r="B389" s="163"/>
      <c r="C389" s="117"/>
      <c r="E389" s="268"/>
      <c r="F389" s="268"/>
      <c r="G389" s="268"/>
      <c r="H389" s="40"/>
      <c r="I389" s="130"/>
      <c r="J389" s="130"/>
      <c r="K389" s="130"/>
      <c r="L389" s="130"/>
      <c r="M389" s="130"/>
      <c r="N389" s="126"/>
      <c r="O389" s="204"/>
      <c r="P389" s="126"/>
      <c r="Q389" s="124"/>
      <c r="R389" s="192"/>
      <c r="S389" s="126"/>
      <c r="T389" s="200"/>
      <c r="U389" s="200"/>
      <c r="V389" s="200"/>
      <c r="W389" s="200"/>
      <c r="X389" s="200"/>
      <c r="Y389" s="200"/>
      <c r="Z389" s="192" t="str">
        <f ca="1">IF(Flag_Send_Data=1,_xll.DBSW(PL_Saisie_Estime2!Z389,Server&amp;Cube1,PL_Saisie_Estime2!$F$17,PL_Saisie_Estime2!$F$18,PL_Saisie_Estime2!$F$19,PL_Saisie_Estime2!$F$16,PL_Saisie_Estime2!$C$14,PL_Saisie_Estime2!$F$15,PL_Saisie_Estime2!$F$14,PL_Saisie_Estime2!$F$20,PL_Saisie_Estime2!Z$2,PL_Saisie_Estime2!Z$1,PL_Saisie_Estime2!$C389),"")</f>
        <v/>
      </c>
      <c r="AA389" s="192" t="str">
        <f ca="1">IF(Flag_Send_Data=1,_xll.DBSW(PL_Saisie_Estime2!AA389,Server&amp;Cube1,PL_Saisie_Estime2!$F$17,PL_Saisie_Estime2!$F$18,PL_Saisie_Estime2!$F$19,PL_Saisie_Estime2!$F$16,PL_Saisie_Estime2!$C$14,PL_Saisie_Estime2!$F$15,PL_Saisie_Estime2!$F$14,PL_Saisie_Estime2!$F$20,PL_Saisie_Estime2!AA$2,PL_Saisie_Estime2!AA$1,PL_Saisie_Estime2!$C389),"")</f>
        <v/>
      </c>
      <c r="AB389" s="192" t="str">
        <f ca="1">IF(Flag_Send_Data=1,_xll.DBSW(PL_Saisie_Estime2!AB389,Server&amp;Cube1,PL_Saisie_Estime2!$F$17,PL_Saisie_Estime2!$F$18,PL_Saisie_Estime2!$F$19,PL_Saisie_Estime2!$F$16,PL_Saisie_Estime2!$C$14,PL_Saisie_Estime2!$F$15,PL_Saisie_Estime2!$F$14,PL_Saisie_Estime2!$F$20,PL_Saisie_Estime2!AB$2,PL_Saisie_Estime2!AB$1,PL_Saisie_Estime2!$C389),"")</f>
        <v/>
      </c>
      <c r="AC389" s="192" t="str">
        <f ca="1">IF(Flag_Send_Data=1,_xll.DBSW(PL_Saisie_Estime2!AC389,Server&amp;Cube1,PL_Saisie_Estime2!$F$17,PL_Saisie_Estime2!$F$18,PL_Saisie_Estime2!$F$19,PL_Saisie_Estime2!$F$16,PL_Saisie_Estime2!$C$14,PL_Saisie_Estime2!$F$15,PL_Saisie_Estime2!$F$14,PL_Saisie_Estime2!$F$20,PL_Saisie_Estime2!AC$2,PL_Saisie_Estime2!AC$1,PL_Saisie_Estime2!$C389),"")</f>
        <v/>
      </c>
      <c r="AD389" s="192" t="str">
        <f ca="1">IF(Flag_Send_Data=1,_xll.DBSW(PL_Saisie_Estime2!AD389,Server&amp;Cube1,PL_Saisie_Estime2!$F$17,PL_Saisie_Estime2!$F$18,PL_Saisie_Estime2!$F$19,PL_Saisie_Estime2!$F$16,PL_Saisie_Estime2!$C$14,PL_Saisie_Estime2!$F$15,PL_Saisie_Estime2!$F$14,PL_Saisie_Estime2!$F$20,PL_Saisie_Estime2!AD$2,PL_Saisie_Estime2!AD$1,PL_Saisie_Estime2!$C389),"")</f>
        <v/>
      </c>
      <c r="AE389" s="192" t="str">
        <f ca="1">IF(Flag_Send_Data=1,_xll.DBSW(PL_Saisie_Estime2!AE389,Server&amp;Cube1,PL_Saisie_Estime2!$F$17,PL_Saisie_Estime2!$F$18,PL_Saisie_Estime2!$F$19,PL_Saisie_Estime2!$F$16,PL_Saisie_Estime2!$C$14,PL_Saisie_Estime2!$F$15,PL_Saisie_Estime2!$F$14,PL_Saisie_Estime2!$F$20,PL_Saisie_Estime2!AE$2,PL_Saisie_Estime2!AE$1,PL_Saisie_Estime2!$C389),"")</f>
        <v/>
      </c>
      <c r="AF389" s="204"/>
      <c r="AG389" s="53"/>
      <c r="AH389" s="53"/>
      <c r="AI389" s="53"/>
      <c r="AJ389" s="53"/>
      <c r="AK389" s="53"/>
      <c r="AL389" s="53"/>
      <c r="AM389" s="53"/>
      <c r="AN389" s="53"/>
      <c r="AO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:53" s="9" customFormat="1" ht="24" customHeight="1" x14ac:dyDescent="0.35">
      <c r="A390" s="181"/>
      <c r="B390" s="163"/>
      <c r="C390" s="117"/>
      <c r="E390" s="268"/>
      <c r="F390" s="268"/>
      <c r="G390" s="268"/>
      <c r="H390" s="40"/>
      <c r="I390" s="130"/>
      <c r="J390" s="130"/>
      <c r="K390" s="130"/>
      <c r="L390" s="130"/>
      <c r="M390" s="130"/>
      <c r="N390" s="126"/>
      <c r="O390" s="204"/>
      <c r="P390" s="126"/>
      <c r="Q390" s="124"/>
      <c r="R390" s="192"/>
      <c r="S390" s="126"/>
      <c r="T390" s="200"/>
      <c r="U390" s="200"/>
      <c r="V390" s="200"/>
      <c r="W390" s="200"/>
      <c r="X390" s="200"/>
      <c r="Y390" s="200"/>
      <c r="Z390" s="192" t="str">
        <f ca="1">IF(Flag_Send_Data=1,_xll.DBSW(PL_Saisie_Estime2!Z390,Server&amp;Cube1,PL_Saisie_Estime2!$F$17,PL_Saisie_Estime2!$F$18,PL_Saisie_Estime2!$F$19,PL_Saisie_Estime2!$F$16,PL_Saisie_Estime2!$C$14,PL_Saisie_Estime2!$F$15,PL_Saisie_Estime2!$F$14,PL_Saisie_Estime2!$F$20,PL_Saisie_Estime2!Z$2,PL_Saisie_Estime2!Z$1,PL_Saisie_Estime2!$C390),"")</f>
        <v/>
      </c>
      <c r="AA390" s="192" t="str">
        <f ca="1">IF(Flag_Send_Data=1,_xll.DBSW(PL_Saisie_Estime2!AA390,Server&amp;Cube1,PL_Saisie_Estime2!$F$17,PL_Saisie_Estime2!$F$18,PL_Saisie_Estime2!$F$19,PL_Saisie_Estime2!$F$16,PL_Saisie_Estime2!$C$14,PL_Saisie_Estime2!$F$15,PL_Saisie_Estime2!$F$14,PL_Saisie_Estime2!$F$20,PL_Saisie_Estime2!AA$2,PL_Saisie_Estime2!AA$1,PL_Saisie_Estime2!$C390),"")</f>
        <v/>
      </c>
      <c r="AB390" s="192" t="str">
        <f ca="1">IF(Flag_Send_Data=1,_xll.DBSW(PL_Saisie_Estime2!AB390,Server&amp;Cube1,PL_Saisie_Estime2!$F$17,PL_Saisie_Estime2!$F$18,PL_Saisie_Estime2!$F$19,PL_Saisie_Estime2!$F$16,PL_Saisie_Estime2!$C$14,PL_Saisie_Estime2!$F$15,PL_Saisie_Estime2!$F$14,PL_Saisie_Estime2!$F$20,PL_Saisie_Estime2!AB$2,PL_Saisie_Estime2!AB$1,PL_Saisie_Estime2!$C390),"")</f>
        <v/>
      </c>
      <c r="AC390" s="192" t="str">
        <f ca="1">IF(Flag_Send_Data=1,_xll.DBSW(PL_Saisie_Estime2!AC390,Server&amp;Cube1,PL_Saisie_Estime2!$F$17,PL_Saisie_Estime2!$F$18,PL_Saisie_Estime2!$F$19,PL_Saisie_Estime2!$F$16,PL_Saisie_Estime2!$C$14,PL_Saisie_Estime2!$F$15,PL_Saisie_Estime2!$F$14,PL_Saisie_Estime2!$F$20,PL_Saisie_Estime2!AC$2,PL_Saisie_Estime2!AC$1,PL_Saisie_Estime2!$C390),"")</f>
        <v/>
      </c>
      <c r="AD390" s="192" t="str">
        <f ca="1">IF(Flag_Send_Data=1,_xll.DBSW(PL_Saisie_Estime2!AD390,Server&amp;Cube1,PL_Saisie_Estime2!$F$17,PL_Saisie_Estime2!$F$18,PL_Saisie_Estime2!$F$19,PL_Saisie_Estime2!$F$16,PL_Saisie_Estime2!$C$14,PL_Saisie_Estime2!$F$15,PL_Saisie_Estime2!$F$14,PL_Saisie_Estime2!$F$20,PL_Saisie_Estime2!AD$2,PL_Saisie_Estime2!AD$1,PL_Saisie_Estime2!$C390),"")</f>
        <v/>
      </c>
      <c r="AE390" s="192" t="str">
        <f ca="1">IF(Flag_Send_Data=1,_xll.DBSW(PL_Saisie_Estime2!AE390,Server&amp;Cube1,PL_Saisie_Estime2!$F$17,PL_Saisie_Estime2!$F$18,PL_Saisie_Estime2!$F$19,PL_Saisie_Estime2!$F$16,PL_Saisie_Estime2!$C$14,PL_Saisie_Estime2!$F$15,PL_Saisie_Estime2!$F$14,PL_Saisie_Estime2!$F$20,PL_Saisie_Estime2!AE$2,PL_Saisie_Estime2!AE$1,PL_Saisie_Estime2!$C390),"")</f>
        <v/>
      </c>
      <c r="AF390" s="204"/>
      <c r="AG390" s="53"/>
      <c r="AH390" s="53"/>
      <c r="AI390" s="53"/>
      <c r="AJ390" s="53"/>
      <c r="AK390" s="53"/>
      <c r="AL390" s="53"/>
      <c r="AM390" s="53"/>
      <c r="AN390" s="53"/>
      <c r="AO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:53" s="9" customFormat="1" ht="24" customHeight="1" x14ac:dyDescent="0.35">
      <c r="A391" s="181"/>
      <c r="B391" s="163"/>
      <c r="C391" s="117"/>
      <c r="E391" s="268"/>
      <c r="F391" s="268"/>
      <c r="G391" s="268"/>
      <c r="H391" s="40"/>
      <c r="I391" s="130"/>
      <c r="J391" s="130"/>
      <c r="K391" s="130"/>
      <c r="L391" s="130"/>
      <c r="M391" s="130"/>
      <c r="N391" s="126"/>
      <c r="O391" s="204"/>
      <c r="P391" s="126"/>
      <c r="Q391" s="124"/>
      <c r="R391" s="192"/>
      <c r="S391" s="126"/>
      <c r="T391" s="200"/>
      <c r="U391" s="200"/>
      <c r="V391" s="200"/>
      <c r="W391" s="200"/>
      <c r="X391" s="200"/>
      <c r="Y391" s="200"/>
      <c r="Z391" s="192" t="str">
        <f ca="1">IF(Flag_Send_Data=1,_xll.DBSW(PL_Saisie_Estime2!Z391,Server&amp;Cube1,PL_Saisie_Estime2!$F$17,PL_Saisie_Estime2!$F$18,PL_Saisie_Estime2!$F$19,PL_Saisie_Estime2!$F$16,PL_Saisie_Estime2!$C$14,PL_Saisie_Estime2!$F$15,PL_Saisie_Estime2!$F$14,PL_Saisie_Estime2!$F$20,PL_Saisie_Estime2!Z$2,PL_Saisie_Estime2!Z$1,PL_Saisie_Estime2!$C391),"")</f>
        <v/>
      </c>
      <c r="AA391" s="192" t="str">
        <f ca="1">IF(Flag_Send_Data=1,_xll.DBSW(PL_Saisie_Estime2!AA391,Server&amp;Cube1,PL_Saisie_Estime2!$F$17,PL_Saisie_Estime2!$F$18,PL_Saisie_Estime2!$F$19,PL_Saisie_Estime2!$F$16,PL_Saisie_Estime2!$C$14,PL_Saisie_Estime2!$F$15,PL_Saisie_Estime2!$F$14,PL_Saisie_Estime2!$F$20,PL_Saisie_Estime2!AA$2,PL_Saisie_Estime2!AA$1,PL_Saisie_Estime2!$C391),"")</f>
        <v/>
      </c>
      <c r="AB391" s="192" t="str">
        <f ca="1">IF(Flag_Send_Data=1,_xll.DBSW(PL_Saisie_Estime2!AB391,Server&amp;Cube1,PL_Saisie_Estime2!$F$17,PL_Saisie_Estime2!$F$18,PL_Saisie_Estime2!$F$19,PL_Saisie_Estime2!$F$16,PL_Saisie_Estime2!$C$14,PL_Saisie_Estime2!$F$15,PL_Saisie_Estime2!$F$14,PL_Saisie_Estime2!$F$20,PL_Saisie_Estime2!AB$2,PL_Saisie_Estime2!AB$1,PL_Saisie_Estime2!$C391),"")</f>
        <v/>
      </c>
      <c r="AC391" s="192" t="str">
        <f ca="1">IF(Flag_Send_Data=1,_xll.DBSW(PL_Saisie_Estime2!AC391,Server&amp;Cube1,PL_Saisie_Estime2!$F$17,PL_Saisie_Estime2!$F$18,PL_Saisie_Estime2!$F$19,PL_Saisie_Estime2!$F$16,PL_Saisie_Estime2!$C$14,PL_Saisie_Estime2!$F$15,PL_Saisie_Estime2!$F$14,PL_Saisie_Estime2!$F$20,PL_Saisie_Estime2!AC$2,PL_Saisie_Estime2!AC$1,PL_Saisie_Estime2!$C391),"")</f>
        <v/>
      </c>
      <c r="AD391" s="192" t="str">
        <f ca="1">IF(Flag_Send_Data=1,_xll.DBSW(PL_Saisie_Estime2!AD391,Server&amp;Cube1,PL_Saisie_Estime2!$F$17,PL_Saisie_Estime2!$F$18,PL_Saisie_Estime2!$F$19,PL_Saisie_Estime2!$F$16,PL_Saisie_Estime2!$C$14,PL_Saisie_Estime2!$F$15,PL_Saisie_Estime2!$F$14,PL_Saisie_Estime2!$F$20,PL_Saisie_Estime2!AD$2,PL_Saisie_Estime2!AD$1,PL_Saisie_Estime2!$C391),"")</f>
        <v/>
      </c>
      <c r="AE391" s="192" t="str">
        <f ca="1">IF(Flag_Send_Data=1,_xll.DBSW(PL_Saisie_Estime2!AE391,Server&amp;Cube1,PL_Saisie_Estime2!$F$17,PL_Saisie_Estime2!$F$18,PL_Saisie_Estime2!$F$19,PL_Saisie_Estime2!$F$16,PL_Saisie_Estime2!$C$14,PL_Saisie_Estime2!$F$15,PL_Saisie_Estime2!$F$14,PL_Saisie_Estime2!$F$20,PL_Saisie_Estime2!AE$2,PL_Saisie_Estime2!AE$1,PL_Saisie_Estime2!$C391),"")</f>
        <v/>
      </c>
      <c r="AF391" s="204"/>
      <c r="AG391" s="53"/>
      <c r="AH391" s="53"/>
      <c r="AI391" s="53"/>
      <c r="AJ391" s="53"/>
      <c r="AK391" s="53"/>
      <c r="AL391" s="53"/>
      <c r="AM391" s="53"/>
      <c r="AN391" s="53"/>
      <c r="AO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:53" s="9" customFormat="1" ht="24" customHeight="1" x14ac:dyDescent="0.35">
      <c r="A392" s="181"/>
      <c r="B392" s="163"/>
      <c r="C392" s="117"/>
      <c r="E392" s="268"/>
      <c r="F392" s="268"/>
      <c r="G392" s="268"/>
      <c r="H392" s="40"/>
      <c r="I392" s="130"/>
      <c r="J392" s="130"/>
      <c r="K392" s="130"/>
      <c r="L392" s="130"/>
      <c r="M392" s="130"/>
      <c r="N392" s="126"/>
      <c r="O392" s="204"/>
      <c r="P392" s="126"/>
      <c r="Q392" s="124"/>
      <c r="R392" s="192"/>
      <c r="S392" s="126"/>
      <c r="T392" s="200"/>
      <c r="U392" s="200"/>
      <c r="V392" s="200"/>
      <c r="W392" s="200"/>
      <c r="X392" s="200"/>
      <c r="Y392" s="200"/>
      <c r="Z392" s="192" t="str">
        <f ca="1">IF(Flag_Send_Data=1,_xll.DBSW(PL_Saisie_Estime2!Z392,Server&amp;Cube1,PL_Saisie_Estime2!$F$17,PL_Saisie_Estime2!$F$18,PL_Saisie_Estime2!$F$19,PL_Saisie_Estime2!$F$16,PL_Saisie_Estime2!$C$14,PL_Saisie_Estime2!$F$15,PL_Saisie_Estime2!$F$14,PL_Saisie_Estime2!$F$20,PL_Saisie_Estime2!Z$2,PL_Saisie_Estime2!Z$1,PL_Saisie_Estime2!$C392),"")</f>
        <v/>
      </c>
      <c r="AA392" s="192" t="str">
        <f ca="1">IF(Flag_Send_Data=1,_xll.DBSW(PL_Saisie_Estime2!AA392,Server&amp;Cube1,PL_Saisie_Estime2!$F$17,PL_Saisie_Estime2!$F$18,PL_Saisie_Estime2!$F$19,PL_Saisie_Estime2!$F$16,PL_Saisie_Estime2!$C$14,PL_Saisie_Estime2!$F$15,PL_Saisie_Estime2!$F$14,PL_Saisie_Estime2!$F$20,PL_Saisie_Estime2!AA$2,PL_Saisie_Estime2!AA$1,PL_Saisie_Estime2!$C392),"")</f>
        <v/>
      </c>
      <c r="AB392" s="192" t="str">
        <f ca="1">IF(Flag_Send_Data=1,_xll.DBSW(PL_Saisie_Estime2!AB392,Server&amp;Cube1,PL_Saisie_Estime2!$F$17,PL_Saisie_Estime2!$F$18,PL_Saisie_Estime2!$F$19,PL_Saisie_Estime2!$F$16,PL_Saisie_Estime2!$C$14,PL_Saisie_Estime2!$F$15,PL_Saisie_Estime2!$F$14,PL_Saisie_Estime2!$F$20,PL_Saisie_Estime2!AB$2,PL_Saisie_Estime2!AB$1,PL_Saisie_Estime2!$C392),"")</f>
        <v/>
      </c>
      <c r="AC392" s="192" t="str">
        <f ca="1">IF(Flag_Send_Data=1,_xll.DBSW(PL_Saisie_Estime2!AC392,Server&amp;Cube1,PL_Saisie_Estime2!$F$17,PL_Saisie_Estime2!$F$18,PL_Saisie_Estime2!$F$19,PL_Saisie_Estime2!$F$16,PL_Saisie_Estime2!$C$14,PL_Saisie_Estime2!$F$15,PL_Saisie_Estime2!$F$14,PL_Saisie_Estime2!$F$20,PL_Saisie_Estime2!AC$2,PL_Saisie_Estime2!AC$1,PL_Saisie_Estime2!$C392),"")</f>
        <v/>
      </c>
      <c r="AD392" s="192" t="str">
        <f ca="1">IF(Flag_Send_Data=1,_xll.DBSW(PL_Saisie_Estime2!AD392,Server&amp;Cube1,PL_Saisie_Estime2!$F$17,PL_Saisie_Estime2!$F$18,PL_Saisie_Estime2!$F$19,PL_Saisie_Estime2!$F$16,PL_Saisie_Estime2!$C$14,PL_Saisie_Estime2!$F$15,PL_Saisie_Estime2!$F$14,PL_Saisie_Estime2!$F$20,PL_Saisie_Estime2!AD$2,PL_Saisie_Estime2!AD$1,PL_Saisie_Estime2!$C392),"")</f>
        <v/>
      </c>
      <c r="AE392" s="192" t="str">
        <f ca="1">IF(Flag_Send_Data=1,_xll.DBSW(PL_Saisie_Estime2!AE392,Server&amp;Cube1,PL_Saisie_Estime2!$F$17,PL_Saisie_Estime2!$F$18,PL_Saisie_Estime2!$F$19,PL_Saisie_Estime2!$F$16,PL_Saisie_Estime2!$C$14,PL_Saisie_Estime2!$F$15,PL_Saisie_Estime2!$F$14,PL_Saisie_Estime2!$F$20,PL_Saisie_Estime2!AE$2,PL_Saisie_Estime2!AE$1,PL_Saisie_Estime2!$C392),"")</f>
        <v/>
      </c>
      <c r="AF392" s="204"/>
      <c r="AG392" s="53"/>
      <c r="AH392" s="53"/>
      <c r="AI392" s="53"/>
      <c r="AJ392" s="53"/>
      <c r="AK392" s="53"/>
      <c r="AL392" s="53"/>
      <c r="AM392" s="53"/>
      <c r="AN392" s="53"/>
      <c r="AO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:53" s="9" customFormat="1" ht="24" customHeight="1" x14ac:dyDescent="0.35">
      <c r="A393" s="181"/>
      <c r="B393" s="163"/>
      <c r="C393" s="117"/>
      <c r="E393" s="268"/>
      <c r="F393" s="268"/>
      <c r="G393" s="268"/>
      <c r="H393" s="40"/>
      <c r="I393" s="130"/>
      <c r="J393" s="130"/>
      <c r="K393" s="130"/>
      <c r="L393" s="130"/>
      <c r="M393" s="130"/>
      <c r="N393" s="126"/>
      <c r="O393" s="204"/>
      <c r="P393" s="126"/>
      <c r="Q393" s="124"/>
      <c r="R393" s="192"/>
      <c r="S393" s="126"/>
      <c r="T393" s="200"/>
      <c r="U393" s="200"/>
      <c r="V393" s="200"/>
      <c r="W393" s="200"/>
      <c r="X393" s="200"/>
      <c r="Y393" s="200"/>
      <c r="Z393" s="192" t="str">
        <f ca="1">IF(Flag_Send_Data=1,_xll.DBSW(PL_Saisie_Estime2!Z393,Server&amp;Cube1,PL_Saisie_Estime2!$F$17,PL_Saisie_Estime2!$F$18,PL_Saisie_Estime2!$F$19,PL_Saisie_Estime2!$F$16,PL_Saisie_Estime2!$C$14,PL_Saisie_Estime2!$F$15,PL_Saisie_Estime2!$F$14,PL_Saisie_Estime2!$F$20,PL_Saisie_Estime2!Z$2,PL_Saisie_Estime2!Z$1,PL_Saisie_Estime2!$C393),"")</f>
        <v/>
      </c>
      <c r="AA393" s="192" t="str">
        <f ca="1">IF(Flag_Send_Data=1,_xll.DBSW(PL_Saisie_Estime2!AA393,Server&amp;Cube1,PL_Saisie_Estime2!$F$17,PL_Saisie_Estime2!$F$18,PL_Saisie_Estime2!$F$19,PL_Saisie_Estime2!$F$16,PL_Saisie_Estime2!$C$14,PL_Saisie_Estime2!$F$15,PL_Saisie_Estime2!$F$14,PL_Saisie_Estime2!$F$20,PL_Saisie_Estime2!AA$2,PL_Saisie_Estime2!AA$1,PL_Saisie_Estime2!$C393),"")</f>
        <v/>
      </c>
      <c r="AB393" s="192" t="str">
        <f ca="1">IF(Flag_Send_Data=1,_xll.DBSW(PL_Saisie_Estime2!AB393,Server&amp;Cube1,PL_Saisie_Estime2!$F$17,PL_Saisie_Estime2!$F$18,PL_Saisie_Estime2!$F$19,PL_Saisie_Estime2!$F$16,PL_Saisie_Estime2!$C$14,PL_Saisie_Estime2!$F$15,PL_Saisie_Estime2!$F$14,PL_Saisie_Estime2!$F$20,PL_Saisie_Estime2!AB$2,PL_Saisie_Estime2!AB$1,PL_Saisie_Estime2!$C393),"")</f>
        <v/>
      </c>
      <c r="AC393" s="192" t="str">
        <f ca="1">IF(Flag_Send_Data=1,_xll.DBSW(PL_Saisie_Estime2!AC393,Server&amp;Cube1,PL_Saisie_Estime2!$F$17,PL_Saisie_Estime2!$F$18,PL_Saisie_Estime2!$F$19,PL_Saisie_Estime2!$F$16,PL_Saisie_Estime2!$C$14,PL_Saisie_Estime2!$F$15,PL_Saisie_Estime2!$F$14,PL_Saisie_Estime2!$F$20,PL_Saisie_Estime2!AC$2,PL_Saisie_Estime2!AC$1,PL_Saisie_Estime2!$C393),"")</f>
        <v/>
      </c>
      <c r="AD393" s="192" t="str">
        <f ca="1">IF(Flag_Send_Data=1,_xll.DBSW(PL_Saisie_Estime2!AD393,Server&amp;Cube1,PL_Saisie_Estime2!$F$17,PL_Saisie_Estime2!$F$18,PL_Saisie_Estime2!$F$19,PL_Saisie_Estime2!$F$16,PL_Saisie_Estime2!$C$14,PL_Saisie_Estime2!$F$15,PL_Saisie_Estime2!$F$14,PL_Saisie_Estime2!$F$20,PL_Saisie_Estime2!AD$2,PL_Saisie_Estime2!AD$1,PL_Saisie_Estime2!$C393),"")</f>
        <v/>
      </c>
      <c r="AE393" s="192" t="str">
        <f ca="1">IF(Flag_Send_Data=1,_xll.DBSW(PL_Saisie_Estime2!AE393,Server&amp;Cube1,PL_Saisie_Estime2!$F$17,PL_Saisie_Estime2!$F$18,PL_Saisie_Estime2!$F$19,PL_Saisie_Estime2!$F$16,PL_Saisie_Estime2!$C$14,PL_Saisie_Estime2!$F$15,PL_Saisie_Estime2!$F$14,PL_Saisie_Estime2!$F$20,PL_Saisie_Estime2!AE$2,PL_Saisie_Estime2!AE$1,PL_Saisie_Estime2!$C393),"")</f>
        <v/>
      </c>
      <c r="AF393" s="204"/>
      <c r="AG393" s="53"/>
      <c r="AH393" s="53"/>
      <c r="AI393" s="53"/>
      <c r="AJ393" s="53"/>
      <c r="AK393" s="53"/>
      <c r="AL393" s="53"/>
      <c r="AM393" s="53"/>
      <c r="AN393" s="53"/>
      <c r="AO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:53" s="9" customFormat="1" ht="24" customHeight="1" x14ac:dyDescent="0.35">
      <c r="A394" s="181"/>
      <c r="B394" s="163"/>
      <c r="C394" s="117"/>
      <c r="E394" s="268"/>
      <c r="F394" s="268"/>
      <c r="G394" s="268"/>
      <c r="H394" s="40"/>
      <c r="I394" s="130"/>
      <c r="J394" s="130"/>
      <c r="K394" s="130"/>
      <c r="L394" s="130"/>
      <c r="M394" s="130"/>
      <c r="N394" s="126"/>
      <c r="O394" s="204"/>
      <c r="P394" s="126"/>
      <c r="Q394" s="124"/>
      <c r="R394" s="192"/>
      <c r="S394" s="126"/>
      <c r="T394" s="200"/>
      <c r="U394" s="200"/>
      <c r="V394" s="200"/>
      <c r="W394" s="200"/>
      <c r="X394" s="200"/>
      <c r="Y394" s="200"/>
      <c r="Z394" s="192" t="str">
        <f ca="1">IF(Flag_Send_Data=1,_xll.DBSW(PL_Saisie_Estime2!Z394,Server&amp;Cube1,PL_Saisie_Estime2!$F$17,PL_Saisie_Estime2!$F$18,PL_Saisie_Estime2!$F$19,PL_Saisie_Estime2!$F$16,PL_Saisie_Estime2!$C$14,PL_Saisie_Estime2!$F$15,PL_Saisie_Estime2!$F$14,PL_Saisie_Estime2!$F$20,PL_Saisie_Estime2!Z$2,PL_Saisie_Estime2!Z$1,PL_Saisie_Estime2!$C394),"")</f>
        <v/>
      </c>
      <c r="AA394" s="192" t="str">
        <f ca="1">IF(Flag_Send_Data=1,_xll.DBSW(PL_Saisie_Estime2!AA394,Server&amp;Cube1,PL_Saisie_Estime2!$F$17,PL_Saisie_Estime2!$F$18,PL_Saisie_Estime2!$F$19,PL_Saisie_Estime2!$F$16,PL_Saisie_Estime2!$C$14,PL_Saisie_Estime2!$F$15,PL_Saisie_Estime2!$F$14,PL_Saisie_Estime2!$F$20,PL_Saisie_Estime2!AA$2,PL_Saisie_Estime2!AA$1,PL_Saisie_Estime2!$C394),"")</f>
        <v/>
      </c>
      <c r="AB394" s="192" t="str">
        <f ca="1">IF(Flag_Send_Data=1,_xll.DBSW(PL_Saisie_Estime2!AB394,Server&amp;Cube1,PL_Saisie_Estime2!$F$17,PL_Saisie_Estime2!$F$18,PL_Saisie_Estime2!$F$19,PL_Saisie_Estime2!$F$16,PL_Saisie_Estime2!$C$14,PL_Saisie_Estime2!$F$15,PL_Saisie_Estime2!$F$14,PL_Saisie_Estime2!$F$20,PL_Saisie_Estime2!AB$2,PL_Saisie_Estime2!AB$1,PL_Saisie_Estime2!$C394),"")</f>
        <v/>
      </c>
      <c r="AC394" s="192" t="str">
        <f ca="1">IF(Flag_Send_Data=1,_xll.DBSW(PL_Saisie_Estime2!AC394,Server&amp;Cube1,PL_Saisie_Estime2!$F$17,PL_Saisie_Estime2!$F$18,PL_Saisie_Estime2!$F$19,PL_Saisie_Estime2!$F$16,PL_Saisie_Estime2!$C$14,PL_Saisie_Estime2!$F$15,PL_Saisie_Estime2!$F$14,PL_Saisie_Estime2!$F$20,PL_Saisie_Estime2!AC$2,PL_Saisie_Estime2!AC$1,PL_Saisie_Estime2!$C394),"")</f>
        <v/>
      </c>
      <c r="AD394" s="192" t="str">
        <f ca="1">IF(Flag_Send_Data=1,_xll.DBSW(PL_Saisie_Estime2!AD394,Server&amp;Cube1,PL_Saisie_Estime2!$F$17,PL_Saisie_Estime2!$F$18,PL_Saisie_Estime2!$F$19,PL_Saisie_Estime2!$F$16,PL_Saisie_Estime2!$C$14,PL_Saisie_Estime2!$F$15,PL_Saisie_Estime2!$F$14,PL_Saisie_Estime2!$F$20,PL_Saisie_Estime2!AD$2,PL_Saisie_Estime2!AD$1,PL_Saisie_Estime2!$C394),"")</f>
        <v/>
      </c>
      <c r="AE394" s="192" t="str">
        <f ca="1">IF(Flag_Send_Data=1,_xll.DBSW(PL_Saisie_Estime2!AE394,Server&amp;Cube1,PL_Saisie_Estime2!$F$17,PL_Saisie_Estime2!$F$18,PL_Saisie_Estime2!$F$19,PL_Saisie_Estime2!$F$16,PL_Saisie_Estime2!$C$14,PL_Saisie_Estime2!$F$15,PL_Saisie_Estime2!$F$14,PL_Saisie_Estime2!$F$20,PL_Saisie_Estime2!AE$2,PL_Saisie_Estime2!AE$1,PL_Saisie_Estime2!$C394),"")</f>
        <v/>
      </c>
      <c r="AF394" s="204"/>
      <c r="AG394" s="53"/>
      <c r="AH394" s="53"/>
      <c r="AI394" s="53"/>
      <c r="AJ394" s="53"/>
      <c r="AK394" s="53"/>
      <c r="AL394" s="53"/>
      <c r="AM394" s="53"/>
      <c r="AN394" s="53"/>
      <c r="AO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:53" s="9" customFormat="1" ht="24" customHeight="1" x14ac:dyDescent="0.35">
      <c r="A395" s="181"/>
      <c r="B395" s="163"/>
      <c r="C395" s="117"/>
      <c r="E395" s="268"/>
      <c r="F395" s="268"/>
      <c r="G395" s="268"/>
      <c r="H395" s="40"/>
      <c r="I395" s="130"/>
      <c r="J395" s="130"/>
      <c r="K395" s="130"/>
      <c r="L395" s="130"/>
      <c r="M395" s="130"/>
      <c r="N395" s="126"/>
      <c r="O395" s="204"/>
      <c r="P395" s="126"/>
      <c r="Q395" s="124"/>
      <c r="R395" s="192"/>
      <c r="S395" s="126"/>
      <c r="T395" s="200"/>
      <c r="U395" s="200"/>
      <c r="V395" s="200"/>
      <c r="W395" s="200"/>
      <c r="X395" s="200"/>
      <c r="Y395" s="200"/>
      <c r="Z395" s="192" t="str">
        <f ca="1">IF(Flag_Send_Data=1,_xll.DBSW(PL_Saisie_Estime2!Z395,Server&amp;Cube1,PL_Saisie_Estime2!$F$17,PL_Saisie_Estime2!$F$18,PL_Saisie_Estime2!$F$19,PL_Saisie_Estime2!$F$16,PL_Saisie_Estime2!$C$14,PL_Saisie_Estime2!$F$15,PL_Saisie_Estime2!$F$14,PL_Saisie_Estime2!$F$20,PL_Saisie_Estime2!Z$2,PL_Saisie_Estime2!Z$1,PL_Saisie_Estime2!$C395),"")</f>
        <v/>
      </c>
      <c r="AA395" s="192" t="str">
        <f ca="1">IF(Flag_Send_Data=1,_xll.DBSW(PL_Saisie_Estime2!AA395,Server&amp;Cube1,PL_Saisie_Estime2!$F$17,PL_Saisie_Estime2!$F$18,PL_Saisie_Estime2!$F$19,PL_Saisie_Estime2!$F$16,PL_Saisie_Estime2!$C$14,PL_Saisie_Estime2!$F$15,PL_Saisie_Estime2!$F$14,PL_Saisie_Estime2!$F$20,PL_Saisie_Estime2!AA$2,PL_Saisie_Estime2!AA$1,PL_Saisie_Estime2!$C395),"")</f>
        <v/>
      </c>
      <c r="AB395" s="192" t="str">
        <f ca="1">IF(Flag_Send_Data=1,_xll.DBSW(PL_Saisie_Estime2!AB395,Server&amp;Cube1,PL_Saisie_Estime2!$F$17,PL_Saisie_Estime2!$F$18,PL_Saisie_Estime2!$F$19,PL_Saisie_Estime2!$F$16,PL_Saisie_Estime2!$C$14,PL_Saisie_Estime2!$F$15,PL_Saisie_Estime2!$F$14,PL_Saisie_Estime2!$F$20,PL_Saisie_Estime2!AB$2,PL_Saisie_Estime2!AB$1,PL_Saisie_Estime2!$C395),"")</f>
        <v/>
      </c>
      <c r="AC395" s="192" t="str">
        <f ca="1">IF(Flag_Send_Data=1,_xll.DBSW(PL_Saisie_Estime2!AC395,Server&amp;Cube1,PL_Saisie_Estime2!$F$17,PL_Saisie_Estime2!$F$18,PL_Saisie_Estime2!$F$19,PL_Saisie_Estime2!$F$16,PL_Saisie_Estime2!$C$14,PL_Saisie_Estime2!$F$15,PL_Saisie_Estime2!$F$14,PL_Saisie_Estime2!$F$20,PL_Saisie_Estime2!AC$2,PL_Saisie_Estime2!AC$1,PL_Saisie_Estime2!$C395),"")</f>
        <v/>
      </c>
      <c r="AD395" s="192" t="str">
        <f ca="1">IF(Flag_Send_Data=1,_xll.DBSW(PL_Saisie_Estime2!AD395,Server&amp;Cube1,PL_Saisie_Estime2!$F$17,PL_Saisie_Estime2!$F$18,PL_Saisie_Estime2!$F$19,PL_Saisie_Estime2!$F$16,PL_Saisie_Estime2!$C$14,PL_Saisie_Estime2!$F$15,PL_Saisie_Estime2!$F$14,PL_Saisie_Estime2!$F$20,PL_Saisie_Estime2!AD$2,PL_Saisie_Estime2!AD$1,PL_Saisie_Estime2!$C395),"")</f>
        <v/>
      </c>
      <c r="AE395" s="192" t="str">
        <f ca="1">IF(Flag_Send_Data=1,_xll.DBSW(PL_Saisie_Estime2!AE395,Server&amp;Cube1,PL_Saisie_Estime2!$F$17,PL_Saisie_Estime2!$F$18,PL_Saisie_Estime2!$F$19,PL_Saisie_Estime2!$F$16,PL_Saisie_Estime2!$C$14,PL_Saisie_Estime2!$F$15,PL_Saisie_Estime2!$F$14,PL_Saisie_Estime2!$F$20,PL_Saisie_Estime2!AE$2,PL_Saisie_Estime2!AE$1,PL_Saisie_Estime2!$C395),"")</f>
        <v/>
      </c>
      <c r="AF395" s="204"/>
      <c r="AG395" s="53"/>
      <c r="AH395" s="53"/>
      <c r="AI395" s="53"/>
      <c r="AJ395" s="53"/>
      <c r="AK395" s="53"/>
      <c r="AL395" s="53"/>
      <c r="AM395" s="53"/>
      <c r="AN395" s="53"/>
      <c r="AO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:53" s="9" customFormat="1" ht="24" customHeight="1" x14ac:dyDescent="0.35">
      <c r="A396" s="181"/>
      <c r="B396" s="181"/>
      <c r="C396" s="119"/>
      <c r="E396" s="269"/>
      <c r="F396" s="269"/>
      <c r="G396" s="269"/>
      <c r="H396" s="40"/>
      <c r="I396" s="159"/>
      <c r="J396" s="159"/>
      <c r="K396" s="159"/>
      <c r="L396" s="159"/>
      <c r="M396" s="159"/>
      <c r="N396" s="125"/>
      <c r="O396" s="161"/>
      <c r="P396" s="125"/>
      <c r="Q396" s="124"/>
      <c r="R396" s="161"/>
      <c r="S396" s="125"/>
      <c r="T396" s="202"/>
      <c r="U396" s="202"/>
      <c r="V396" s="202"/>
      <c r="W396" s="202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53"/>
      <c r="AH396" s="53"/>
      <c r="AI396" s="53"/>
      <c r="AJ396" s="53"/>
      <c r="AK396" s="53"/>
      <c r="AL396" s="53"/>
      <c r="AM396" s="53"/>
      <c r="AN396" s="53"/>
      <c r="AO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:53" s="9" customFormat="1" ht="24" customHeight="1" x14ac:dyDescent="0.35">
      <c r="A397" s="181"/>
      <c r="B397" s="181"/>
      <c r="C397" s="117"/>
      <c r="E397" s="270"/>
      <c r="F397" s="270"/>
      <c r="G397" s="270"/>
      <c r="H397" s="40"/>
      <c r="I397" s="130"/>
      <c r="J397" s="130"/>
      <c r="K397" s="130"/>
      <c r="L397" s="130"/>
      <c r="M397" s="130"/>
      <c r="N397" s="126"/>
      <c r="O397" s="126"/>
      <c r="P397" s="126"/>
      <c r="Q397" s="124"/>
      <c r="R397" s="126"/>
      <c r="S397" s="126"/>
      <c r="T397" s="203"/>
      <c r="U397" s="203"/>
      <c r="V397" s="203"/>
      <c r="W397" s="203"/>
      <c r="X397" s="126"/>
      <c r="Y397" s="126"/>
      <c r="Z397" s="126"/>
      <c r="AA397" s="126"/>
      <c r="AB397" s="126"/>
      <c r="AC397" s="126"/>
      <c r="AD397" s="126"/>
      <c r="AE397" s="126"/>
      <c r="AF397" s="126"/>
      <c r="AG397" s="53"/>
      <c r="AH397" s="53"/>
      <c r="AI397" s="53"/>
      <c r="AJ397" s="53"/>
      <c r="AK397" s="53"/>
      <c r="AL397" s="53"/>
      <c r="AM397" s="53"/>
      <c r="AN397" s="53"/>
      <c r="AO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:53" s="9" customFormat="1" ht="24" customHeight="1" x14ac:dyDescent="0.35">
      <c r="A398" s="181"/>
      <c r="B398" s="181"/>
      <c r="C398" s="158"/>
      <c r="E398" s="268"/>
      <c r="F398" s="268"/>
      <c r="G398" s="268"/>
      <c r="H398" s="40"/>
      <c r="I398" s="130"/>
      <c r="J398" s="130"/>
      <c r="K398" s="130"/>
      <c r="L398" s="130"/>
      <c r="M398" s="130"/>
      <c r="N398" s="126"/>
      <c r="O398" s="204"/>
      <c r="P398" s="126"/>
      <c r="Q398" s="124"/>
      <c r="R398" s="192"/>
      <c r="S398" s="126"/>
      <c r="T398" s="200"/>
      <c r="U398" s="200"/>
      <c r="V398" s="200"/>
      <c r="W398" s="200"/>
      <c r="X398" s="200"/>
      <c r="Y398" s="200"/>
      <c r="Z398" s="192" t="str">
        <f ca="1">IF(Flag_Send_Data=1,_xll.DBSW(PL_Saisie_Estime2!Z398,Server&amp;Cube1,PL_Saisie_Estime2!$F$17,PL_Saisie_Estime2!$F$18,PL_Saisie_Estime2!$F$19,PL_Saisie_Estime2!$F$16,PL_Saisie_Estime2!$C$14,PL_Saisie_Estime2!$F$15,PL_Saisie_Estime2!$F$14,PL_Saisie_Estime2!$F$20,PL_Saisie_Estime2!Z$2,PL_Saisie_Estime2!Z$1,PL_Saisie_Estime2!$C398),"")</f>
        <v/>
      </c>
      <c r="AA398" s="192" t="str">
        <f ca="1">IF(Flag_Send_Data=1,_xll.DBSW(PL_Saisie_Estime2!AA398,Server&amp;Cube1,PL_Saisie_Estime2!$F$17,PL_Saisie_Estime2!$F$18,PL_Saisie_Estime2!$F$19,PL_Saisie_Estime2!$F$16,PL_Saisie_Estime2!$C$14,PL_Saisie_Estime2!$F$15,PL_Saisie_Estime2!$F$14,PL_Saisie_Estime2!$F$20,PL_Saisie_Estime2!AA$2,PL_Saisie_Estime2!AA$1,PL_Saisie_Estime2!$C398),"")</f>
        <v/>
      </c>
      <c r="AB398" s="192" t="str">
        <f ca="1">IF(Flag_Send_Data=1,_xll.DBSW(PL_Saisie_Estime2!AB398,Server&amp;Cube1,PL_Saisie_Estime2!$F$17,PL_Saisie_Estime2!$F$18,PL_Saisie_Estime2!$F$19,PL_Saisie_Estime2!$F$16,PL_Saisie_Estime2!$C$14,PL_Saisie_Estime2!$F$15,PL_Saisie_Estime2!$F$14,PL_Saisie_Estime2!$F$20,PL_Saisie_Estime2!AB$2,PL_Saisie_Estime2!AB$1,PL_Saisie_Estime2!$C398),"")</f>
        <v/>
      </c>
      <c r="AC398" s="192" t="str">
        <f ca="1">IF(Flag_Send_Data=1,_xll.DBSW(PL_Saisie_Estime2!AC398,Server&amp;Cube1,PL_Saisie_Estime2!$F$17,PL_Saisie_Estime2!$F$18,PL_Saisie_Estime2!$F$19,PL_Saisie_Estime2!$F$16,PL_Saisie_Estime2!$C$14,PL_Saisie_Estime2!$F$15,PL_Saisie_Estime2!$F$14,PL_Saisie_Estime2!$F$20,PL_Saisie_Estime2!AC$2,PL_Saisie_Estime2!AC$1,PL_Saisie_Estime2!$C398),"")</f>
        <v/>
      </c>
      <c r="AD398" s="192" t="str">
        <f ca="1">IF(Flag_Send_Data=1,_xll.DBSW(PL_Saisie_Estime2!AD398,Server&amp;Cube1,PL_Saisie_Estime2!$F$17,PL_Saisie_Estime2!$F$18,PL_Saisie_Estime2!$F$19,PL_Saisie_Estime2!$F$16,PL_Saisie_Estime2!$C$14,PL_Saisie_Estime2!$F$15,PL_Saisie_Estime2!$F$14,PL_Saisie_Estime2!$F$20,PL_Saisie_Estime2!AD$2,PL_Saisie_Estime2!AD$1,PL_Saisie_Estime2!$C398),"")</f>
        <v/>
      </c>
      <c r="AE398" s="192" t="str">
        <f ca="1">IF(Flag_Send_Data=1,_xll.DBSW(PL_Saisie_Estime2!AE398,Server&amp;Cube1,PL_Saisie_Estime2!$F$17,PL_Saisie_Estime2!$F$18,PL_Saisie_Estime2!$F$19,PL_Saisie_Estime2!$F$16,PL_Saisie_Estime2!$C$14,PL_Saisie_Estime2!$F$15,PL_Saisie_Estime2!$F$14,PL_Saisie_Estime2!$F$20,PL_Saisie_Estime2!AE$2,PL_Saisie_Estime2!AE$1,PL_Saisie_Estime2!$C398),"")</f>
        <v/>
      </c>
      <c r="AF398" s="204"/>
      <c r="AG398" s="53"/>
      <c r="AH398" s="53"/>
      <c r="AI398" s="53"/>
      <c r="AJ398" s="53"/>
      <c r="AK398" s="53"/>
      <c r="AL398" s="53"/>
      <c r="AM398" s="53"/>
      <c r="AN398" s="53"/>
      <c r="AO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:53" s="9" customFormat="1" ht="24" customHeight="1" x14ac:dyDescent="0.35">
      <c r="A399" s="181"/>
      <c r="B399" s="181"/>
      <c r="C399" s="117"/>
      <c r="E399" s="270"/>
      <c r="F399" s="270"/>
      <c r="G399" s="270"/>
      <c r="H399" s="40"/>
      <c r="I399" s="130"/>
      <c r="J399" s="130"/>
      <c r="K399" s="130"/>
      <c r="L399" s="130"/>
      <c r="M399" s="130"/>
      <c r="N399" s="126"/>
      <c r="O399" s="126"/>
      <c r="P399" s="126"/>
      <c r="Q399" s="124"/>
      <c r="R399" s="126"/>
      <c r="S399" s="126"/>
      <c r="T399" s="203"/>
      <c r="U399" s="203"/>
      <c r="V399" s="203"/>
      <c r="W399" s="203"/>
      <c r="X399" s="126"/>
      <c r="Y399" s="126"/>
      <c r="Z399" s="126"/>
      <c r="AA399" s="126"/>
      <c r="AB399" s="126"/>
      <c r="AC399" s="126"/>
      <c r="AD399" s="126"/>
      <c r="AE399" s="126"/>
      <c r="AF399" s="126"/>
      <c r="AG399" s="53"/>
      <c r="AH399" s="53"/>
      <c r="AI399" s="53"/>
      <c r="AJ399" s="53"/>
      <c r="AK399" s="53"/>
      <c r="AL399" s="53"/>
      <c r="AM399" s="53"/>
      <c r="AN399" s="53"/>
      <c r="AO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:53" s="9" customFormat="1" ht="24" customHeight="1" x14ac:dyDescent="0.35">
      <c r="A400" s="181"/>
      <c r="B400" s="181"/>
      <c r="C400" s="158"/>
      <c r="E400" s="268"/>
      <c r="F400" s="268"/>
      <c r="G400" s="268"/>
      <c r="H400" s="40"/>
      <c r="I400" s="130"/>
      <c r="J400" s="130"/>
      <c r="K400" s="130"/>
      <c r="L400" s="130"/>
      <c r="M400" s="130"/>
      <c r="N400" s="126"/>
      <c r="O400" s="204"/>
      <c r="P400" s="126"/>
      <c r="Q400" s="124"/>
      <c r="R400" s="192"/>
      <c r="S400" s="126"/>
      <c r="T400" s="200"/>
      <c r="U400" s="200"/>
      <c r="V400" s="200"/>
      <c r="W400" s="200"/>
      <c r="X400" s="200"/>
      <c r="Y400" s="200"/>
      <c r="Z400" s="192" t="str">
        <f ca="1">IF(Flag_Send_Data=1,_xll.DBSW(PL_Saisie_Estime2!Z400,Server&amp;Cube1,PL_Saisie_Estime2!$F$17,PL_Saisie_Estime2!$F$18,PL_Saisie_Estime2!$F$19,PL_Saisie_Estime2!$F$16,PL_Saisie_Estime2!$C$14,PL_Saisie_Estime2!$F$15,PL_Saisie_Estime2!$F$14,PL_Saisie_Estime2!$F$20,PL_Saisie_Estime2!Z$2,PL_Saisie_Estime2!Z$1,PL_Saisie_Estime2!$C400),"")</f>
        <v/>
      </c>
      <c r="AA400" s="192" t="str">
        <f ca="1">IF(Flag_Send_Data=1,_xll.DBSW(PL_Saisie_Estime2!AA400,Server&amp;Cube1,PL_Saisie_Estime2!$F$17,PL_Saisie_Estime2!$F$18,PL_Saisie_Estime2!$F$19,PL_Saisie_Estime2!$F$16,PL_Saisie_Estime2!$C$14,PL_Saisie_Estime2!$F$15,PL_Saisie_Estime2!$F$14,PL_Saisie_Estime2!$F$20,PL_Saisie_Estime2!AA$2,PL_Saisie_Estime2!AA$1,PL_Saisie_Estime2!$C400),"")</f>
        <v/>
      </c>
      <c r="AB400" s="192" t="str">
        <f ca="1">IF(Flag_Send_Data=1,_xll.DBSW(PL_Saisie_Estime2!AB400,Server&amp;Cube1,PL_Saisie_Estime2!$F$17,PL_Saisie_Estime2!$F$18,PL_Saisie_Estime2!$F$19,PL_Saisie_Estime2!$F$16,PL_Saisie_Estime2!$C$14,PL_Saisie_Estime2!$F$15,PL_Saisie_Estime2!$F$14,PL_Saisie_Estime2!$F$20,PL_Saisie_Estime2!AB$2,PL_Saisie_Estime2!AB$1,PL_Saisie_Estime2!$C400),"")</f>
        <v/>
      </c>
      <c r="AC400" s="192" t="str">
        <f ca="1">IF(Flag_Send_Data=1,_xll.DBSW(PL_Saisie_Estime2!AC400,Server&amp;Cube1,PL_Saisie_Estime2!$F$17,PL_Saisie_Estime2!$F$18,PL_Saisie_Estime2!$F$19,PL_Saisie_Estime2!$F$16,PL_Saisie_Estime2!$C$14,PL_Saisie_Estime2!$F$15,PL_Saisie_Estime2!$F$14,PL_Saisie_Estime2!$F$20,PL_Saisie_Estime2!AC$2,PL_Saisie_Estime2!AC$1,PL_Saisie_Estime2!$C400),"")</f>
        <v/>
      </c>
      <c r="AD400" s="192" t="str">
        <f ca="1">IF(Flag_Send_Data=1,_xll.DBSW(PL_Saisie_Estime2!AD400,Server&amp;Cube1,PL_Saisie_Estime2!$F$17,PL_Saisie_Estime2!$F$18,PL_Saisie_Estime2!$F$19,PL_Saisie_Estime2!$F$16,PL_Saisie_Estime2!$C$14,PL_Saisie_Estime2!$F$15,PL_Saisie_Estime2!$F$14,PL_Saisie_Estime2!$F$20,PL_Saisie_Estime2!AD$2,PL_Saisie_Estime2!AD$1,PL_Saisie_Estime2!$C400),"")</f>
        <v/>
      </c>
      <c r="AE400" s="192" t="str">
        <f ca="1">IF(Flag_Send_Data=1,_xll.DBSW(PL_Saisie_Estime2!AE400,Server&amp;Cube1,PL_Saisie_Estime2!$F$17,PL_Saisie_Estime2!$F$18,PL_Saisie_Estime2!$F$19,PL_Saisie_Estime2!$F$16,PL_Saisie_Estime2!$C$14,PL_Saisie_Estime2!$F$15,PL_Saisie_Estime2!$F$14,PL_Saisie_Estime2!$F$20,PL_Saisie_Estime2!AE$2,PL_Saisie_Estime2!AE$1,PL_Saisie_Estime2!$C400),"")</f>
        <v/>
      </c>
      <c r="AF400" s="204"/>
      <c r="AG400" s="53"/>
      <c r="AH400" s="53"/>
      <c r="AI400" s="53"/>
      <c r="AJ400" s="53"/>
      <c r="AK400" s="53"/>
      <c r="AL400" s="53"/>
      <c r="AM400" s="53"/>
      <c r="AN400" s="53"/>
      <c r="AO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:53" s="9" customFormat="1" ht="24" customHeight="1" x14ac:dyDescent="0.35">
      <c r="A401" s="181"/>
      <c r="B401" s="181"/>
      <c r="C401" s="158"/>
      <c r="E401" s="268"/>
      <c r="F401" s="268"/>
      <c r="G401" s="268"/>
      <c r="H401" s="40"/>
      <c r="I401" s="130"/>
      <c r="J401" s="130"/>
      <c r="K401" s="130"/>
      <c r="L401" s="130"/>
      <c r="M401" s="130"/>
      <c r="N401" s="126"/>
      <c r="O401" s="204"/>
      <c r="P401" s="126"/>
      <c r="Q401" s="124"/>
      <c r="R401" s="192"/>
      <c r="S401" s="126"/>
      <c r="T401" s="200"/>
      <c r="U401" s="200"/>
      <c r="V401" s="200"/>
      <c r="W401" s="200"/>
      <c r="X401" s="200"/>
      <c r="Y401" s="200"/>
      <c r="Z401" s="192" t="str">
        <f ca="1">IF(Flag_Send_Data=1,_xll.DBSW(PL_Saisie_Estime2!Z401,Server&amp;Cube1,PL_Saisie_Estime2!$F$17,PL_Saisie_Estime2!$F$18,PL_Saisie_Estime2!$F$19,PL_Saisie_Estime2!$F$16,PL_Saisie_Estime2!$C$14,PL_Saisie_Estime2!$F$15,PL_Saisie_Estime2!$F$14,PL_Saisie_Estime2!$F$20,PL_Saisie_Estime2!Z$2,PL_Saisie_Estime2!Z$1,PL_Saisie_Estime2!$C401),"")</f>
        <v/>
      </c>
      <c r="AA401" s="192" t="str">
        <f ca="1">IF(Flag_Send_Data=1,_xll.DBSW(PL_Saisie_Estime2!AA401,Server&amp;Cube1,PL_Saisie_Estime2!$F$17,PL_Saisie_Estime2!$F$18,PL_Saisie_Estime2!$F$19,PL_Saisie_Estime2!$F$16,PL_Saisie_Estime2!$C$14,PL_Saisie_Estime2!$F$15,PL_Saisie_Estime2!$F$14,PL_Saisie_Estime2!$F$20,PL_Saisie_Estime2!AA$2,PL_Saisie_Estime2!AA$1,PL_Saisie_Estime2!$C401),"")</f>
        <v/>
      </c>
      <c r="AB401" s="192" t="str">
        <f ca="1">IF(Flag_Send_Data=1,_xll.DBSW(PL_Saisie_Estime2!AB401,Server&amp;Cube1,PL_Saisie_Estime2!$F$17,PL_Saisie_Estime2!$F$18,PL_Saisie_Estime2!$F$19,PL_Saisie_Estime2!$F$16,PL_Saisie_Estime2!$C$14,PL_Saisie_Estime2!$F$15,PL_Saisie_Estime2!$F$14,PL_Saisie_Estime2!$F$20,PL_Saisie_Estime2!AB$2,PL_Saisie_Estime2!AB$1,PL_Saisie_Estime2!$C401),"")</f>
        <v/>
      </c>
      <c r="AC401" s="192" t="str">
        <f ca="1">IF(Flag_Send_Data=1,_xll.DBSW(PL_Saisie_Estime2!AC401,Server&amp;Cube1,PL_Saisie_Estime2!$F$17,PL_Saisie_Estime2!$F$18,PL_Saisie_Estime2!$F$19,PL_Saisie_Estime2!$F$16,PL_Saisie_Estime2!$C$14,PL_Saisie_Estime2!$F$15,PL_Saisie_Estime2!$F$14,PL_Saisie_Estime2!$F$20,PL_Saisie_Estime2!AC$2,PL_Saisie_Estime2!AC$1,PL_Saisie_Estime2!$C401),"")</f>
        <v/>
      </c>
      <c r="AD401" s="192" t="str">
        <f ca="1">IF(Flag_Send_Data=1,_xll.DBSW(PL_Saisie_Estime2!AD401,Server&amp;Cube1,PL_Saisie_Estime2!$F$17,PL_Saisie_Estime2!$F$18,PL_Saisie_Estime2!$F$19,PL_Saisie_Estime2!$F$16,PL_Saisie_Estime2!$C$14,PL_Saisie_Estime2!$F$15,PL_Saisie_Estime2!$F$14,PL_Saisie_Estime2!$F$20,PL_Saisie_Estime2!AD$2,PL_Saisie_Estime2!AD$1,PL_Saisie_Estime2!$C401),"")</f>
        <v/>
      </c>
      <c r="AE401" s="192" t="str">
        <f ca="1">IF(Flag_Send_Data=1,_xll.DBSW(PL_Saisie_Estime2!AE401,Server&amp;Cube1,PL_Saisie_Estime2!$F$17,PL_Saisie_Estime2!$F$18,PL_Saisie_Estime2!$F$19,PL_Saisie_Estime2!$F$16,PL_Saisie_Estime2!$C$14,PL_Saisie_Estime2!$F$15,PL_Saisie_Estime2!$F$14,PL_Saisie_Estime2!$F$20,PL_Saisie_Estime2!AE$2,PL_Saisie_Estime2!AE$1,PL_Saisie_Estime2!$C401),"")</f>
        <v/>
      </c>
      <c r="AF401" s="204"/>
      <c r="AG401" s="53"/>
      <c r="AH401" s="53"/>
      <c r="AI401" s="53"/>
      <c r="AJ401" s="53"/>
      <c r="AK401" s="53"/>
      <c r="AL401" s="53"/>
      <c r="AM401" s="53"/>
      <c r="AN401" s="53"/>
      <c r="AO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</row>
    <row r="402" spans="1:53" s="9" customFormat="1" ht="24" customHeight="1" x14ac:dyDescent="0.35">
      <c r="A402" s="181"/>
      <c r="B402" s="181"/>
      <c r="C402" s="158"/>
      <c r="E402" s="268"/>
      <c r="F402" s="268"/>
      <c r="G402" s="268"/>
      <c r="H402" s="40"/>
      <c r="I402" s="130"/>
      <c r="J402" s="130"/>
      <c r="K402" s="130"/>
      <c r="L402" s="130"/>
      <c r="M402" s="130"/>
      <c r="N402" s="126"/>
      <c r="O402" s="204"/>
      <c r="P402" s="126"/>
      <c r="Q402" s="124"/>
      <c r="R402" s="192"/>
      <c r="S402" s="126"/>
      <c r="T402" s="200"/>
      <c r="U402" s="200"/>
      <c r="V402" s="200"/>
      <c r="W402" s="200"/>
      <c r="X402" s="200"/>
      <c r="Y402" s="200"/>
      <c r="Z402" s="192" t="str">
        <f ca="1">IF(Flag_Send_Data=1,_xll.DBSW(PL_Saisie_Estime2!Z402,Server&amp;Cube1,PL_Saisie_Estime2!$F$17,PL_Saisie_Estime2!$F$18,PL_Saisie_Estime2!$F$19,PL_Saisie_Estime2!$F$16,PL_Saisie_Estime2!$C$14,PL_Saisie_Estime2!$F$15,PL_Saisie_Estime2!$F$14,PL_Saisie_Estime2!$F$20,PL_Saisie_Estime2!Z$2,PL_Saisie_Estime2!Z$1,PL_Saisie_Estime2!$C402),"")</f>
        <v/>
      </c>
      <c r="AA402" s="192" t="str">
        <f ca="1">IF(Flag_Send_Data=1,_xll.DBSW(PL_Saisie_Estime2!AA402,Server&amp;Cube1,PL_Saisie_Estime2!$F$17,PL_Saisie_Estime2!$F$18,PL_Saisie_Estime2!$F$19,PL_Saisie_Estime2!$F$16,PL_Saisie_Estime2!$C$14,PL_Saisie_Estime2!$F$15,PL_Saisie_Estime2!$F$14,PL_Saisie_Estime2!$F$20,PL_Saisie_Estime2!AA$2,PL_Saisie_Estime2!AA$1,PL_Saisie_Estime2!$C402),"")</f>
        <v/>
      </c>
      <c r="AB402" s="192" t="str">
        <f ca="1">IF(Flag_Send_Data=1,_xll.DBSW(PL_Saisie_Estime2!AB402,Server&amp;Cube1,PL_Saisie_Estime2!$F$17,PL_Saisie_Estime2!$F$18,PL_Saisie_Estime2!$F$19,PL_Saisie_Estime2!$F$16,PL_Saisie_Estime2!$C$14,PL_Saisie_Estime2!$F$15,PL_Saisie_Estime2!$F$14,PL_Saisie_Estime2!$F$20,PL_Saisie_Estime2!AB$2,PL_Saisie_Estime2!AB$1,PL_Saisie_Estime2!$C402),"")</f>
        <v/>
      </c>
      <c r="AC402" s="192" t="str">
        <f ca="1">IF(Flag_Send_Data=1,_xll.DBSW(PL_Saisie_Estime2!AC402,Server&amp;Cube1,PL_Saisie_Estime2!$F$17,PL_Saisie_Estime2!$F$18,PL_Saisie_Estime2!$F$19,PL_Saisie_Estime2!$F$16,PL_Saisie_Estime2!$C$14,PL_Saisie_Estime2!$F$15,PL_Saisie_Estime2!$F$14,PL_Saisie_Estime2!$F$20,PL_Saisie_Estime2!AC$2,PL_Saisie_Estime2!AC$1,PL_Saisie_Estime2!$C402),"")</f>
        <v/>
      </c>
      <c r="AD402" s="192" t="str">
        <f ca="1">IF(Flag_Send_Data=1,_xll.DBSW(PL_Saisie_Estime2!AD402,Server&amp;Cube1,PL_Saisie_Estime2!$F$17,PL_Saisie_Estime2!$F$18,PL_Saisie_Estime2!$F$19,PL_Saisie_Estime2!$F$16,PL_Saisie_Estime2!$C$14,PL_Saisie_Estime2!$F$15,PL_Saisie_Estime2!$F$14,PL_Saisie_Estime2!$F$20,PL_Saisie_Estime2!AD$2,PL_Saisie_Estime2!AD$1,PL_Saisie_Estime2!$C402),"")</f>
        <v/>
      </c>
      <c r="AE402" s="192" t="str">
        <f ca="1">IF(Flag_Send_Data=1,_xll.DBSW(PL_Saisie_Estime2!AE402,Server&amp;Cube1,PL_Saisie_Estime2!$F$17,PL_Saisie_Estime2!$F$18,PL_Saisie_Estime2!$F$19,PL_Saisie_Estime2!$F$16,PL_Saisie_Estime2!$C$14,PL_Saisie_Estime2!$F$15,PL_Saisie_Estime2!$F$14,PL_Saisie_Estime2!$F$20,PL_Saisie_Estime2!AE$2,PL_Saisie_Estime2!AE$1,PL_Saisie_Estime2!$C402),"")</f>
        <v/>
      </c>
      <c r="AF402" s="204"/>
      <c r="AG402" s="53"/>
      <c r="AH402" s="53"/>
      <c r="AI402" s="53"/>
      <c r="AJ402" s="53"/>
      <c r="AK402" s="53"/>
      <c r="AL402" s="53"/>
      <c r="AM402" s="53"/>
      <c r="AN402" s="53"/>
      <c r="AO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</row>
    <row r="403" spans="1:53" s="9" customFormat="1" ht="24" customHeight="1" x14ac:dyDescent="0.35">
      <c r="A403" s="181"/>
      <c r="B403" s="181"/>
      <c r="C403" s="158"/>
      <c r="E403" s="268"/>
      <c r="F403" s="268"/>
      <c r="G403" s="268"/>
      <c r="H403" s="40"/>
      <c r="I403" s="130"/>
      <c r="J403" s="130"/>
      <c r="K403" s="130"/>
      <c r="L403" s="130"/>
      <c r="M403" s="130"/>
      <c r="N403" s="126"/>
      <c r="O403" s="204"/>
      <c r="P403" s="126"/>
      <c r="Q403" s="124"/>
      <c r="R403" s="192"/>
      <c r="S403" s="126"/>
      <c r="T403" s="200"/>
      <c r="U403" s="200"/>
      <c r="V403" s="200"/>
      <c r="W403" s="200"/>
      <c r="X403" s="200"/>
      <c r="Y403" s="200"/>
      <c r="Z403" s="192" t="str">
        <f ca="1">IF(Flag_Send_Data=1,_xll.DBSW(PL_Saisie_Estime2!Z403,Server&amp;Cube1,PL_Saisie_Estime2!$F$17,PL_Saisie_Estime2!$F$18,PL_Saisie_Estime2!$F$19,PL_Saisie_Estime2!$F$16,PL_Saisie_Estime2!$C$14,PL_Saisie_Estime2!$F$15,PL_Saisie_Estime2!$F$14,PL_Saisie_Estime2!$F$20,PL_Saisie_Estime2!Z$2,PL_Saisie_Estime2!Z$1,PL_Saisie_Estime2!$C403),"")</f>
        <v/>
      </c>
      <c r="AA403" s="192" t="str">
        <f ca="1">IF(Flag_Send_Data=1,_xll.DBSW(PL_Saisie_Estime2!AA403,Server&amp;Cube1,PL_Saisie_Estime2!$F$17,PL_Saisie_Estime2!$F$18,PL_Saisie_Estime2!$F$19,PL_Saisie_Estime2!$F$16,PL_Saisie_Estime2!$C$14,PL_Saisie_Estime2!$F$15,PL_Saisie_Estime2!$F$14,PL_Saisie_Estime2!$F$20,PL_Saisie_Estime2!AA$2,PL_Saisie_Estime2!AA$1,PL_Saisie_Estime2!$C403),"")</f>
        <v/>
      </c>
      <c r="AB403" s="192" t="str">
        <f ca="1">IF(Flag_Send_Data=1,_xll.DBSW(PL_Saisie_Estime2!AB403,Server&amp;Cube1,PL_Saisie_Estime2!$F$17,PL_Saisie_Estime2!$F$18,PL_Saisie_Estime2!$F$19,PL_Saisie_Estime2!$F$16,PL_Saisie_Estime2!$C$14,PL_Saisie_Estime2!$F$15,PL_Saisie_Estime2!$F$14,PL_Saisie_Estime2!$F$20,PL_Saisie_Estime2!AB$2,PL_Saisie_Estime2!AB$1,PL_Saisie_Estime2!$C403),"")</f>
        <v/>
      </c>
      <c r="AC403" s="192" t="str">
        <f ca="1">IF(Flag_Send_Data=1,_xll.DBSW(PL_Saisie_Estime2!AC403,Server&amp;Cube1,PL_Saisie_Estime2!$F$17,PL_Saisie_Estime2!$F$18,PL_Saisie_Estime2!$F$19,PL_Saisie_Estime2!$F$16,PL_Saisie_Estime2!$C$14,PL_Saisie_Estime2!$F$15,PL_Saisie_Estime2!$F$14,PL_Saisie_Estime2!$F$20,PL_Saisie_Estime2!AC$2,PL_Saisie_Estime2!AC$1,PL_Saisie_Estime2!$C403),"")</f>
        <v/>
      </c>
      <c r="AD403" s="192" t="str">
        <f ca="1">IF(Flag_Send_Data=1,_xll.DBSW(PL_Saisie_Estime2!AD403,Server&amp;Cube1,PL_Saisie_Estime2!$F$17,PL_Saisie_Estime2!$F$18,PL_Saisie_Estime2!$F$19,PL_Saisie_Estime2!$F$16,PL_Saisie_Estime2!$C$14,PL_Saisie_Estime2!$F$15,PL_Saisie_Estime2!$F$14,PL_Saisie_Estime2!$F$20,PL_Saisie_Estime2!AD$2,PL_Saisie_Estime2!AD$1,PL_Saisie_Estime2!$C403),"")</f>
        <v/>
      </c>
      <c r="AE403" s="192" t="str">
        <f ca="1">IF(Flag_Send_Data=1,_xll.DBSW(PL_Saisie_Estime2!AE403,Server&amp;Cube1,PL_Saisie_Estime2!$F$17,PL_Saisie_Estime2!$F$18,PL_Saisie_Estime2!$F$19,PL_Saisie_Estime2!$F$16,PL_Saisie_Estime2!$C$14,PL_Saisie_Estime2!$F$15,PL_Saisie_Estime2!$F$14,PL_Saisie_Estime2!$F$20,PL_Saisie_Estime2!AE$2,PL_Saisie_Estime2!AE$1,PL_Saisie_Estime2!$C403),"")</f>
        <v/>
      </c>
      <c r="AF403" s="204"/>
      <c r="AG403" s="53"/>
      <c r="AH403" s="53"/>
      <c r="AI403" s="53"/>
      <c r="AJ403" s="53"/>
      <c r="AK403" s="53"/>
      <c r="AL403" s="53"/>
      <c r="AM403" s="53"/>
      <c r="AN403" s="53"/>
      <c r="AO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</row>
    <row r="404" spans="1:53" s="9" customFormat="1" ht="24" customHeight="1" x14ac:dyDescent="0.35">
      <c r="A404" s="181"/>
      <c r="B404" s="181"/>
      <c r="C404" s="158"/>
      <c r="E404" s="268"/>
      <c r="F404" s="268"/>
      <c r="G404" s="268"/>
      <c r="H404" s="40"/>
      <c r="I404" s="130"/>
      <c r="J404" s="130"/>
      <c r="K404" s="130"/>
      <c r="L404" s="130"/>
      <c r="M404" s="130"/>
      <c r="N404" s="126"/>
      <c r="O404" s="204"/>
      <c r="P404" s="126"/>
      <c r="Q404" s="124"/>
      <c r="R404" s="192"/>
      <c r="S404" s="126"/>
      <c r="T404" s="200"/>
      <c r="U404" s="200"/>
      <c r="V404" s="200"/>
      <c r="W404" s="200"/>
      <c r="X404" s="200"/>
      <c r="Y404" s="200"/>
      <c r="Z404" s="192" t="str">
        <f ca="1">IF(Flag_Send_Data=1,_xll.DBSW(PL_Saisie_Estime2!Z404,Server&amp;Cube1,PL_Saisie_Estime2!$F$17,PL_Saisie_Estime2!$F$18,PL_Saisie_Estime2!$F$19,PL_Saisie_Estime2!$F$16,PL_Saisie_Estime2!$C$14,PL_Saisie_Estime2!$F$15,PL_Saisie_Estime2!$F$14,PL_Saisie_Estime2!$F$20,PL_Saisie_Estime2!Z$2,PL_Saisie_Estime2!Z$1,PL_Saisie_Estime2!$C404),"")</f>
        <v/>
      </c>
      <c r="AA404" s="192" t="str">
        <f ca="1">IF(Flag_Send_Data=1,_xll.DBSW(PL_Saisie_Estime2!AA404,Server&amp;Cube1,PL_Saisie_Estime2!$F$17,PL_Saisie_Estime2!$F$18,PL_Saisie_Estime2!$F$19,PL_Saisie_Estime2!$F$16,PL_Saisie_Estime2!$C$14,PL_Saisie_Estime2!$F$15,PL_Saisie_Estime2!$F$14,PL_Saisie_Estime2!$F$20,PL_Saisie_Estime2!AA$2,PL_Saisie_Estime2!AA$1,PL_Saisie_Estime2!$C404),"")</f>
        <v/>
      </c>
      <c r="AB404" s="192" t="str">
        <f ca="1">IF(Flag_Send_Data=1,_xll.DBSW(PL_Saisie_Estime2!AB404,Server&amp;Cube1,PL_Saisie_Estime2!$F$17,PL_Saisie_Estime2!$F$18,PL_Saisie_Estime2!$F$19,PL_Saisie_Estime2!$F$16,PL_Saisie_Estime2!$C$14,PL_Saisie_Estime2!$F$15,PL_Saisie_Estime2!$F$14,PL_Saisie_Estime2!$F$20,PL_Saisie_Estime2!AB$2,PL_Saisie_Estime2!AB$1,PL_Saisie_Estime2!$C404),"")</f>
        <v/>
      </c>
      <c r="AC404" s="192" t="str">
        <f ca="1">IF(Flag_Send_Data=1,_xll.DBSW(PL_Saisie_Estime2!AC404,Server&amp;Cube1,PL_Saisie_Estime2!$F$17,PL_Saisie_Estime2!$F$18,PL_Saisie_Estime2!$F$19,PL_Saisie_Estime2!$F$16,PL_Saisie_Estime2!$C$14,PL_Saisie_Estime2!$F$15,PL_Saisie_Estime2!$F$14,PL_Saisie_Estime2!$F$20,PL_Saisie_Estime2!AC$2,PL_Saisie_Estime2!AC$1,PL_Saisie_Estime2!$C404),"")</f>
        <v/>
      </c>
      <c r="AD404" s="192" t="str">
        <f ca="1">IF(Flag_Send_Data=1,_xll.DBSW(PL_Saisie_Estime2!AD404,Server&amp;Cube1,PL_Saisie_Estime2!$F$17,PL_Saisie_Estime2!$F$18,PL_Saisie_Estime2!$F$19,PL_Saisie_Estime2!$F$16,PL_Saisie_Estime2!$C$14,PL_Saisie_Estime2!$F$15,PL_Saisie_Estime2!$F$14,PL_Saisie_Estime2!$F$20,PL_Saisie_Estime2!AD$2,PL_Saisie_Estime2!AD$1,PL_Saisie_Estime2!$C404),"")</f>
        <v/>
      </c>
      <c r="AE404" s="192" t="str">
        <f ca="1">IF(Flag_Send_Data=1,_xll.DBSW(PL_Saisie_Estime2!AE404,Server&amp;Cube1,PL_Saisie_Estime2!$F$17,PL_Saisie_Estime2!$F$18,PL_Saisie_Estime2!$F$19,PL_Saisie_Estime2!$F$16,PL_Saisie_Estime2!$C$14,PL_Saisie_Estime2!$F$15,PL_Saisie_Estime2!$F$14,PL_Saisie_Estime2!$F$20,PL_Saisie_Estime2!AE$2,PL_Saisie_Estime2!AE$1,PL_Saisie_Estime2!$C404),"")</f>
        <v/>
      </c>
      <c r="AF404" s="204"/>
      <c r="AG404" s="53"/>
      <c r="AH404" s="53"/>
      <c r="AI404" s="53"/>
      <c r="AJ404" s="53"/>
      <c r="AK404" s="53"/>
      <c r="AL404" s="53"/>
      <c r="AM404" s="53"/>
      <c r="AN404" s="53"/>
      <c r="AO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</row>
    <row r="405" spans="1:53" s="9" customFormat="1" ht="24" customHeight="1" x14ac:dyDescent="0.35">
      <c r="A405" s="181"/>
      <c r="B405" s="181"/>
      <c r="C405" s="158"/>
      <c r="E405" s="268"/>
      <c r="F405" s="268"/>
      <c r="G405" s="268"/>
      <c r="H405" s="40"/>
      <c r="I405" s="130"/>
      <c r="J405" s="130"/>
      <c r="K405" s="130"/>
      <c r="L405" s="130"/>
      <c r="M405" s="130"/>
      <c r="N405" s="126"/>
      <c r="O405" s="204"/>
      <c r="P405" s="126"/>
      <c r="Q405" s="124"/>
      <c r="R405" s="192"/>
      <c r="S405" s="126"/>
      <c r="T405" s="200"/>
      <c r="U405" s="200"/>
      <c r="V405" s="200"/>
      <c r="W405" s="200"/>
      <c r="X405" s="200"/>
      <c r="Y405" s="200"/>
      <c r="Z405" s="192" t="str">
        <f ca="1">IF(Flag_Send_Data=1,_xll.DBSW(PL_Saisie_Estime2!Z405,Server&amp;Cube1,PL_Saisie_Estime2!$F$17,PL_Saisie_Estime2!$F$18,PL_Saisie_Estime2!$F$19,PL_Saisie_Estime2!$F$16,PL_Saisie_Estime2!$C$14,PL_Saisie_Estime2!$F$15,PL_Saisie_Estime2!$F$14,PL_Saisie_Estime2!$F$20,PL_Saisie_Estime2!Z$2,PL_Saisie_Estime2!Z$1,PL_Saisie_Estime2!$C405),"")</f>
        <v/>
      </c>
      <c r="AA405" s="192" t="str">
        <f ca="1">IF(Flag_Send_Data=1,_xll.DBSW(PL_Saisie_Estime2!AA405,Server&amp;Cube1,PL_Saisie_Estime2!$F$17,PL_Saisie_Estime2!$F$18,PL_Saisie_Estime2!$F$19,PL_Saisie_Estime2!$F$16,PL_Saisie_Estime2!$C$14,PL_Saisie_Estime2!$F$15,PL_Saisie_Estime2!$F$14,PL_Saisie_Estime2!$F$20,PL_Saisie_Estime2!AA$2,PL_Saisie_Estime2!AA$1,PL_Saisie_Estime2!$C405),"")</f>
        <v/>
      </c>
      <c r="AB405" s="192" t="str">
        <f ca="1">IF(Flag_Send_Data=1,_xll.DBSW(PL_Saisie_Estime2!AB405,Server&amp;Cube1,PL_Saisie_Estime2!$F$17,PL_Saisie_Estime2!$F$18,PL_Saisie_Estime2!$F$19,PL_Saisie_Estime2!$F$16,PL_Saisie_Estime2!$C$14,PL_Saisie_Estime2!$F$15,PL_Saisie_Estime2!$F$14,PL_Saisie_Estime2!$F$20,PL_Saisie_Estime2!AB$2,PL_Saisie_Estime2!AB$1,PL_Saisie_Estime2!$C405),"")</f>
        <v/>
      </c>
      <c r="AC405" s="192" t="str">
        <f ca="1">IF(Flag_Send_Data=1,_xll.DBSW(PL_Saisie_Estime2!AC405,Server&amp;Cube1,PL_Saisie_Estime2!$F$17,PL_Saisie_Estime2!$F$18,PL_Saisie_Estime2!$F$19,PL_Saisie_Estime2!$F$16,PL_Saisie_Estime2!$C$14,PL_Saisie_Estime2!$F$15,PL_Saisie_Estime2!$F$14,PL_Saisie_Estime2!$F$20,PL_Saisie_Estime2!AC$2,PL_Saisie_Estime2!AC$1,PL_Saisie_Estime2!$C405),"")</f>
        <v/>
      </c>
      <c r="AD405" s="192" t="str">
        <f ca="1">IF(Flag_Send_Data=1,_xll.DBSW(PL_Saisie_Estime2!AD405,Server&amp;Cube1,PL_Saisie_Estime2!$F$17,PL_Saisie_Estime2!$F$18,PL_Saisie_Estime2!$F$19,PL_Saisie_Estime2!$F$16,PL_Saisie_Estime2!$C$14,PL_Saisie_Estime2!$F$15,PL_Saisie_Estime2!$F$14,PL_Saisie_Estime2!$F$20,PL_Saisie_Estime2!AD$2,PL_Saisie_Estime2!AD$1,PL_Saisie_Estime2!$C405),"")</f>
        <v/>
      </c>
      <c r="AE405" s="192" t="str">
        <f ca="1">IF(Flag_Send_Data=1,_xll.DBSW(PL_Saisie_Estime2!AE405,Server&amp;Cube1,PL_Saisie_Estime2!$F$17,PL_Saisie_Estime2!$F$18,PL_Saisie_Estime2!$F$19,PL_Saisie_Estime2!$F$16,PL_Saisie_Estime2!$C$14,PL_Saisie_Estime2!$F$15,PL_Saisie_Estime2!$F$14,PL_Saisie_Estime2!$F$20,PL_Saisie_Estime2!AE$2,PL_Saisie_Estime2!AE$1,PL_Saisie_Estime2!$C405),"")</f>
        <v/>
      </c>
      <c r="AF405" s="204"/>
      <c r="AG405" s="53"/>
      <c r="AH405" s="53"/>
      <c r="AI405" s="53"/>
      <c r="AJ405" s="53"/>
      <c r="AK405" s="53"/>
      <c r="AL405" s="53"/>
      <c r="AM405" s="53"/>
      <c r="AN405" s="53"/>
      <c r="AO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</row>
    <row r="406" spans="1:53" s="9" customFormat="1" ht="24" customHeight="1" x14ac:dyDescent="0.35">
      <c r="A406" s="181"/>
      <c r="B406" s="181"/>
      <c r="C406" s="119"/>
      <c r="E406" s="269"/>
      <c r="F406" s="269"/>
      <c r="G406" s="269"/>
      <c r="H406" s="40"/>
      <c r="I406" s="159"/>
      <c r="J406" s="159"/>
      <c r="K406" s="159"/>
      <c r="L406" s="159"/>
      <c r="M406" s="159"/>
      <c r="N406" s="125"/>
      <c r="O406" s="161"/>
      <c r="P406" s="125"/>
      <c r="Q406" s="124"/>
      <c r="R406" s="161"/>
      <c r="S406" s="125"/>
      <c r="T406" s="202"/>
      <c r="U406" s="202"/>
      <c r="V406" s="202"/>
      <c r="W406" s="202"/>
      <c r="X406" s="202"/>
      <c r="Y406" s="202"/>
      <c r="Z406" s="161"/>
      <c r="AA406" s="161"/>
      <c r="AB406" s="161"/>
      <c r="AC406" s="161"/>
      <c r="AD406" s="161"/>
      <c r="AE406" s="161"/>
      <c r="AF406" s="161"/>
      <c r="AG406" s="53"/>
      <c r="AH406" s="53"/>
      <c r="AI406" s="53"/>
      <c r="AJ406" s="53"/>
      <c r="AK406" s="53"/>
      <c r="AL406" s="53"/>
      <c r="AM406" s="53"/>
      <c r="AN406" s="53"/>
      <c r="AO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</row>
    <row r="407" spans="1:53" s="9" customFormat="1" ht="24" customHeight="1" x14ac:dyDescent="0.35">
      <c r="A407" s="181"/>
      <c r="B407" s="181"/>
      <c r="C407" s="158"/>
      <c r="E407" s="270"/>
      <c r="F407" s="270"/>
      <c r="G407" s="270"/>
      <c r="H407" s="40"/>
      <c r="I407" s="130"/>
      <c r="J407" s="130"/>
      <c r="K407" s="130"/>
      <c r="L407" s="130"/>
      <c r="M407" s="130"/>
      <c r="N407" s="126"/>
      <c r="O407" s="204"/>
      <c r="P407" s="126"/>
      <c r="Q407" s="124"/>
      <c r="R407" s="192"/>
      <c r="S407" s="126"/>
      <c r="T407" s="200"/>
      <c r="U407" s="200"/>
      <c r="V407" s="200"/>
      <c r="W407" s="200"/>
      <c r="X407" s="200"/>
      <c r="Y407" s="200"/>
      <c r="Z407" s="192" t="str">
        <f ca="1">IF(Flag_Send_Data=1,_xll.DBSW(PL_Saisie_Estime2!Z407,Server&amp;Cube1,PL_Saisie_Estime2!$F$17,PL_Saisie_Estime2!$F$18,PL_Saisie_Estime2!$F$19,PL_Saisie_Estime2!$F$16,PL_Saisie_Estime2!$C$14,PL_Saisie_Estime2!$F$15,PL_Saisie_Estime2!$F$14,PL_Saisie_Estime2!$F$20,PL_Saisie_Estime2!Z$2,PL_Saisie_Estime2!Z$1,PL_Saisie_Estime2!$C407),"")</f>
        <v/>
      </c>
      <c r="AA407" s="192" t="str">
        <f ca="1">IF(Flag_Send_Data=1,_xll.DBSW(PL_Saisie_Estime2!AA407,Server&amp;Cube1,PL_Saisie_Estime2!$F$17,PL_Saisie_Estime2!$F$18,PL_Saisie_Estime2!$F$19,PL_Saisie_Estime2!$F$16,PL_Saisie_Estime2!$C$14,PL_Saisie_Estime2!$F$15,PL_Saisie_Estime2!$F$14,PL_Saisie_Estime2!$F$20,PL_Saisie_Estime2!AA$2,PL_Saisie_Estime2!AA$1,PL_Saisie_Estime2!$C407),"")</f>
        <v/>
      </c>
      <c r="AB407" s="192" t="str">
        <f ca="1">IF(Flag_Send_Data=1,_xll.DBSW(PL_Saisie_Estime2!AB407,Server&amp;Cube1,PL_Saisie_Estime2!$F$17,PL_Saisie_Estime2!$F$18,PL_Saisie_Estime2!$F$19,PL_Saisie_Estime2!$F$16,PL_Saisie_Estime2!$C$14,PL_Saisie_Estime2!$F$15,PL_Saisie_Estime2!$F$14,PL_Saisie_Estime2!$F$20,PL_Saisie_Estime2!AB$2,PL_Saisie_Estime2!AB$1,PL_Saisie_Estime2!$C407),"")</f>
        <v/>
      </c>
      <c r="AC407" s="192" t="str">
        <f ca="1">IF(Flag_Send_Data=1,_xll.DBSW(PL_Saisie_Estime2!AC407,Server&amp;Cube1,PL_Saisie_Estime2!$F$17,PL_Saisie_Estime2!$F$18,PL_Saisie_Estime2!$F$19,PL_Saisie_Estime2!$F$16,PL_Saisie_Estime2!$C$14,PL_Saisie_Estime2!$F$15,PL_Saisie_Estime2!$F$14,PL_Saisie_Estime2!$F$20,PL_Saisie_Estime2!AC$2,PL_Saisie_Estime2!AC$1,PL_Saisie_Estime2!$C407),"")</f>
        <v/>
      </c>
      <c r="AD407" s="192" t="str">
        <f ca="1">IF(Flag_Send_Data=1,_xll.DBSW(PL_Saisie_Estime2!AD407,Server&amp;Cube1,PL_Saisie_Estime2!$F$17,PL_Saisie_Estime2!$F$18,PL_Saisie_Estime2!$F$19,PL_Saisie_Estime2!$F$16,PL_Saisie_Estime2!$C$14,PL_Saisie_Estime2!$F$15,PL_Saisie_Estime2!$F$14,PL_Saisie_Estime2!$F$20,PL_Saisie_Estime2!AD$2,PL_Saisie_Estime2!AD$1,PL_Saisie_Estime2!$C407),"")</f>
        <v/>
      </c>
      <c r="AE407" s="192" t="str">
        <f ca="1">IF(Flag_Send_Data=1,_xll.DBSW(PL_Saisie_Estime2!AE407,Server&amp;Cube1,PL_Saisie_Estime2!$F$17,PL_Saisie_Estime2!$F$18,PL_Saisie_Estime2!$F$19,PL_Saisie_Estime2!$F$16,PL_Saisie_Estime2!$C$14,PL_Saisie_Estime2!$F$15,PL_Saisie_Estime2!$F$14,PL_Saisie_Estime2!$F$20,PL_Saisie_Estime2!AE$2,PL_Saisie_Estime2!AE$1,PL_Saisie_Estime2!$C407),"")</f>
        <v/>
      </c>
      <c r="AF407" s="204"/>
      <c r="AG407" s="53"/>
      <c r="AH407" s="53"/>
      <c r="AI407" s="53"/>
      <c r="AJ407" s="53"/>
      <c r="AK407" s="53"/>
      <c r="AL407" s="53"/>
      <c r="AM407" s="53"/>
      <c r="AN407" s="53"/>
      <c r="AO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</row>
    <row r="408" spans="1:53" s="9" customFormat="1" ht="24" customHeight="1" x14ac:dyDescent="0.35">
      <c r="A408" s="181"/>
      <c r="B408" s="181"/>
      <c r="C408" s="117"/>
      <c r="E408" s="270"/>
      <c r="F408" s="270"/>
      <c r="G408" s="270"/>
      <c r="H408" s="40"/>
      <c r="I408" s="130"/>
      <c r="J408" s="130"/>
      <c r="K408" s="130"/>
      <c r="L408" s="130"/>
      <c r="M408" s="130"/>
      <c r="N408" s="125"/>
      <c r="O408" s="125"/>
      <c r="P408" s="125"/>
      <c r="Q408" s="124"/>
      <c r="R408" s="125"/>
      <c r="S408" s="125"/>
      <c r="T408" s="201"/>
      <c r="U408" s="201"/>
      <c r="V408" s="201"/>
      <c r="W408" s="201"/>
      <c r="X408" s="125"/>
      <c r="Y408" s="125"/>
      <c r="Z408" s="125"/>
      <c r="AA408" s="125"/>
      <c r="AB408" s="125"/>
      <c r="AC408" s="125"/>
      <c r="AD408" s="125"/>
      <c r="AE408" s="125"/>
      <c r="AF408" s="125"/>
      <c r="AG408" s="53"/>
      <c r="AH408" s="53"/>
      <c r="AI408" s="53"/>
      <c r="AJ408" s="53"/>
      <c r="AK408" s="53"/>
      <c r="AL408" s="53"/>
      <c r="AM408" s="53"/>
      <c r="AN408" s="53"/>
      <c r="AO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</row>
    <row r="409" spans="1:53" s="9" customFormat="1" ht="24" customHeight="1" x14ac:dyDescent="0.35">
      <c r="A409" s="181"/>
      <c r="B409" s="181"/>
      <c r="C409" s="158"/>
      <c r="E409" s="268"/>
      <c r="F409" s="268"/>
      <c r="G409" s="268"/>
      <c r="H409" s="40"/>
      <c r="I409" s="130"/>
      <c r="J409" s="130"/>
      <c r="K409" s="130"/>
      <c r="L409" s="130"/>
      <c r="M409" s="130"/>
      <c r="N409" s="126"/>
      <c r="O409" s="204"/>
      <c r="P409" s="126"/>
      <c r="Q409" s="124"/>
      <c r="R409" s="192"/>
      <c r="S409" s="126"/>
      <c r="T409" s="200"/>
      <c r="U409" s="200"/>
      <c r="V409" s="200"/>
      <c r="W409" s="200"/>
      <c r="X409" s="200"/>
      <c r="Y409" s="200"/>
      <c r="Z409" s="192" t="str">
        <f ca="1">IF(Flag_Send_Data=1,_xll.DBSW(PL_Saisie_Estime2!Z409,Server&amp;Cube1,PL_Saisie_Estime2!$F$17,PL_Saisie_Estime2!$F$18,PL_Saisie_Estime2!$F$19,PL_Saisie_Estime2!$F$16,PL_Saisie_Estime2!$C$14,PL_Saisie_Estime2!$F$15,PL_Saisie_Estime2!$F$14,PL_Saisie_Estime2!$F$20,PL_Saisie_Estime2!Z$2,PL_Saisie_Estime2!Z$1,PL_Saisie_Estime2!$C409),"")</f>
        <v/>
      </c>
      <c r="AA409" s="192" t="str">
        <f ca="1">IF(Flag_Send_Data=1,_xll.DBSW(PL_Saisie_Estime2!AA409,Server&amp;Cube1,PL_Saisie_Estime2!$F$17,PL_Saisie_Estime2!$F$18,PL_Saisie_Estime2!$F$19,PL_Saisie_Estime2!$F$16,PL_Saisie_Estime2!$C$14,PL_Saisie_Estime2!$F$15,PL_Saisie_Estime2!$F$14,PL_Saisie_Estime2!$F$20,PL_Saisie_Estime2!AA$2,PL_Saisie_Estime2!AA$1,PL_Saisie_Estime2!$C409),"")</f>
        <v/>
      </c>
      <c r="AB409" s="192" t="str">
        <f ca="1">IF(Flag_Send_Data=1,_xll.DBSW(PL_Saisie_Estime2!AB409,Server&amp;Cube1,PL_Saisie_Estime2!$F$17,PL_Saisie_Estime2!$F$18,PL_Saisie_Estime2!$F$19,PL_Saisie_Estime2!$F$16,PL_Saisie_Estime2!$C$14,PL_Saisie_Estime2!$F$15,PL_Saisie_Estime2!$F$14,PL_Saisie_Estime2!$F$20,PL_Saisie_Estime2!AB$2,PL_Saisie_Estime2!AB$1,PL_Saisie_Estime2!$C409),"")</f>
        <v/>
      </c>
      <c r="AC409" s="192" t="str">
        <f ca="1">IF(Flag_Send_Data=1,_xll.DBSW(PL_Saisie_Estime2!AC409,Server&amp;Cube1,PL_Saisie_Estime2!$F$17,PL_Saisie_Estime2!$F$18,PL_Saisie_Estime2!$F$19,PL_Saisie_Estime2!$F$16,PL_Saisie_Estime2!$C$14,PL_Saisie_Estime2!$F$15,PL_Saisie_Estime2!$F$14,PL_Saisie_Estime2!$F$20,PL_Saisie_Estime2!AC$2,PL_Saisie_Estime2!AC$1,PL_Saisie_Estime2!$C409),"")</f>
        <v/>
      </c>
      <c r="AD409" s="192" t="str">
        <f ca="1">IF(Flag_Send_Data=1,_xll.DBSW(PL_Saisie_Estime2!AD409,Server&amp;Cube1,PL_Saisie_Estime2!$F$17,PL_Saisie_Estime2!$F$18,PL_Saisie_Estime2!$F$19,PL_Saisie_Estime2!$F$16,PL_Saisie_Estime2!$C$14,PL_Saisie_Estime2!$F$15,PL_Saisie_Estime2!$F$14,PL_Saisie_Estime2!$F$20,PL_Saisie_Estime2!AD$2,PL_Saisie_Estime2!AD$1,PL_Saisie_Estime2!$C409),"")</f>
        <v/>
      </c>
      <c r="AE409" s="192" t="str">
        <f ca="1">IF(Flag_Send_Data=1,_xll.DBSW(PL_Saisie_Estime2!AE409,Server&amp;Cube1,PL_Saisie_Estime2!$F$17,PL_Saisie_Estime2!$F$18,PL_Saisie_Estime2!$F$19,PL_Saisie_Estime2!$F$16,PL_Saisie_Estime2!$C$14,PL_Saisie_Estime2!$F$15,PL_Saisie_Estime2!$F$14,PL_Saisie_Estime2!$F$20,PL_Saisie_Estime2!AE$2,PL_Saisie_Estime2!AE$1,PL_Saisie_Estime2!$C409),"")</f>
        <v/>
      </c>
      <c r="AF409" s="204"/>
      <c r="AG409" s="53"/>
      <c r="AH409" s="53"/>
      <c r="AI409" s="53"/>
      <c r="AJ409" s="53"/>
      <c r="AK409" s="53"/>
      <c r="AL409" s="53"/>
      <c r="AM409" s="53"/>
      <c r="AN409" s="53"/>
      <c r="AO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</row>
    <row r="410" spans="1:53" s="9" customFormat="1" ht="24" customHeight="1" x14ac:dyDescent="0.35">
      <c r="A410" s="181"/>
      <c r="B410" s="181"/>
      <c r="C410" s="158"/>
      <c r="E410" s="268"/>
      <c r="F410" s="268"/>
      <c r="G410" s="268"/>
      <c r="H410" s="40"/>
      <c r="I410" s="130"/>
      <c r="J410" s="130"/>
      <c r="K410" s="130"/>
      <c r="L410" s="130"/>
      <c r="M410" s="130"/>
      <c r="N410" s="126"/>
      <c r="O410" s="204"/>
      <c r="P410" s="126"/>
      <c r="Q410" s="124"/>
      <c r="R410" s="192"/>
      <c r="S410" s="126"/>
      <c r="T410" s="200"/>
      <c r="U410" s="200"/>
      <c r="V410" s="200"/>
      <c r="W410" s="200"/>
      <c r="X410" s="200"/>
      <c r="Y410" s="200"/>
      <c r="Z410" s="192" t="str">
        <f ca="1">IF(Flag_Send_Data=1,_xll.DBSW(PL_Saisie_Estime2!Z410,Server&amp;Cube1,PL_Saisie_Estime2!$F$17,PL_Saisie_Estime2!$F$18,PL_Saisie_Estime2!$F$19,PL_Saisie_Estime2!$F$16,PL_Saisie_Estime2!$C$14,PL_Saisie_Estime2!$F$15,PL_Saisie_Estime2!$F$14,PL_Saisie_Estime2!$F$20,PL_Saisie_Estime2!Z$2,PL_Saisie_Estime2!Z$1,PL_Saisie_Estime2!$C410),"")</f>
        <v/>
      </c>
      <c r="AA410" s="192" t="str">
        <f ca="1">IF(Flag_Send_Data=1,_xll.DBSW(PL_Saisie_Estime2!AA410,Server&amp;Cube1,PL_Saisie_Estime2!$F$17,PL_Saisie_Estime2!$F$18,PL_Saisie_Estime2!$F$19,PL_Saisie_Estime2!$F$16,PL_Saisie_Estime2!$C$14,PL_Saisie_Estime2!$F$15,PL_Saisie_Estime2!$F$14,PL_Saisie_Estime2!$F$20,PL_Saisie_Estime2!AA$2,PL_Saisie_Estime2!AA$1,PL_Saisie_Estime2!$C410),"")</f>
        <v/>
      </c>
      <c r="AB410" s="192" t="str">
        <f ca="1">IF(Flag_Send_Data=1,_xll.DBSW(PL_Saisie_Estime2!AB410,Server&amp;Cube1,PL_Saisie_Estime2!$F$17,PL_Saisie_Estime2!$F$18,PL_Saisie_Estime2!$F$19,PL_Saisie_Estime2!$F$16,PL_Saisie_Estime2!$C$14,PL_Saisie_Estime2!$F$15,PL_Saisie_Estime2!$F$14,PL_Saisie_Estime2!$F$20,PL_Saisie_Estime2!AB$2,PL_Saisie_Estime2!AB$1,PL_Saisie_Estime2!$C410),"")</f>
        <v/>
      </c>
      <c r="AC410" s="192" t="str">
        <f ca="1">IF(Flag_Send_Data=1,_xll.DBSW(PL_Saisie_Estime2!AC410,Server&amp;Cube1,PL_Saisie_Estime2!$F$17,PL_Saisie_Estime2!$F$18,PL_Saisie_Estime2!$F$19,PL_Saisie_Estime2!$F$16,PL_Saisie_Estime2!$C$14,PL_Saisie_Estime2!$F$15,PL_Saisie_Estime2!$F$14,PL_Saisie_Estime2!$F$20,PL_Saisie_Estime2!AC$2,PL_Saisie_Estime2!AC$1,PL_Saisie_Estime2!$C410),"")</f>
        <v/>
      </c>
      <c r="AD410" s="192" t="str">
        <f ca="1">IF(Flag_Send_Data=1,_xll.DBSW(PL_Saisie_Estime2!AD410,Server&amp;Cube1,PL_Saisie_Estime2!$F$17,PL_Saisie_Estime2!$F$18,PL_Saisie_Estime2!$F$19,PL_Saisie_Estime2!$F$16,PL_Saisie_Estime2!$C$14,PL_Saisie_Estime2!$F$15,PL_Saisie_Estime2!$F$14,PL_Saisie_Estime2!$F$20,PL_Saisie_Estime2!AD$2,PL_Saisie_Estime2!AD$1,PL_Saisie_Estime2!$C410),"")</f>
        <v/>
      </c>
      <c r="AE410" s="192" t="str">
        <f ca="1">IF(Flag_Send_Data=1,_xll.DBSW(PL_Saisie_Estime2!AE410,Server&amp;Cube1,PL_Saisie_Estime2!$F$17,PL_Saisie_Estime2!$F$18,PL_Saisie_Estime2!$F$19,PL_Saisie_Estime2!$F$16,PL_Saisie_Estime2!$C$14,PL_Saisie_Estime2!$F$15,PL_Saisie_Estime2!$F$14,PL_Saisie_Estime2!$F$20,PL_Saisie_Estime2!AE$2,PL_Saisie_Estime2!AE$1,PL_Saisie_Estime2!$C410),"")</f>
        <v/>
      </c>
      <c r="AF410" s="204"/>
      <c r="AG410" s="53"/>
      <c r="AH410" s="53"/>
      <c r="AI410" s="53"/>
      <c r="AJ410" s="53"/>
      <c r="AK410" s="53"/>
      <c r="AL410" s="53"/>
      <c r="AM410" s="53"/>
      <c r="AN410" s="53"/>
      <c r="AO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</row>
    <row r="411" spans="1:53" s="9" customFormat="1" ht="24" customHeight="1" x14ac:dyDescent="0.35">
      <c r="A411" s="181"/>
      <c r="B411" s="181"/>
      <c r="C411" s="158"/>
      <c r="E411" s="268"/>
      <c r="F411" s="268"/>
      <c r="G411" s="268"/>
      <c r="H411" s="40"/>
      <c r="I411" s="130"/>
      <c r="J411" s="130"/>
      <c r="K411" s="130"/>
      <c r="L411" s="130"/>
      <c r="M411" s="130"/>
      <c r="N411" s="126"/>
      <c r="O411" s="204"/>
      <c r="P411" s="126"/>
      <c r="Q411" s="124"/>
      <c r="R411" s="192"/>
      <c r="S411" s="126"/>
      <c r="T411" s="200"/>
      <c r="U411" s="200"/>
      <c r="V411" s="200"/>
      <c r="W411" s="200"/>
      <c r="X411" s="200"/>
      <c r="Y411" s="200"/>
      <c r="Z411" s="192" t="str">
        <f ca="1">IF(Flag_Send_Data=1,_xll.DBSW(PL_Saisie_Estime2!Z411,Server&amp;Cube1,PL_Saisie_Estime2!$F$17,PL_Saisie_Estime2!$F$18,PL_Saisie_Estime2!$F$19,PL_Saisie_Estime2!$F$16,PL_Saisie_Estime2!$C$14,PL_Saisie_Estime2!$F$15,PL_Saisie_Estime2!$F$14,PL_Saisie_Estime2!$F$20,PL_Saisie_Estime2!Z$2,PL_Saisie_Estime2!Z$1,PL_Saisie_Estime2!$C411),"")</f>
        <v/>
      </c>
      <c r="AA411" s="192" t="str">
        <f ca="1">IF(Flag_Send_Data=1,_xll.DBSW(PL_Saisie_Estime2!AA411,Server&amp;Cube1,PL_Saisie_Estime2!$F$17,PL_Saisie_Estime2!$F$18,PL_Saisie_Estime2!$F$19,PL_Saisie_Estime2!$F$16,PL_Saisie_Estime2!$C$14,PL_Saisie_Estime2!$F$15,PL_Saisie_Estime2!$F$14,PL_Saisie_Estime2!$F$20,PL_Saisie_Estime2!AA$2,PL_Saisie_Estime2!AA$1,PL_Saisie_Estime2!$C411),"")</f>
        <v/>
      </c>
      <c r="AB411" s="192" t="str">
        <f ca="1">IF(Flag_Send_Data=1,_xll.DBSW(PL_Saisie_Estime2!AB411,Server&amp;Cube1,PL_Saisie_Estime2!$F$17,PL_Saisie_Estime2!$F$18,PL_Saisie_Estime2!$F$19,PL_Saisie_Estime2!$F$16,PL_Saisie_Estime2!$C$14,PL_Saisie_Estime2!$F$15,PL_Saisie_Estime2!$F$14,PL_Saisie_Estime2!$F$20,PL_Saisie_Estime2!AB$2,PL_Saisie_Estime2!AB$1,PL_Saisie_Estime2!$C411),"")</f>
        <v/>
      </c>
      <c r="AC411" s="192" t="str">
        <f ca="1">IF(Flag_Send_Data=1,_xll.DBSW(PL_Saisie_Estime2!AC411,Server&amp;Cube1,PL_Saisie_Estime2!$F$17,PL_Saisie_Estime2!$F$18,PL_Saisie_Estime2!$F$19,PL_Saisie_Estime2!$F$16,PL_Saisie_Estime2!$C$14,PL_Saisie_Estime2!$F$15,PL_Saisie_Estime2!$F$14,PL_Saisie_Estime2!$F$20,PL_Saisie_Estime2!AC$2,PL_Saisie_Estime2!AC$1,PL_Saisie_Estime2!$C411),"")</f>
        <v/>
      </c>
      <c r="AD411" s="192" t="str">
        <f ca="1">IF(Flag_Send_Data=1,_xll.DBSW(PL_Saisie_Estime2!AD411,Server&amp;Cube1,PL_Saisie_Estime2!$F$17,PL_Saisie_Estime2!$F$18,PL_Saisie_Estime2!$F$19,PL_Saisie_Estime2!$F$16,PL_Saisie_Estime2!$C$14,PL_Saisie_Estime2!$F$15,PL_Saisie_Estime2!$F$14,PL_Saisie_Estime2!$F$20,PL_Saisie_Estime2!AD$2,PL_Saisie_Estime2!AD$1,PL_Saisie_Estime2!$C411),"")</f>
        <v/>
      </c>
      <c r="AE411" s="192" t="str">
        <f ca="1">IF(Flag_Send_Data=1,_xll.DBSW(PL_Saisie_Estime2!AE411,Server&amp;Cube1,PL_Saisie_Estime2!$F$17,PL_Saisie_Estime2!$F$18,PL_Saisie_Estime2!$F$19,PL_Saisie_Estime2!$F$16,PL_Saisie_Estime2!$C$14,PL_Saisie_Estime2!$F$15,PL_Saisie_Estime2!$F$14,PL_Saisie_Estime2!$F$20,PL_Saisie_Estime2!AE$2,PL_Saisie_Estime2!AE$1,PL_Saisie_Estime2!$C411),"")</f>
        <v/>
      </c>
      <c r="AF411" s="204"/>
      <c r="AG411" s="53"/>
      <c r="AH411" s="53"/>
      <c r="AI411" s="53"/>
      <c r="AJ411" s="53"/>
      <c r="AK411" s="53"/>
      <c r="AL411" s="53"/>
      <c r="AM411" s="53"/>
      <c r="AN411" s="53"/>
      <c r="AO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</row>
    <row r="412" spans="1:53" s="9" customFormat="1" ht="24" customHeight="1" x14ac:dyDescent="0.35">
      <c r="A412" s="181"/>
      <c r="B412" s="181"/>
      <c r="C412" s="158"/>
      <c r="E412" s="268"/>
      <c r="F412" s="268"/>
      <c r="G412" s="268"/>
      <c r="H412" s="40"/>
      <c r="I412" s="130"/>
      <c r="J412" s="130"/>
      <c r="K412" s="130"/>
      <c r="L412" s="130"/>
      <c r="M412" s="130"/>
      <c r="N412" s="126"/>
      <c r="O412" s="204"/>
      <c r="P412" s="126"/>
      <c r="Q412" s="124"/>
      <c r="R412" s="192"/>
      <c r="S412" s="126"/>
      <c r="T412" s="200"/>
      <c r="U412" s="200"/>
      <c r="V412" s="200"/>
      <c r="W412" s="200"/>
      <c r="X412" s="200"/>
      <c r="Y412" s="200"/>
      <c r="Z412" s="192" t="str">
        <f ca="1">IF(Flag_Send_Data=1,_xll.DBSW(PL_Saisie_Estime2!Z412,Server&amp;Cube1,PL_Saisie_Estime2!$F$17,PL_Saisie_Estime2!$F$18,PL_Saisie_Estime2!$F$19,PL_Saisie_Estime2!$F$16,PL_Saisie_Estime2!$C$14,PL_Saisie_Estime2!$F$15,PL_Saisie_Estime2!$F$14,PL_Saisie_Estime2!$F$20,PL_Saisie_Estime2!Z$2,PL_Saisie_Estime2!Z$1,PL_Saisie_Estime2!$C412),"")</f>
        <v/>
      </c>
      <c r="AA412" s="192" t="str">
        <f ca="1">IF(Flag_Send_Data=1,_xll.DBSW(PL_Saisie_Estime2!AA412,Server&amp;Cube1,PL_Saisie_Estime2!$F$17,PL_Saisie_Estime2!$F$18,PL_Saisie_Estime2!$F$19,PL_Saisie_Estime2!$F$16,PL_Saisie_Estime2!$C$14,PL_Saisie_Estime2!$F$15,PL_Saisie_Estime2!$F$14,PL_Saisie_Estime2!$F$20,PL_Saisie_Estime2!AA$2,PL_Saisie_Estime2!AA$1,PL_Saisie_Estime2!$C412),"")</f>
        <v/>
      </c>
      <c r="AB412" s="192" t="str">
        <f ca="1">IF(Flag_Send_Data=1,_xll.DBSW(PL_Saisie_Estime2!AB412,Server&amp;Cube1,PL_Saisie_Estime2!$F$17,PL_Saisie_Estime2!$F$18,PL_Saisie_Estime2!$F$19,PL_Saisie_Estime2!$F$16,PL_Saisie_Estime2!$C$14,PL_Saisie_Estime2!$F$15,PL_Saisie_Estime2!$F$14,PL_Saisie_Estime2!$F$20,PL_Saisie_Estime2!AB$2,PL_Saisie_Estime2!AB$1,PL_Saisie_Estime2!$C412),"")</f>
        <v/>
      </c>
      <c r="AC412" s="192" t="str">
        <f ca="1">IF(Flag_Send_Data=1,_xll.DBSW(PL_Saisie_Estime2!AC412,Server&amp;Cube1,PL_Saisie_Estime2!$F$17,PL_Saisie_Estime2!$F$18,PL_Saisie_Estime2!$F$19,PL_Saisie_Estime2!$F$16,PL_Saisie_Estime2!$C$14,PL_Saisie_Estime2!$F$15,PL_Saisie_Estime2!$F$14,PL_Saisie_Estime2!$F$20,PL_Saisie_Estime2!AC$2,PL_Saisie_Estime2!AC$1,PL_Saisie_Estime2!$C412),"")</f>
        <v/>
      </c>
      <c r="AD412" s="192" t="str">
        <f ca="1">IF(Flag_Send_Data=1,_xll.DBSW(PL_Saisie_Estime2!AD412,Server&amp;Cube1,PL_Saisie_Estime2!$F$17,PL_Saisie_Estime2!$F$18,PL_Saisie_Estime2!$F$19,PL_Saisie_Estime2!$F$16,PL_Saisie_Estime2!$C$14,PL_Saisie_Estime2!$F$15,PL_Saisie_Estime2!$F$14,PL_Saisie_Estime2!$F$20,PL_Saisie_Estime2!AD$2,PL_Saisie_Estime2!AD$1,PL_Saisie_Estime2!$C412),"")</f>
        <v/>
      </c>
      <c r="AE412" s="192" t="str">
        <f ca="1">IF(Flag_Send_Data=1,_xll.DBSW(PL_Saisie_Estime2!AE412,Server&amp;Cube1,PL_Saisie_Estime2!$F$17,PL_Saisie_Estime2!$F$18,PL_Saisie_Estime2!$F$19,PL_Saisie_Estime2!$F$16,PL_Saisie_Estime2!$C$14,PL_Saisie_Estime2!$F$15,PL_Saisie_Estime2!$F$14,PL_Saisie_Estime2!$F$20,PL_Saisie_Estime2!AE$2,PL_Saisie_Estime2!AE$1,PL_Saisie_Estime2!$C412),"")</f>
        <v/>
      </c>
      <c r="AF412" s="204"/>
      <c r="AG412" s="53"/>
      <c r="AH412" s="53"/>
      <c r="AI412" s="53"/>
      <c r="AJ412" s="53"/>
      <c r="AK412" s="53"/>
      <c r="AL412" s="53"/>
      <c r="AM412" s="53"/>
      <c r="AN412" s="53"/>
      <c r="AO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</row>
    <row r="413" spans="1:53" s="9" customFormat="1" ht="24" customHeight="1" x14ac:dyDescent="0.35">
      <c r="A413" s="181"/>
      <c r="B413" s="181"/>
      <c r="C413" s="158"/>
      <c r="E413" s="268"/>
      <c r="F413" s="268"/>
      <c r="G413" s="268"/>
      <c r="H413" s="40"/>
      <c r="I413" s="130"/>
      <c r="J413" s="130"/>
      <c r="K413" s="130"/>
      <c r="L413" s="130"/>
      <c r="M413" s="130"/>
      <c r="N413" s="126"/>
      <c r="O413" s="204"/>
      <c r="P413" s="126"/>
      <c r="Q413" s="124"/>
      <c r="R413" s="192"/>
      <c r="S413" s="126"/>
      <c r="T413" s="200"/>
      <c r="U413" s="200"/>
      <c r="V413" s="200"/>
      <c r="W413" s="200"/>
      <c r="X413" s="200"/>
      <c r="Y413" s="200"/>
      <c r="Z413" s="192" t="str">
        <f ca="1">IF(Flag_Send_Data=1,_xll.DBSW(PL_Saisie_Estime2!Z413,Server&amp;Cube1,PL_Saisie_Estime2!$F$17,PL_Saisie_Estime2!$F$18,PL_Saisie_Estime2!$F$19,PL_Saisie_Estime2!$F$16,PL_Saisie_Estime2!$C$14,PL_Saisie_Estime2!$F$15,PL_Saisie_Estime2!$F$14,PL_Saisie_Estime2!$F$20,PL_Saisie_Estime2!Z$2,PL_Saisie_Estime2!Z$1,PL_Saisie_Estime2!$C413),"")</f>
        <v/>
      </c>
      <c r="AA413" s="192" t="str">
        <f ca="1">IF(Flag_Send_Data=1,_xll.DBSW(PL_Saisie_Estime2!AA413,Server&amp;Cube1,PL_Saisie_Estime2!$F$17,PL_Saisie_Estime2!$F$18,PL_Saisie_Estime2!$F$19,PL_Saisie_Estime2!$F$16,PL_Saisie_Estime2!$C$14,PL_Saisie_Estime2!$F$15,PL_Saisie_Estime2!$F$14,PL_Saisie_Estime2!$F$20,PL_Saisie_Estime2!AA$2,PL_Saisie_Estime2!AA$1,PL_Saisie_Estime2!$C413),"")</f>
        <v/>
      </c>
      <c r="AB413" s="192" t="str">
        <f ca="1">IF(Flag_Send_Data=1,_xll.DBSW(PL_Saisie_Estime2!AB413,Server&amp;Cube1,PL_Saisie_Estime2!$F$17,PL_Saisie_Estime2!$F$18,PL_Saisie_Estime2!$F$19,PL_Saisie_Estime2!$F$16,PL_Saisie_Estime2!$C$14,PL_Saisie_Estime2!$F$15,PL_Saisie_Estime2!$F$14,PL_Saisie_Estime2!$F$20,PL_Saisie_Estime2!AB$2,PL_Saisie_Estime2!AB$1,PL_Saisie_Estime2!$C413),"")</f>
        <v/>
      </c>
      <c r="AC413" s="192" t="str">
        <f ca="1">IF(Flag_Send_Data=1,_xll.DBSW(PL_Saisie_Estime2!AC413,Server&amp;Cube1,PL_Saisie_Estime2!$F$17,PL_Saisie_Estime2!$F$18,PL_Saisie_Estime2!$F$19,PL_Saisie_Estime2!$F$16,PL_Saisie_Estime2!$C$14,PL_Saisie_Estime2!$F$15,PL_Saisie_Estime2!$F$14,PL_Saisie_Estime2!$F$20,PL_Saisie_Estime2!AC$2,PL_Saisie_Estime2!AC$1,PL_Saisie_Estime2!$C413),"")</f>
        <v/>
      </c>
      <c r="AD413" s="192" t="str">
        <f ca="1">IF(Flag_Send_Data=1,_xll.DBSW(PL_Saisie_Estime2!AD413,Server&amp;Cube1,PL_Saisie_Estime2!$F$17,PL_Saisie_Estime2!$F$18,PL_Saisie_Estime2!$F$19,PL_Saisie_Estime2!$F$16,PL_Saisie_Estime2!$C$14,PL_Saisie_Estime2!$F$15,PL_Saisie_Estime2!$F$14,PL_Saisie_Estime2!$F$20,PL_Saisie_Estime2!AD$2,PL_Saisie_Estime2!AD$1,PL_Saisie_Estime2!$C413),"")</f>
        <v/>
      </c>
      <c r="AE413" s="192" t="str">
        <f ca="1">IF(Flag_Send_Data=1,_xll.DBSW(PL_Saisie_Estime2!AE413,Server&amp;Cube1,PL_Saisie_Estime2!$F$17,PL_Saisie_Estime2!$F$18,PL_Saisie_Estime2!$F$19,PL_Saisie_Estime2!$F$16,PL_Saisie_Estime2!$C$14,PL_Saisie_Estime2!$F$15,PL_Saisie_Estime2!$F$14,PL_Saisie_Estime2!$F$20,PL_Saisie_Estime2!AE$2,PL_Saisie_Estime2!AE$1,PL_Saisie_Estime2!$C413),"")</f>
        <v/>
      </c>
      <c r="AF413" s="204"/>
      <c r="AG413" s="53"/>
      <c r="AH413" s="53"/>
      <c r="AI413" s="53"/>
      <c r="AJ413" s="53"/>
      <c r="AK413" s="53"/>
      <c r="AL413" s="53"/>
      <c r="AM413" s="53"/>
      <c r="AN413" s="53"/>
      <c r="AO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</row>
    <row r="414" spans="1:53" s="9" customFormat="1" ht="24" customHeight="1" x14ac:dyDescent="0.35">
      <c r="A414" s="181"/>
      <c r="B414" s="181"/>
      <c r="C414" s="117"/>
      <c r="E414" s="270"/>
      <c r="F414" s="270"/>
      <c r="G414" s="270"/>
      <c r="H414" s="40"/>
      <c r="I414" s="130"/>
      <c r="J414" s="130"/>
      <c r="K414" s="130"/>
      <c r="L414" s="130"/>
      <c r="M414" s="130"/>
      <c r="N414" s="126"/>
      <c r="O414" s="126"/>
      <c r="P414" s="126"/>
      <c r="Q414" s="124"/>
      <c r="R414" s="126"/>
      <c r="S414" s="126"/>
      <c r="T414" s="203"/>
      <c r="U414" s="203"/>
      <c r="V414" s="203"/>
      <c r="W414" s="203"/>
      <c r="X414" s="126"/>
      <c r="Y414" s="126"/>
      <c r="Z414" s="126"/>
      <c r="AA414" s="126"/>
      <c r="AB414" s="126"/>
      <c r="AC414" s="126"/>
      <c r="AD414" s="126"/>
      <c r="AE414" s="126"/>
      <c r="AF414" s="126"/>
      <c r="AG414" s="53"/>
      <c r="AH414" s="53"/>
      <c r="AI414" s="53"/>
      <c r="AJ414" s="53"/>
      <c r="AK414" s="53"/>
      <c r="AL414" s="53"/>
      <c r="AM414" s="53"/>
      <c r="AN414" s="53"/>
      <c r="AO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</row>
    <row r="415" spans="1:53" s="9" customFormat="1" ht="24" customHeight="1" x14ac:dyDescent="0.35">
      <c r="A415" s="181"/>
      <c r="B415" s="181"/>
      <c r="C415" s="158"/>
      <c r="E415" s="268"/>
      <c r="F415" s="268"/>
      <c r="G415" s="268"/>
      <c r="H415" s="40"/>
      <c r="I415" s="130"/>
      <c r="J415" s="130"/>
      <c r="K415" s="130"/>
      <c r="L415" s="130"/>
      <c r="M415" s="130"/>
      <c r="N415" s="126"/>
      <c r="O415" s="204"/>
      <c r="P415" s="126"/>
      <c r="Q415" s="124"/>
      <c r="R415" s="192"/>
      <c r="S415" s="126"/>
      <c r="T415" s="200"/>
      <c r="U415" s="200"/>
      <c r="V415" s="200"/>
      <c r="W415" s="200"/>
      <c r="X415" s="200"/>
      <c r="Y415" s="200"/>
      <c r="Z415" s="192" t="str">
        <f ca="1">IF(Flag_Send_Data=1,_xll.DBSW(PL_Saisie_Estime2!Z415,Server&amp;Cube1,PL_Saisie_Estime2!$F$17,PL_Saisie_Estime2!$F$18,PL_Saisie_Estime2!$F$19,PL_Saisie_Estime2!$F$16,PL_Saisie_Estime2!$C$14,PL_Saisie_Estime2!$F$15,PL_Saisie_Estime2!$F$14,PL_Saisie_Estime2!$F$20,PL_Saisie_Estime2!Z$2,PL_Saisie_Estime2!Z$1,PL_Saisie_Estime2!$C415),"")</f>
        <v/>
      </c>
      <c r="AA415" s="192" t="str">
        <f ca="1">IF(Flag_Send_Data=1,_xll.DBSW(PL_Saisie_Estime2!AA415,Server&amp;Cube1,PL_Saisie_Estime2!$F$17,PL_Saisie_Estime2!$F$18,PL_Saisie_Estime2!$F$19,PL_Saisie_Estime2!$F$16,PL_Saisie_Estime2!$C$14,PL_Saisie_Estime2!$F$15,PL_Saisie_Estime2!$F$14,PL_Saisie_Estime2!$F$20,PL_Saisie_Estime2!AA$2,PL_Saisie_Estime2!AA$1,PL_Saisie_Estime2!$C415),"")</f>
        <v/>
      </c>
      <c r="AB415" s="192" t="str">
        <f ca="1">IF(Flag_Send_Data=1,_xll.DBSW(PL_Saisie_Estime2!AB415,Server&amp;Cube1,PL_Saisie_Estime2!$F$17,PL_Saisie_Estime2!$F$18,PL_Saisie_Estime2!$F$19,PL_Saisie_Estime2!$F$16,PL_Saisie_Estime2!$C$14,PL_Saisie_Estime2!$F$15,PL_Saisie_Estime2!$F$14,PL_Saisie_Estime2!$F$20,PL_Saisie_Estime2!AB$2,PL_Saisie_Estime2!AB$1,PL_Saisie_Estime2!$C415),"")</f>
        <v/>
      </c>
      <c r="AC415" s="192" t="str">
        <f ca="1">IF(Flag_Send_Data=1,_xll.DBSW(PL_Saisie_Estime2!AC415,Server&amp;Cube1,PL_Saisie_Estime2!$F$17,PL_Saisie_Estime2!$F$18,PL_Saisie_Estime2!$F$19,PL_Saisie_Estime2!$F$16,PL_Saisie_Estime2!$C$14,PL_Saisie_Estime2!$F$15,PL_Saisie_Estime2!$F$14,PL_Saisie_Estime2!$F$20,PL_Saisie_Estime2!AC$2,PL_Saisie_Estime2!AC$1,PL_Saisie_Estime2!$C415),"")</f>
        <v/>
      </c>
      <c r="AD415" s="192" t="str">
        <f ca="1">IF(Flag_Send_Data=1,_xll.DBSW(PL_Saisie_Estime2!AD415,Server&amp;Cube1,PL_Saisie_Estime2!$F$17,PL_Saisie_Estime2!$F$18,PL_Saisie_Estime2!$F$19,PL_Saisie_Estime2!$F$16,PL_Saisie_Estime2!$C$14,PL_Saisie_Estime2!$F$15,PL_Saisie_Estime2!$F$14,PL_Saisie_Estime2!$F$20,PL_Saisie_Estime2!AD$2,PL_Saisie_Estime2!AD$1,PL_Saisie_Estime2!$C415),"")</f>
        <v/>
      </c>
      <c r="AE415" s="192" t="str">
        <f ca="1">IF(Flag_Send_Data=1,_xll.DBSW(PL_Saisie_Estime2!AE415,Server&amp;Cube1,PL_Saisie_Estime2!$F$17,PL_Saisie_Estime2!$F$18,PL_Saisie_Estime2!$F$19,PL_Saisie_Estime2!$F$16,PL_Saisie_Estime2!$C$14,PL_Saisie_Estime2!$F$15,PL_Saisie_Estime2!$F$14,PL_Saisie_Estime2!$F$20,PL_Saisie_Estime2!AE$2,PL_Saisie_Estime2!AE$1,PL_Saisie_Estime2!$C415),"")</f>
        <v/>
      </c>
      <c r="AF415" s="204"/>
      <c r="AG415" s="53"/>
      <c r="AH415" s="53"/>
      <c r="AI415" s="53"/>
      <c r="AJ415" s="53"/>
      <c r="AK415" s="53"/>
      <c r="AL415" s="53"/>
      <c r="AM415" s="53"/>
      <c r="AN415" s="53"/>
      <c r="AO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</row>
    <row r="416" spans="1:53" s="9" customFormat="1" ht="24" customHeight="1" x14ac:dyDescent="0.35">
      <c r="A416" s="181"/>
      <c r="B416" s="181"/>
      <c r="C416" s="119"/>
      <c r="E416" s="269"/>
      <c r="F416" s="269"/>
      <c r="G416" s="269"/>
      <c r="H416" s="40"/>
      <c r="I416" s="159"/>
      <c r="J416" s="159"/>
      <c r="K416" s="159"/>
      <c r="L416" s="159"/>
      <c r="M416" s="159"/>
      <c r="N416" s="125"/>
      <c r="O416" s="161"/>
      <c r="P416" s="125"/>
      <c r="Q416" s="124"/>
      <c r="R416" s="161"/>
      <c r="S416" s="125"/>
      <c r="T416" s="202"/>
      <c r="U416" s="202"/>
      <c r="V416" s="202"/>
      <c r="W416" s="202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53"/>
      <c r="AH416" s="53"/>
      <c r="AI416" s="53"/>
      <c r="AJ416" s="53"/>
      <c r="AK416" s="53"/>
      <c r="AL416" s="53"/>
      <c r="AM416" s="53"/>
      <c r="AN416" s="53"/>
      <c r="AO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</row>
    <row r="417" spans="1:53" s="9" customFormat="1" ht="24" customHeight="1" x14ac:dyDescent="0.35">
      <c r="A417" s="181"/>
      <c r="B417" s="181"/>
      <c r="C417" s="117"/>
      <c r="E417" s="270"/>
      <c r="F417" s="270"/>
      <c r="G417" s="270"/>
      <c r="H417" s="40"/>
      <c r="I417" s="130"/>
      <c r="J417" s="130"/>
      <c r="K417" s="130"/>
      <c r="L417" s="130"/>
      <c r="M417" s="130"/>
      <c r="N417" s="126"/>
      <c r="O417" s="126"/>
      <c r="P417" s="126"/>
      <c r="Q417" s="124"/>
      <c r="R417" s="126"/>
      <c r="S417" s="126"/>
      <c r="T417" s="203"/>
      <c r="U417" s="203"/>
      <c r="V417" s="203"/>
      <c r="W417" s="203"/>
      <c r="X417" s="126"/>
      <c r="Y417" s="126"/>
      <c r="Z417" s="126"/>
      <c r="AA417" s="126"/>
      <c r="AB417" s="126"/>
      <c r="AC417" s="126"/>
      <c r="AD417" s="126"/>
      <c r="AE417" s="126"/>
      <c r="AF417" s="126"/>
      <c r="AG417" s="53"/>
      <c r="AH417" s="53"/>
      <c r="AI417" s="53"/>
      <c r="AJ417" s="53"/>
      <c r="AK417" s="53"/>
      <c r="AL417" s="53"/>
      <c r="AM417" s="53"/>
      <c r="AN417" s="53"/>
      <c r="AO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</row>
    <row r="418" spans="1:53" s="9" customFormat="1" ht="24" customHeight="1" x14ac:dyDescent="0.35">
      <c r="A418" s="181"/>
      <c r="B418" s="181"/>
      <c r="C418" s="194"/>
      <c r="E418" s="268"/>
      <c r="F418" s="268"/>
      <c r="G418" s="268"/>
      <c r="H418" s="40"/>
      <c r="I418" s="130"/>
      <c r="J418" s="130"/>
      <c r="K418" s="130"/>
      <c r="L418" s="130"/>
      <c r="M418" s="130"/>
      <c r="N418" s="126"/>
      <c r="O418" s="204"/>
      <c r="P418" s="126"/>
      <c r="Q418" s="124"/>
      <c r="R418" s="192"/>
      <c r="S418" s="126"/>
      <c r="T418" s="200"/>
      <c r="U418" s="200"/>
      <c r="V418" s="200"/>
      <c r="W418" s="200"/>
      <c r="X418" s="200"/>
      <c r="Y418" s="200"/>
      <c r="Z418" s="192" t="str">
        <f ca="1">IF(Flag_Send_Data=1,_xll.DBSW(PL_Saisie_Estime2!Z418,Server&amp;Cube1,PL_Saisie_Estime2!$F$17,PL_Saisie_Estime2!$F$18,PL_Saisie_Estime2!$F$19,PL_Saisie_Estime2!$F$16,PL_Saisie_Estime2!$C$14,PL_Saisie_Estime2!$F$15,PL_Saisie_Estime2!$F$14,PL_Saisie_Estime2!$F$20,PL_Saisie_Estime2!Z$2,PL_Saisie_Estime2!Z$1,PL_Saisie_Estime2!$C418),"")</f>
        <v/>
      </c>
      <c r="AA418" s="192" t="str">
        <f ca="1">IF(Flag_Send_Data=1,_xll.DBSW(PL_Saisie_Estime2!AA418,Server&amp;Cube1,PL_Saisie_Estime2!$F$17,PL_Saisie_Estime2!$F$18,PL_Saisie_Estime2!$F$19,PL_Saisie_Estime2!$F$16,PL_Saisie_Estime2!$C$14,PL_Saisie_Estime2!$F$15,PL_Saisie_Estime2!$F$14,PL_Saisie_Estime2!$F$20,PL_Saisie_Estime2!AA$2,PL_Saisie_Estime2!AA$1,PL_Saisie_Estime2!$C418),"")</f>
        <v/>
      </c>
      <c r="AB418" s="192" t="str">
        <f ca="1">IF(Flag_Send_Data=1,_xll.DBSW(PL_Saisie_Estime2!AB418,Server&amp;Cube1,PL_Saisie_Estime2!$F$17,PL_Saisie_Estime2!$F$18,PL_Saisie_Estime2!$F$19,PL_Saisie_Estime2!$F$16,PL_Saisie_Estime2!$C$14,PL_Saisie_Estime2!$F$15,PL_Saisie_Estime2!$F$14,PL_Saisie_Estime2!$F$20,PL_Saisie_Estime2!AB$2,PL_Saisie_Estime2!AB$1,PL_Saisie_Estime2!$C418),"")</f>
        <v/>
      </c>
      <c r="AC418" s="192" t="str">
        <f ca="1">IF(Flag_Send_Data=1,_xll.DBSW(PL_Saisie_Estime2!AC418,Server&amp;Cube1,PL_Saisie_Estime2!$F$17,PL_Saisie_Estime2!$F$18,PL_Saisie_Estime2!$F$19,PL_Saisie_Estime2!$F$16,PL_Saisie_Estime2!$C$14,PL_Saisie_Estime2!$F$15,PL_Saisie_Estime2!$F$14,PL_Saisie_Estime2!$F$20,PL_Saisie_Estime2!AC$2,PL_Saisie_Estime2!AC$1,PL_Saisie_Estime2!$C418),"")</f>
        <v/>
      </c>
      <c r="AD418" s="192" t="str">
        <f ca="1">IF(Flag_Send_Data=1,_xll.DBSW(PL_Saisie_Estime2!AD418,Server&amp;Cube1,PL_Saisie_Estime2!$F$17,PL_Saisie_Estime2!$F$18,PL_Saisie_Estime2!$F$19,PL_Saisie_Estime2!$F$16,PL_Saisie_Estime2!$C$14,PL_Saisie_Estime2!$F$15,PL_Saisie_Estime2!$F$14,PL_Saisie_Estime2!$F$20,PL_Saisie_Estime2!AD$2,PL_Saisie_Estime2!AD$1,PL_Saisie_Estime2!$C418),"")</f>
        <v/>
      </c>
      <c r="AE418" s="192" t="str">
        <f ca="1">IF(Flag_Send_Data=1,_xll.DBSW(PL_Saisie_Estime2!AE418,Server&amp;Cube1,PL_Saisie_Estime2!$F$17,PL_Saisie_Estime2!$F$18,PL_Saisie_Estime2!$F$19,PL_Saisie_Estime2!$F$16,PL_Saisie_Estime2!$C$14,PL_Saisie_Estime2!$F$15,PL_Saisie_Estime2!$F$14,PL_Saisie_Estime2!$F$20,PL_Saisie_Estime2!AE$2,PL_Saisie_Estime2!AE$1,PL_Saisie_Estime2!$C418),"")</f>
        <v/>
      </c>
      <c r="AF418" s="204"/>
      <c r="AG418" s="53"/>
      <c r="AH418" s="53"/>
      <c r="AI418" s="53"/>
      <c r="AJ418" s="53"/>
      <c r="AK418" s="53"/>
      <c r="AL418" s="53"/>
      <c r="AM418" s="53"/>
      <c r="AN418" s="53"/>
      <c r="AO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</row>
    <row r="419" spans="1:53" s="9" customFormat="1" ht="24" customHeight="1" x14ac:dyDescent="0.35">
      <c r="A419" s="181"/>
      <c r="B419" s="181"/>
      <c r="C419" s="194"/>
      <c r="E419" s="268"/>
      <c r="F419" s="268"/>
      <c r="G419" s="268"/>
      <c r="H419" s="40"/>
      <c r="I419" s="130"/>
      <c r="J419" s="130"/>
      <c r="K419" s="130"/>
      <c r="L419" s="130"/>
      <c r="M419" s="130"/>
      <c r="N419" s="126"/>
      <c r="O419" s="204"/>
      <c r="P419" s="126"/>
      <c r="Q419" s="124"/>
      <c r="R419" s="192"/>
      <c r="S419" s="126"/>
      <c r="T419" s="200"/>
      <c r="U419" s="200"/>
      <c r="V419" s="200"/>
      <c r="W419" s="200"/>
      <c r="X419" s="200"/>
      <c r="Y419" s="200"/>
      <c r="Z419" s="192" t="str">
        <f ca="1">IF(Flag_Send_Data=1,_xll.DBSW(PL_Saisie_Estime2!Z419,Server&amp;Cube1,PL_Saisie_Estime2!$F$17,PL_Saisie_Estime2!$F$18,PL_Saisie_Estime2!$F$19,PL_Saisie_Estime2!$F$16,PL_Saisie_Estime2!$C$14,PL_Saisie_Estime2!$F$15,PL_Saisie_Estime2!$F$14,PL_Saisie_Estime2!$F$20,PL_Saisie_Estime2!Z$2,PL_Saisie_Estime2!Z$1,PL_Saisie_Estime2!$C419),"")</f>
        <v/>
      </c>
      <c r="AA419" s="192" t="str">
        <f ca="1">IF(Flag_Send_Data=1,_xll.DBSW(PL_Saisie_Estime2!AA419,Server&amp;Cube1,PL_Saisie_Estime2!$F$17,PL_Saisie_Estime2!$F$18,PL_Saisie_Estime2!$F$19,PL_Saisie_Estime2!$F$16,PL_Saisie_Estime2!$C$14,PL_Saisie_Estime2!$F$15,PL_Saisie_Estime2!$F$14,PL_Saisie_Estime2!$F$20,PL_Saisie_Estime2!AA$2,PL_Saisie_Estime2!AA$1,PL_Saisie_Estime2!$C419),"")</f>
        <v/>
      </c>
      <c r="AB419" s="192" t="str">
        <f ca="1">IF(Flag_Send_Data=1,_xll.DBSW(PL_Saisie_Estime2!AB419,Server&amp;Cube1,PL_Saisie_Estime2!$F$17,PL_Saisie_Estime2!$F$18,PL_Saisie_Estime2!$F$19,PL_Saisie_Estime2!$F$16,PL_Saisie_Estime2!$C$14,PL_Saisie_Estime2!$F$15,PL_Saisie_Estime2!$F$14,PL_Saisie_Estime2!$F$20,PL_Saisie_Estime2!AB$2,PL_Saisie_Estime2!AB$1,PL_Saisie_Estime2!$C419),"")</f>
        <v/>
      </c>
      <c r="AC419" s="192" t="str">
        <f ca="1">IF(Flag_Send_Data=1,_xll.DBSW(PL_Saisie_Estime2!AC419,Server&amp;Cube1,PL_Saisie_Estime2!$F$17,PL_Saisie_Estime2!$F$18,PL_Saisie_Estime2!$F$19,PL_Saisie_Estime2!$F$16,PL_Saisie_Estime2!$C$14,PL_Saisie_Estime2!$F$15,PL_Saisie_Estime2!$F$14,PL_Saisie_Estime2!$F$20,PL_Saisie_Estime2!AC$2,PL_Saisie_Estime2!AC$1,PL_Saisie_Estime2!$C419),"")</f>
        <v/>
      </c>
      <c r="AD419" s="192" t="str">
        <f ca="1">IF(Flag_Send_Data=1,_xll.DBSW(PL_Saisie_Estime2!AD419,Server&amp;Cube1,PL_Saisie_Estime2!$F$17,PL_Saisie_Estime2!$F$18,PL_Saisie_Estime2!$F$19,PL_Saisie_Estime2!$F$16,PL_Saisie_Estime2!$C$14,PL_Saisie_Estime2!$F$15,PL_Saisie_Estime2!$F$14,PL_Saisie_Estime2!$F$20,PL_Saisie_Estime2!AD$2,PL_Saisie_Estime2!AD$1,PL_Saisie_Estime2!$C419),"")</f>
        <v/>
      </c>
      <c r="AE419" s="192" t="str">
        <f ca="1">IF(Flag_Send_Data=1,_xll.DBSW(PL_Saisie_Estime2!AE419,Server&amp;Cube1,PL_Saisie_Estime2!$F$17,PL_Saisie_Estime2!$F$18,PL_Saisie_Estime2!$F$19,PL_Saisie_Estime2!$F$16,PL_Saisie_Estime2!$C$14,PL_Saisie_Estime2!$F$15,PL_Saisie_Estime2!$F$14,PL_Saisie_Estime2!$F$20,PL_Saisie_Estime2!AE$2,PL_Saisie_Estime2!AE$1,PL_Saisie_Estime2!$C419),"")</f>
        <v/>
      </c>
      <c r="AF419" s="204"/>
      <c r="AG419" s="53"/>
      <c r="AH419" s="53"/>
      <c r="AI419" s="53"/>
      <c r="AJ419" s="53"/>
      <c r="AK419" s="53"/>
      <c r="AL419" s="53"/>
      <c r="AM419" s="53"/>
      <c r="AN419" s="53"/>
      <c r="AO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</row>
    <row r="420" spans="1:53" s="9" customFormat="1" ht="24" customHeight="1" x14ac:dyDescent="0.35">
      <c r="A420" s="181"/>
      <c r="B420" s="181"/>
      <c r="C420" s="117"/>
      <c r="E420" s="270"/>
      <c r="F420" s="270"/>
      <c r="G420" s="270"/>
      <c r="H420" s="40"/>
      <c r="I420" s="130"/>
      <c r="J420" s="130"/>
      <c r="K420" s="130"/>
      <c r="L420" s="130"/>
      <c r="M420" s="130"/>
      <c r="N420" s="126"/>
      <c r="O420" s="126"/>
      <c r="P420" s="126"/>
      <c r="Q420" s="124"/>
      <c r="R420" s="126"/>
      <c r="S420" s="126"/>
      <c r="T420" s="203"/>
      <c r="U420" s="203"/>
      <c r="V420" s="203"/>
      <c r="W420" s="203"/>
      <c r="X420" s="126"/>
      <c r="Y420" s="126"/>
      <c r="Z420" s="126"/>
      <c r="AA420" s="126"/>
      <c r="AB420" s="126"/>
      <c r="AC420" s="126"/>
      <c r="AD420" s="126"/>
      <c r="AE420" s="126"/>
      <c r="AF420" s="126"/>
      <c r="AG420" s="53"/>
      <c r="AH420" s="53"/>
      <c r="AI420" s="53"/>
      <c r="AJ420" s="53"/>
      <c r="AK420" s="53"/>
      <c r="AL420" s="53"/>
      <c r="AM420" s="53"/>
      <c r="AN420" s="53"/>
      <c r="AO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</row>
    <row r="421" spans="1:53" s="9" customFormat="1" ht="24" customHeight="1" x14ac:dyDescent="0.35">
      <c r="A421" s="181"/>
      <c r="B421" s="181"/>
      <c r="C421" s="158"/>
      <c r="E421" s="270"/>
      <c r="F421" s="270"/>
      <c r="G421" s="270"/>
      <c r="H421" s="40"/>
      <c r="I421" s="130"/>
      <c r="J421" s="130"/>
      <c r="K421" s="130"/>
      <c r="L421" s="130"/>
      <c r="M421" s="130"/>
      <c r="N421" s="126"/>
      <c r="O421" s="204"/>
      <c r="P421" s="126"/>
      <c r="Q421" s="124"/>
      <c r="R421" s="192"/>
      <c r="S421" s="126"/>
      <c r="T421" s="200"/>
      <c r="U421" s="200"/>
      <c r="V421" s="200"/>
      <c r="W421" s="200"/>
      <c r="X421" s="200"/>
      <c r="Y421" s="200"/>
      <c r="Z421" s="192" t="str">
        <f ca="1">IF(Flag_Send_Data=1,_xll.DBSW(PL_Saisie_Estime2!Z421,Server&amp;Cube1,PL_Saisie_Estime2!$F$17,PL_Saisie_Estime2!$F$18,PL_Saisie_Estime2!$F$19,PL_Saisie_Estime2!$F$16,PL_Saisie_Estime2!$C$14,PL_Saisie_Estime2!$F$15,PL_Saisie_Estime2!$F$14,PL_Saisie_Estime2!$F$20,PL_Saisie_Estime2!Z$2,PL_Saisie_Estime2!Z$1,PL_Saisie_Estime2!$C421),"")</f>
        <v/>
      </c>
      <c r="AA421" s="192" t="str">
        <f ca="1">IF(Flag_Send_Data=1,_xll.DBSW(PL_Saisie_Estime2!AA421,Server&amp;Cube1,PL_Saisie_Estime2!$F$17,PL_Saisie_Estime2!$F$18,PL_Saisie_Estime2!$F$19,PL_Saisie_Estime2!$F$16,PL_Saisie_Estime2!$C$14,PL_Saisie_Estime2!$F$15,PL_Saisie_Estime2!$F$14,PL_Saisie_Estime2!$F$20,PL_Saisie_Estime2!AA$2,PL_Saisie_Estime2!AA$1,PL_Saisie_Estime2!$C421),"")</f>
        <v/>
      </c>
      <c r="AB421" s="192" t="str">
        <f ca="1">IF(Flag_Send_Data=1,_xll.DBSW(PL_Saisie_Estime2!AB421,Server&amp;Cube1,PL_Saisie_Estime2!$F$17,PL_Saisie_Estime2!$F$18,PL_Saisie_Estime2!$F$19,PL_Saisie_Estime2!$F$16,PL_Saisie_Estime2!$C$14,PL_Saisie_Estime2!$F$15,PL_Saisie_Estime2!$F$14,PL_Saisie_Estime2!$F$20,PL_Saisie_Estime2!AB$2,PL_Saisie_Estime2!AB$1,PL_Saisie_Estime2!$C421),"")</f>
        <v/>
      </c>
      <c r="AC421" s="192" t="str">
        <f ca="1">IF(Flag_Send_Data=1,_xll.DBSW(PL_Saisie_Estime2!AC421,Server&amp;Cube1,PL_Saisie_Estime2!$F$17,PL_Saisie_Estime2!$F$18,PL_Saisie_Estime2!$F$19,PL_Saisie_Estime2!$F$16,PL_Saisie_Estime2!$C$14,PL_Saisie_Estime2!$F$15,PL_Saisie_Estime2!$F$14,PL_Saisie_Estime2!$F$20,PL_Saisie_Estime2!AC$2,PL_Saisie_Estime2!AC$1,PL_Saisie_Estime2!$C421),"")</f>
        <v/>
      </c>
      <c r="AD421" s="192" t="str">
        <f ca="1">IF(Flag_Send_Data=1,_xll.DBSW(PL_Saisie_Estime2!AD421,Server&amp;Cube1,PL_Saisie_Estime2!$F$17,PL_Saisie_Estime2!$F$18,PL_Saisie_Estime2!$F$19,PL_Saisie_Estime2!$F$16,PL_Saisie_Estime2!$C$14,PL_Saisie_Estime2!$F$15,PL_Saisie_Estime2!$F$14,PL_Saisie_Estime2!$F$20,PL_Saisie_Estime2!AD$2,PL_Saisie_Estime2!AD$1,PL_Saisie_Estime2!$C421),"")</f>
        <v/>
      </c>
      <c r="AE421" s="192" t="str">
        <f ca="1">IF(Flag_Send_Data=1,_xll.DBSW(PL_Saisie_Estime2!AE421,Server&amp;Cube1,PL_Saisie_Estime2!$F$17,PL_Saisie_Estime2!$F$18,PL_Saisie_Estime2!$F$19,PL_Saisie_Estime2!$F$16,PL_Saisie_Estime2!$C$14,PL_Saisie_Estime2!$F$15,PL_Saisie_Estime2!$F$14,PL_Saisie_Estime2!$F$20,PL_Saisie_Estime2!AE$2,PL_Saisie_Estime2!AE$1,PL_Saisie_Estime2!$C421),"")</f>
        <v/>
      </c>
      <c r="AF421" s="204"/>
      <c r="AG421" s="53"/>
      <c r="AH421" s="53"/>
      <c r="AI421" s="53"/>
      <c r="AJ421" s="53"/>
      <c r="AK421" s="53"/>
      <c r="AL421" s="53"/>
      <c r="AM421" s="53"/>
      <c r="AN421" s="53"/>
      <c r="AO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</row>
    <row r="422" spans="1:53" s="9" customFormat="1" ht="24" customHeight="1" x14ac:dyDescent="0.35">
      <c r="A422" s="181"/>
      <c r="B422" s="181"/>
      <c r="C422" s="117"/>
      <c r="E422" s="270"/>
      <c r="F422" s="270"/>
      <c r="G422" s="270"/>
      <c r="H422" s="40"/>
      <c r="I422" s="130"/>
      <c r="J422" s="130"/>
      <c r="K422" s="130"/>
      <c r="L422" s="130"/>
      <c r="M422" s="130"/>
      <c r="N422" s="126"/>
      <c r="O422" s="126"/>
      <c r="P422" s="126"/>
      <c r="Q422" s="124"/>
      <c r="R422" s="126"/>
      <c r="S422" s="126"/>
      <c r="T422" s="203"/>
      <c r="U422" s="203"/>
      <c r="V422" s="203"/>
      <c r="W422" s="203"/>
      <c r="X422" s="126"/>
      <c r="Y422" s="126"/>
      <c r="Z422" s="126"/>
      <c r="AA422" s="126"/>
      <c r="AB422" s="126"/>
      <c r="AC422" s="126"/>
      <c r="AD422" s="126"/>
      <c r="AE422" s="126"/>
      <c r="AF422" s="126"/>
      <c r="AG422" s="53"/>
      <c r="AH422" s="53"/>
      <c r="AI422" s="53"/>
      <c r="AJ422" s="53"/>
      <c r="AK422" s="53"/>
      <c r="AL422" s="53"/>
      <c r="AM422" s="53"/>
      <c r="AN422" s="53"/>
      <c r="AO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</row>
    <row r="423" spans="1:53" s="9" customFormat="1" ht="24" customHeight="1" x14ac:dyDescent="0.35">
      <c r="A423" s="181"/>
      <c r="B423" s="181"/>
      <c r="C423" s="158"/>
      <c r="E423" s="268"/>
      <c r="F423" s="268"/>
      <c r="G423" s="268"/>
      <c r="H423" s="40"/>
      <c r="I423" s="130"/>
      <c r="J423" s="130"/>
      <c r="K423" s="130"/>
      <c r="L423" s="130"/>
      <c r="M423" s="130"/>
      <c r="N423" s="126"/>
      <c r="O423" s="204"/>
      <c r="P423" s="126"/>
      <c r="Q423" s="124"/>
      <c r="R423" s="192"/>
      <c r="S423" s="126"/>
      <c r="T423" s="200"/>
      <c r="U423" s="200"/>
      <c r="V423" s="200"/>
      <c r="W423" s="200"/>
      <c r="X423" s="200"/>
      <c r="Y423" s="200"/>
      <c r="Z423" s="192" t="str">
        <f ca="1">IF(Flag_Send_Data=1,_xll.DBSW(PL_Saisie_Estime2!Z423,Server&amp;Cube1,PL_Saisie_Estime2!$F$17,PL_Saisie_Estime2!$F$18,PL_Saisie_Estime2!$F$19,PL_Saisie_Estime2!$F$16,PL_Saisie_Estime2!$C$14,PL_Saisie_Estime2!$F$15,PL_Saisie_Estime2!$F$14,PL_Saisie_Estime2!$F$20,PL_Saisie_Estime2!Z$2,PL_Saisie_Estime2!Z$1,PL_Saisie_Estime2!$C423),"")</f>
        <v/>
      </c>
      <c r="AA423" s="192" t="str">
        <f ca="1">IF(Flag_Send_Data=1,_xll.DBSW(PL_Saisie_Estime2!AA423,Server&amp;Cube1,PL_Saisie_Estime2!$F$17,PL_Saisie_Estime2!$F$18,PL_Saisie_Estime2!$F$19,PL_Saisie_Estime2!$F$16,PL_Saisie_Estime2!$C$14,PL_Saisie_Estime2!$F$15,PL_Saisie_Estime2!$F$14,PL_Saisie_Estime2!$F$20,PL_Saisie_Estime2!AA$2,PL_Saisie_Estime2!AA$1,PL_Saisie_Estime2!$C423),"")</f>
        <v/>
      </c>
      <c r="AB423" s="192" t="str">
        <f ca="1">IF(Flag_Send_Data=1,_xll.DBSW(PL_Saisie_Estime2!AB423,Server&amp;Cube1,PL_Saisie_Estime2!$F$17,PL_Saisie_Estime2!$F$18,PL_Saisie_Estime2!$F$19,PL_Saisie_Estime2!$F$16,PL_Saisie_Estime2!$C$14,PL_Saisie_Estime2!$F$15,PL_Saisie_Estime2!$F$14,PL_Saisie_Estime2!$F$20,PL_Saisie_Estime2!AB$2,PL_Saisie_Estime2!AB$1,PL_Saisie_Estime2!$C423),"")</f>
        <v/>
      </c>
      <c r="AC423" s="192" t="str">
        <f ca="1">IF(Flag_Send_Data=1,_xll.DBSW(PL_Saisie_Estime2!AC423,Server&amp;Cube1,PL_Saisie_Estime2!$F$17,PL_Saisie_Estime2!$F$18,PL_Saisie_Estime2!$F$19,PL_Saisie_Estime2!$F$16,PL_Saisie_Estime2!$C$14,PL_Saisie_Estime2!$F$15,PL_Saisie_Estime2!$F$14,PL_Saisie_Estime2!$F$20,PL_Saisie_Estime2!AC$2,PL_Saisie_Estime2!AC$1,PL_Saisie_Estime2!$C423),"")</f>
        <v/>
      </c>
      <c r="AD423" s="192" t="str">
        <f ca="1">IF(Flag_Send_Data=1,_xll.DBSW(PL_Saisie_Estime2!AD423,Server&amp;Cube1,PL_Saisie_Estime2!$F$17,PL_Saisie_Estime2!$F$18,PL_Saisie_Estime2!$F$19,PL_Saisie_Estime2!$F$16,PL_Saisie_Estime2!$C$14,PL_Saisie_Estime2!$F$15,PL_Saisie_Estime2!$F$14,PL_Saisie_Estime2!$F$20,PL_Saisie_Estime2!AD$2,PL_Saisie_Estime2!AD$1,PL_Saisie_Estime2!$C423),"")</f>
        <v/>
      </c>
      <c r="AE423" s="192" t="str">
        <f ca="1">IF(Flag_Send_Data=1,_xll.DBSW(PL_Saisie_Estime2!AE423,Server&amp;Cube1,PL_Saisie_Estime2!$F$17,PL_Saisie_Estime2!$F$18,PL_Saisie_Estime2!$F$19,PL_Saisie_Estime2!$F$16,PL_Saisie_Estime2!$C$14,PL_Saisie_Estime2!$F$15,PL_Saisie_Estime2!$F$14,PL_Saisie_Estime2!$F$20,PL_Saisie_Estime2!AE$2,PL_Saisie_Estime2!AE$1,PL_Saisie_Estime2!$C423),"")</f>
        <v/>
      </c>
      <c r="AF423" s="204"/>
      <c r="AG423" s="53"/>
      <c r="AH423" s="53"/>
      <c r="AI423" s="53"/>
      <c r="AJ423" s="53"/>
      <c r="AK423" s="53"/>
      <c r="AL423" s="53"/>
      <c r="AM423" s="53"/>
      <c r="AN423" s="53"/>
      <c r="AO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</row>
    <row r="424" spans="1:53" s="9" customFormat="1" ht="24" customHeight="1" x14ac:dyDescent="0.35">
      <c r="A424" s="181"/>
      <c r="B424" s="181"/>
      <c r="C424" s="117"/>
      <c r="E424" s="270"/>
      <c r="F424" s="270"/>
      <c r="G424" s="270"/>
      <c r="H424" s="40"/>
      <c r="I424" s="130"/>
      <c r="J424" s="130"/>
      <c r="K424" s="130"/>
      <c r="L424" s="130"/>
      <c r="M424" s="130"/>
      <c r="N424" s="126"/>
      <c r="O424" s="126"/>
      <c r="P424" s="126"/>
      <c r="Q424" s="124"/>
      <c r="R424" s="126"/>
      <c r="S424" s="126"/>
      <c r="T424" s="203"/>
      <c r="U424" s="203"/>
      <c r="V424" s="203"/>
      <c r="W424" s="203"/>
      <c r="X424" s="126"/>
      <c r="Y424" s="126"/>
      <c r="Z424" s="126"/>
      <c r="AA424" s="126"/>
      <c r="AB424" s="126"/>
      <c r="AC424" s="126"/>
      <c r="AD424" s="126"/>
      <c r="AE424" s="126"/>
      <c r="AF424" s="126"/>
      <c r="AG424" s="53"/>
      <c r="AH424" s="53"/>
      <c r="AI424" s="53"/>
      <c r="AJ424" s="53"/>
      <c r="AK424" s="53"/>
      <c r="AL424" s="53"/>
      <c r="AM424" s="53"/>
      <c r="AN424" s="53"/>
      <c r="AO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</row>
    <row r="425" spans="1:53" s="9" customFormat="1" ht="24" customHeight="1" x14ac:dyDescent="0.35">
      <c r="A425" s="181"/>
      <c r="B425" s="181"/>
      <c r="C425" s="158"/>
      <c r="E425" s="268"/>
      <c r="F425" s="268"/>
      <c r="G425" s="268"/>
      <c r="H425" s="40"/>
      <c r="I425" s="130"/>
      <c r="J425" s="130"/>
      <c r="K425" s="130"/>
      <c r="L425" s="130"/>
      <c r="M425" s="130"/>
      <c r="N425" s="126"/>
      <c r="O425" s="204"/>
      <c r="P425" s="126"/>
      <c r="Q425" s="124"/>
      <c r="R425" s="192"/>
      <c r="S425" s="126"/>
      <c r="T425" s="200"/>
      <c r="U425" s="200"/>
      <c r="V425" s="200"/>
      <c r="W425" s="200"/>
      <c r="X425" s="200"/>
      <c r="Y425" s="200"/>
      <c r="Z425" s="192" t="str">
        <f ca="1">IF(Flag_Send_Data=1,_xll.DBSW(PL_Saisie_Estime2!Z425,Server&amp;Cube1,PL_Saisie_Estime2!$F$17,PL_Saisie_Estime2!$F$18,PL_Saisie_Estime2!$F$19,PL_Saisie_Estime2!$F$16,PL_Saisie_Estime2!$C$14,PL_Saisie_Estime2!$F$15,PL_Saisie_Estime2!$F$14,PL_Saisie_Estime2!$F$20,PL_Saisie_Estime2!Z$2,PL_Saisie_Estime2!Z$1,PL_Saisie_Estime2!$C425),"")</f>
        <v/>
      </c>
      <c r="AA425" s="192" t="str">
        <f ca="1">IF(Flag_Send_Data=1,_xll.DBSW(PL_Saisie_Estime2!AA425,Server&amp;Cube1,PL_Saisie_Estime2!$F$17,PL_Saisie_Estime2!$F$18,PL_Saisie_Estime2!$F$19,PL_Saisie_Estime2!$F$16,PL_Saisie_Estime2!$C$14,PL_Saisie_Estime2!$F$15,PL_Saisie_Estime2!$F$14,PL_Saisie_Estime2!$F$20,PL_Saisie_Estime2!AA$2,PL_Saisie_Estime2!AA$1,PL_Saisie_Estime2!$C425),"")</f>
        <v/>
      </c>
      <c r="AB425" s="192" t="str">
        <f ca="1">IF(Flag_Send_Data=1,_xll.DBSW(PL_Saisie_Estime2!AB425,Server&amp;Cube1,PL_Saisie_Estime2!$F$17,PL_Saisie_Estime2!$F$18,PL_Saisie_Estime2!$F$19,PL_Saisie_Estime2!$F$16,PL_Saisie_Estime2!$C$14,PL_Saisie_Estime2!$F$15,PL_Saisie_Estime2!$F$14,PL_Saisie_Estime2!$F$20,PL_Saisie_Estime2!AB$2,PL_Saisie_Estime2!AB$1,PL_Saisie_Estime2!$C425),"")</f>
        <v/>
      </c>
      <c r="AC425" s="192" t="str">
        <f ca="1">IF(Flag_Send_Data=1,_xll.DBSW(PL_Saisie_Estime2!AC425,Server&amp;Cube1,PL_Saisie_Estime2!$F$17,PL_Saisie_Estime2!$F$18,PL_Saisie_Estime2!$F$19,PL_Saisie_Estime2!$F$16,PL_Saisie_Estime2!$C$14,PL_Saisie_Estime2!$F$15,PL_Saisie_Estime2!$F$14,PL_Saisie_Estime2!$F$20,PL_Saisie_Estime2!AC$2,PL_Saisie_Estime2!AC$1,PL_Saisie_Estime2!$C425),"")</f>
        <v/>
      </c>
      <c r="AD425" s="192" t="str">
        <f ca="1">IF(Flag_Send_Data=1,_xll.DBSW(PL_Saisie_Estime2!AD425,Server&amp;Cube1,PL_Saisie_Estime2!$F$17,PL_Saisie_Estime2!$F$18,PL_Saisie_Estime2!$F$19,PL_Saisie_Estime2!$F$16,PL_Saisie_Estime2!$C$14,PL_Saisie_Estime2!$F$15,PL_Saisie_Estime2!$F$14,PL_Saisie_Estime2!$F$20,PL_Saisie_Estime2!AD$2,PL_Saisie_Estime2!AD$1,PL_Saisie_Estime2!$C425),"")</f>
        <v/>
      </c>
      <c r="AE425" s="192" t="str">
        <f ca="1">IF(Flag_Send_Data=1,_xll.DBSW(PL_Saisie_Estime2!AE425,Server&amp;Cube1,PL_Saisie_Estime2!$F$17,PL_Saisie_Estime2!$F$18,PL_Saisie_Estime2!$F$19,PL_Saisie_Estime2!$F$16,PL_Saisie_Estime2!$C$14,PL_Saisie_Estime2!$F$15,PL_Saisie_Estime2!$F$14,PL_Saisie_Estime2!$F$20,PL_Saisie_Estime2!AE$2,PL_Saisie_Estime2!AE$1,PL_Saisie_Estime2!$C425),"")</f>
        <v/>
      </c>
      <c r="AF425" s="204"/>
      <c r="AG425" s="53"/>
      <c r="AH425" s="53"/>
      <c r="AI425" s="53"/>
      <c r="AJ425" s="53"/>
      <c r="AK425" s="53"/>
      <c r="AL425" s="53"/>
      <c r="AM425" s="53"/>
      <c r="AN425" s="53"/>
      <c r="AO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</row>
    <row r="426" spans="1:53" s="9" customFormat="1" ht="11.25" customHeight="1" thickBot="1" x14ac:dyDescent="0.4">
      <c r="A426" s="181"/>
      <c r="B426" s="181"/>
      <c r="C426" s="120"/>
      <c r="E426" s="89"/>
      <c r="F426" s="89"/>
      <c r="G426" s="89"/>
      <c r="H426" s="40"/>
      <c r="I426" s="131"/>
      <c r="J426" s="131"/>
      <c r="K426" s="131"/>
      <c r="L426" s="131"/>
      <c r="M426" s="131"/>
      <c r="N426" s="132"/>
      <c r="O426" s="132"/>
      <c r="P426" s="132"/>
      <c r="Q426" s="132"/>
      <c r="R426" s="132"/>
      <c r="S426" s="132"/>
      <c r="T426" s="133"/>
      <c r="U426" s="107"/>
      <c r="V426" s="106"/>
      <c r="W426" s="133"/>
      <c r="X426" s="131"/>
      <c r="Y426" s="109"/>
      <c r="Z426" s="109"/>
      <c r="AA426" s="109"/>
      <c r="AB426" s="109"/>
      <c r="AC426" s="109"/>
      <c r="AD426" s="109"/>
      <c r="AE426" s="109"/>
      <c r="AF426" s="131"/>
      <c r="AG426" s="53"/>
      <c r="AH426" s="53"/>
      <c r="AI426" s="53"/>
      <c r="AJ426" s="53"/>
      <c r="AK426" s="53"/>
      <c r="AL426" s="53"/>
      <c r="AM426" s="53"/>
      <c r="AN426" s="53"/>
      <c r="AO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</row>
    <row r="427" spans="1:53" s="9" customFormat="1" ht="24" customHeight="1" thickBot="1" x14ac:dyDescent="0.4">
      <c r="A427" s="181"/>
      <c r="B427" s="181"/>
      <c r="C427" s="116"/>
      <c r="E427" s="297"/>
      <c r="F427" s="297"/>
      <c r="G427" s="297"/>
      <c r="H427" s="40"/>
      <c r="I427" s="142"/>
      <c r="J427" s="142"/>
      <c r="K427" s="142"/>
      <c r="L427" s="142"/>
      <c r="M427" s="142"/>
      <c r="N427" s="129"/>
      <c r="O427" s="142"/>
      <c r="P427" s="129"/>
      <c r="Q427" s="124"/>
      <c r="R427" s="142"/>
      <c r="S427" s="129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53"/>
      <c r="AH427" s="53"/>
      <c r="AI427" s="53"/>
      <c r="AJ427" s="53"/>
      <c r="AK427" s="53"/>
      <c r="AL427" s="53"/>
      <c r="AM427" s="53"/>
      <c r="AN427" s="53"/>
      <c r="AO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</row>
    <row r="428" spans="1:53" s="9" customFormat="1" ht="6" customHeight="1" x14ac:dyDescent="0.35">
      <c r="A428" s="181"/>
      <c r="B428" s="181"/>
      <c r="C428" s="119"/>
      <c r="E428" s="99"/>
      <c r="F428" s="100"/>
      <c r="G428" s="89"/>
      <c r="H428" s="40"/>
      <c r="I428" s="135"/>
      <c r="J428" s="135"/>
      <c r="K428" s="135"/>
      <c r="L428" s="135"/>
      <c r="M428" s="135"/>
      <c r="N428" s="129"/>
      <c r="O428" s="129"/>
      <c r="P428" s="129"/>
      <c r="Q428" s="129"/>
      <c r="R428" s="129"/>
      <c r="S428" s="129"/>
      <c r="T428" s="129"/>
      <c r="U428" s="129"/>
      <c r="V428" s="129"/>
      <c r="W428" s="129"/>
      <c r="X428" s="129"/>
      <c r="Y428" s="129"/>
      <c r="Z428" s="129"/>
      <c r="AA428" s="129"/>
      <c r="AB428" s="129"/>
      <c r="AC428" s="129"/>
      <c r="AD428" s="129"/>
      <c r="AE428" s="129"/>
      <c r="AF428" s="129"/>
      <c r="AG428" s="53"/>
      <c r="AH428" s="53"/>
      <c r="AI428" s="53"/>
      <c r="AJ428" s="53"/>
      <c r="AK428" s="53"/>
      <c r="AL428" s="53"/>
      <c r="AM428" s="53"/>
      <c r="AN428" s="53"/>
      <c r="AO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</row>
    <row r="429" spans="1:53" s="9" customFormat="1" ht="21" customHeight="1" x14ac:dyDescent="0.35">
      <c r="A429" s="181"/>
      <c r="B429" s="181"/>
      <c r="C429" s="119"/>
      <c r="E429" s="269"/>
      <c r="F429" s="269"/>
      <c r="G429" s="269"/>
      <c r="H429" s="40"/>
      <c r="I429" s="159"/>
      <c r="J429" s="159"/>
      <c r="K429" s="159"/>
      <c r="L429" s="159"/>
      <c r="M429" s="159"/>
      <c r="N429" s="125"/>
      <c r="O429" s="161"/>
      <c r="P429" s="129"/>
      <c r="Q429" s="124"/>
      <c r="R429" s="129"/>
      <c r="S429" s="129"/>
      <c r="T429" s="202"/>
      <c r="U429" s="202"/>
      <c r="V429" s="202"/>
      <c r="W429" s="202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53"/>
      <c r="AH429" s="53"/>
      <c r="AI429" s="53"/>
      <c r="AJ429" s="53"/>
      <c r="AK429" s="53"/>
      <c r="AL429" s="53"/>
      <c r="AM429" s="53"/>
      <c r="AN429" s="53"/>
      <c r="AO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</row>
    <row r="430" spans="1:53" s="9" customFormat="1" ht="21" customHeight="1" x14ac:dyDescent="0.35">
      <c r="A430" s="181"/>
      <c r="B430" s="181"/>
      <c r="C430" s="117"/>
      <c r="E430" s="270"/>
      <c r="F430" s="270"/>
      <c r="G430" s="270"/>
      <c r="H430" s="40"/>
      <c r="I430" s="123"/>
      <c r="J430" s="123"/>
      <c r="K430" s="123"/>
      <c r="L430" s="123"/>
      <c r="M430" s="123"/>
      <c r="N430" s="126"/>
      <c r="O430" s="204"/>
      <c r="P430" s="129"/>
      <c r="Q430" s="124"/>
      <c r="R430" s="192"/>
      <c r="S430" s="129"/>
      <c r="T430" s="204"/>
      <c r="U430" s="204"/>
      <c r="V430" s="200"/>
      <c r="W430" s="200"/>
      <c r="X430" s="200"/>
      <c r="Y430" s="200"/>
      <c r="Z430" s="192" t="str">
        <f ca="1">IF(Flag_Send_Data=1,_xll.DBSW(PL_Saisie_Estime2!Z430,Server&amp;Cube1,PL_Saisie_Estime2!$F$17,PL_Saisie_Estime2!$F$18,PL_Saisie_Estime2!$F$19,PL_Saisie_Estime2!$F$16,PL_Saisie_Estime2!$C$14,PL_Saisie_Estime2!$F$15,PL_Saisie_Estime2!$F$14,PL_Saisie_Estime2!$F$20,PL_Saisie_Estime2!Z$2,PL_Saisie_Estime2!Z$1,PL_Saisie_Estime2!$C430),"")</f>
        <v/>
      </c>
      <c r="AA430" s="192" t="str">
        <f ca="1">IF(Flag_Send_Data=1,_xll.DBSW(PL_Saisie_Estime2!AA430,Server&amp;Cube1,PL_Saisie_Estime2!$F$17,PL_Saisie_Estime2!$F$18,PL_Saisie_Estime2!$F$19,PL_Saisie_Estime2!$F$16,PL_Saisie_Estime2!$C$14,PL_Saisie_Estime2!$F$15,PL_Saisie_Estime2!$F$14,PL_Saisie_Estime2!$F$20,PL_Saisie_Estime2!AA$2,PL_Saisie_Estime2!AA$1,PL_Saisie_Estime2!$C430),"")</f>
        <v/>
      </c>
      <c r="AB430" s="192" t="str">
        <f ca="1">IF(Flag_Send_Data=1,_xll.DBSW(PL_Saisie_Estime2!AB430,Server&amp;Cube1,PL_Saisie_Estime2!$F$17,PL_Saisie_Estime2!$F$18,PL_Saisie_Estime2!$F$19,PL_Saisie_Estime2!$F$16,PL_Saisie_Estime2!$C$14,PL_Saisie_Estime2!$F$15,PL_Saisie_Estime2!$F$14,PL_Saisie_Estime2!$F$20,PL_Saisie_Estime2!AB$2,PL_Saisie_Estime2!AB$1,PL_Saisie_Estime2!$C430),"")</f>
        <v/>
      </c>
      <c r="AC430" s="192" t="str">
        <f ca="1">IF(Flag_Send_Data=1,_xll.DBSW(PL_Saisie_Estime2!AC430,Server&amp;Cube1,PL_Saisie_Estime2!$F$17,PL_Saisie_Estime2!$F$18,PL_Saisie_Estime2!$F$19,PL_Saisie_Estime2!$F$16,PL_Saisie_Estime2!$C$14,PL_Saisie_Estime2!$F$15,PL_Saisie_Estime2!$F$14,PL_Saisie_Estime2!$F$20,PL_Saisie_Estime2!AC$2,PL_Saisie_Estime2!AC$1,PL_Saisie_Estime2!$C430),"")</f>
        <v/>
      </c>
      <c r="AD430" s="192" t="str">
        <f ca="1">IF(Flag_Send_Data=1,_xll.DBSW(PL_Saisie_Estime2!AD430,Server&amp;Cube1,PL_Saisie_Estime2!$F$17,PL_Saisie_Estime2!$F$18,PL_Saisie_Estime2!$F$19,PL_Saisie_Estime2!$F$16,PL_Saisie_Estime2!$C$14,PL_Saisie_Estime2!$F$15,PL_Saisie_Estime2!$F$14,PL_Saisie_Estime2!$F$20,PL_Saisie_Estime2!AD$2,PL_Saisie_Estime2!AD$1,PL_Saisie_Estime2!$C430),"")</f>
        <v/>
      </c>
      <c r="AE430" s="192" t="str">
        <f ca="1">IF(Flag_Send_Data=1,_xll.DBSW(PL_Saisie_Estime2!AE430,Server&amp;Cube1,PL_Saisie_Estime2!$F$17,PL_Saisie_Estime2!$F$18,PL_Saisie_Estime2!$F$19,PL_Saisie_Estime2!$F$16,PL_Saisie_Estime2!$C$14,PL_Saisie_Estime2!$F$15,PL_Saisie_Estime2!$F$14,PL_Saisie_Estime2!$F$20,PL_Saisie_Estime2!AE$2,PL_Saisie_Estime2!AE$1,PL_Saisie_Estime2!$C430),"")</f>
        <v/>
      </c>
      <c r="AF430" s="204"/>
      <c r="AG430" s="53"/>
      <c r="AH430" s="53"/>
      <c r="AI430" s="53"/>
      <c r="AJ430" s="53"/>
      <c r="AK430" s="53"/>
      <c r="AL430" s="53"/>
      <c r="AM430" s="53"/>
      <c r="AN430" s="53"/>
      <c r="AO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</row>
    <row r="431" spans="1:53" s="9" customFormat="1" ht="24" customHeight="1" x14ac:dyDescent="0.35">
      <c r="A431" s="181"/>
      <c r="B431" s="181"/>
      <c r="C431" s="117"/>
      <c r="E431" s="270"/>
      <c r="F431" s="270"/>
      <c r="G431" s="270"/>
      <c r="H431" s="40"/>
      <c r="I431" s="123"/>
      <c r="J431" s="123"/>
      <c r="K431" s="123"/>
      <c r="L431" s="123"/>
      <c r="M431" s="123"/>
      <c r="N431" s="126"/>
      <c r="O431" s="204"/>
      <c r="P431" s="126"/>
      <c r="Q431" s="124"/>
      <c r="R431" s="192"/>
      <c r="S431" s="126"/>
      <c r="T431" s="204"/>
      <c r="U431" s="204"/>
      <c r="V431" s="200"/>
      <c r="W431" s="200"/>
      <c r="X431" s="200"/>
      <c r="Y431" s="200"/>
      <c r="Z431" s="192" t="str">
        <f ca="1">IF(Flag_Send_Data=1,_xll.DBSW(PL_Saisie_Estime2!Z431,Server&amp;Cube1,PL_Saisie_Estime2!$F$17,PL_Saisie_Estime2!$F$18,PL_Saisie_Estime2!$F$19,PL_Saisie_Estime2!$F$16,PL_Saisie_Estime2!$C$14,PL_Saisie_Estime2!$F$15,PL_Saisie_Estime2!$F$14,PL_Saisie_Estime2!$F$20,PL_Saisie_Estime2!Z$2,PL_Saisie_Estime2!Z$1,PL_Saisie_Estime2!$C431),"")</f>
        <v/>
      </c>
      <c r="AA431" s="192" t="str">
        <f ca="1">IF(Flag_Send_Data=1,_xll.DBSW(PL_Saisie_Estime2!AA431,Server&amp;Cube1,PL_Saisie_Estime2!$F$17,PL_Saisie_Estime2!$F$18,PL_Saisie_Estime2!$F$19,PL_Saisie_Estime2!$F$16,PL_Saisie_Estime2!$C$14,PL_Saisie_Estime2!$F$15,PL_Saisie_Estime2!$F$14,PL_Saisie_Estime2!$F$20,PL_Saisie_Estime2!AA$2,PL_Saisie_Estime2!AA$1,PL_Saisie_Estime2!$C431),"")</f>
        <v/>
      </c>
      <c r="AB431" s="192" t="str">
        <f ca="1">IF(Flag_Send_Data=1,_xll.DBSW(PL_Saisie_Estime2!AB431,Server&amp;Cube1,PL_Saisie_Estime2!$F$17,PL_Saisie_Estime2!$F$18,PL_Saisie_Estime2!$F$19,PL_Saisie_Estime2!$F$16,PL_Saisie_Estime2!$C$14,PL_Saisie_Estime2!$F$15,PL_Saisie_Estime2!$F$14,PL_Saisie_Estime2!$F$20,PL_Saisie_Estime2!AB$2,PL_Saisie_Estime2!AB$1,PL_Saisie_Estime2!$C431),"")</f>
        <v/>
      </c>
      <c r="AC431" s="192" t="str">
        <f ca="1">IF(Flag_Send_Data=1,_xll.DBSW(PL_Saisie_Estime2!AC431,Server&amp;Cube1,PL_Saisie_Estime2!$F$17,PL_Saisie_Estime2!$F$18,PL_Saisie_Estime2!$F$19,PL_Saisie_Estime2!$F$16,PL_Saisie_Estime2!$C$14,PL_Saisie_Estime2!$F$15,PL_Saisie_Estime2!$F$14,PL_Saisie_Estime2!$F$20,PL_Saisie_Estime2!AC$2,PL_Saisie_Estime2!AC$1,PL_Saisie_Estime2!$C431),"")</f>
        <v/>
      </c>
      <c r="AD431" s="192" t="str">
        <f ca="1">IF(Flag_Send_Data=1,_xll.DBSW(PL_Saisie_Estime2!AD431,Server&amp;Cube1,PL_Saisie_Estime2!$F$17,PL_Saisie_Estime2!$F$18,PL_Saisie_Estime2!$F$19,PL_Saisie_Estime2!$F$16,PL_Saisie_Estime2!$C$14,PL_Saisie_Estime2!$F$15,PL_Saisie_Estime2!$F$14,PL_Saisie_Estime2!$F$20,PL_Saisie_Estime2!AD$2,PL_Saisie_Estime2!AD$1,PL_Saisie_Estime2!$C431),"")</f>
        <v/>
      </c>
      <c r="AE431" s="192" t="str">
        <f ca="1">IF(Flag_Send_Data=1,_xll.DBSW(PL_Saisie_Estime2!AE431,Server&amp;Cube1,PL_Saisie_Estime2!$F$17,PL_Saisie_Estime2!$F$18,PL_Saisie_Estime2!$F$19,PL_Saisie_Estime2!$F$16,PL_Saisie_Estime2!$C$14,PL_Saisie_Estime2!$F$15,PL_Saisie_Estime2!$F$14,PL_Saisie_Estime2!$F$20,PL_Saisie_Estime2!AE$2,PL_Saisie_Estime2!AE$1,PL_Saisie_Estime2!$C431),"")</f>
        <v/>
      </c>
      <c r="AF431" s="204"/>
      <c r="AG431" s="53"/>
      <c r="AH431" s="53"/>
      <c r="AI431" s="53"/>
      <c r="AJ431" s="53"/>
      <c r="AK431" s="53"/>
      <c r="AL431" s="53"/>
      <c r="AM431" s="53"/>
      <c r="AN431" s="53"/>
      <c r="AO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</row>
    <row r="432" spans="1:53" s="9" customFormat="1" ht="7.5" customHeight="1" thickBot="1" x14ac:dyDescent="0.4">
      <c r="A432" s="181"/>
      <c r="B432" s="181"/>
      <c r="C432" s="119"/>
      <c r="E432" s="99"/>
      <c r="F432" s="100"/>
      <c r="G432" s="89"/>
      <c r="H432" s="40"/>
      <c r="I432" s="136"/>
      <c r="J432" s="136"/>
      <c r="K432" s="136"/>
      <c r="L432" s="136"/>
      <c r="M432" s="136"/>
      <c r="N432" s="129"/>
      <c r="O432" s="129"/>
      <c r="P432" s="129"/>
      <c r="Q432" s="129"/>
      <c r="R432" s="129"/>
      <c r="S432" s="129"/>
      <c r="T432" s="137"/>
      <c r="U432" s="108"/>
      <c r="V432" s="81"/>
      <c r="W432" s="137"/>
      <c r="X432" s="136"/>
      <c r="Y432" s="110"/>
      <c r="Z432" s="110"/>
      <c r="AA432" s="110"/>
      <c r="AB432" s="110"/>
      <c r="AC432" s="110"/>
      <c r="AD432" s="110"/>
      <c r="AE432" s="110"/>
      <c r="AF432" s="136"/>
      <c r="AG432" s="53"/>
      <c r="AH432" s="53"/>
      <c r="AI432" s="53"/>
      <c r="AJ432" s="53"/>
      <c r="AK432" s="53"/>
      <c r="AL432" s="53"/>
      <c r="AM432" s="53"/>
      <c r="AN432" s="53"/>
      <c r="AO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</row>
    <row r="433" spans="1:53" s="9" customFormat="1" ht="24" customHeight="1" thickBot="1" x14ac:dyDescent="0.4">
      <c r="A433" s="181"/>
      <c r="B433" s="181"/>
      <c r="C433" s="116"/>
      <c r="E433" s="297"/>
      <c r="F433" s="297"/>
      <c r="G433" s="297"/>
      <c r="H433" s="40"/>
      <c r="I433" s="142"/>
      <c r="J433" s="142"/>
      <c r="K433" s="142"/>
      <c r="L433" s="142"/>
      <c r="M433" s="142"/>
      <c r="N433" s="129"/>
      <c r="O433" s="142"/>
      <c r="P433" s="129"/>
      <c r="Q433" s="124"/>
      <c r="R433" s="142"/>
      <c r="S433" s="129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53"/>
      <c r="AH433" s="53"/>
      <c r="AI433" s="53"/>
      <c r="AJ433" s="53"/>
      <c r="AK433" s="53"/>
      <c r="AL433" s="53"/>
      <c r="AM433" s="53"/>
      <c r="AN433" s="53"/>
      <c r="AO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</row>
    <row r="434" spans="1:53" s="9" customFormat="1" ht="7.5" customHeight="1" thickBot="1" x14ac:dyDescent="0.4">
      <c r="A434" s="181"/>
      <c r="B434" s="181"/>
      <c r="C434" s="119"/>
      <c r="E434" s="101"/>
      <c r="F434" s="102"/>
      <c r="G434" s="89"/>
      <c r="H434" s="40"/>
      <c r="I434" s="138"/>
      <c r="J434" s="138"/>
      <c r="K434" s="138"/>
      <c r="L434" s="138"/>
      <c r="M434" s="138"/>
      <c r="N434" s="125"/>
      <c r="O434" s="125"/>
      <c r="P434" s="125"/>
      <c r="Q434" s="125"/>
      <c r="R434" s="125"/>
      <c r="S434" s="125"/>
      <c r="T434" s="125"/>
      <c r="U434" s="125"/>
      <c r="V434" s="125"/>
      <c r="W434" s="125"/>
      <c r="X434" s="125"/>
      <c r="Y434" s="125"/>
      <c r="Z434" s="125"/>
      <c r="AA434" s="125"/>
      <c r="AB434" s="125"/>
      <c r="AC434" s="125"/>
      <c r="AD434" s="125"/>
      <c r="AE434" s="125"/>
      <c r="AF434" s="125"/>
      <c r="AG434" s="53"/>
      <c r="AH434" s="53"/>
      <c r="AI434" s="53"/>
      <c r="AJ434" s="53"/>
      <c r="AK434" s="53"/>
      <c r="AL434" s="53"/>
      <c r="AM434" s="53"/>
      <c r="AN434" s="53"/>
      <c r="AO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</row>
    <row r="435" spans="1:53" s="9" customFormat="1" ht="24" customHeight="1" thickBot="1" x14ac:dyDescent="0.4">
      <c r="A435" s="181"/>
      <c r="B435" s="181"/>
      <c r="C435" s="116"/>
      <c r="E435" s="297"/>
      <c r="F435" s="297"/>
      <c r="G435" s="297"/>
      <c r="H435" s="40"/>
      <c r="I435" s="142"/>
      <c r="J435" s="142"/>
      <c r="K435" s="142"/>
      <c r="L435" s="142"/>
      <c r="M435" s="142"/>
      <c r="N435" s="129"/>
      <c r="O435" s="134"/>
      <c r="P435" s="129"/>
      <c r="Q435" s="124"/>
      <c r="R435" s="193"/>
      <c r="S435" s="129"/>
      <c r="T435" s="142"/>
      <c r="U435" s="142"/>
      <c r="V435" s="142"/>
      <c r="W435" s="142"/>
      <c r="X435" s="142"/>
      <c r="Y435" s="142"/>
      <c r="Z435" s="193" t="str">
        <f ca="1">IF(Flag_Send_Data=1,_xll.DBSW(PL_Saisie_Estime2!Z435,Server&amp;Cube1,PL_Saisie_Estime2!$F$17,PL_Saisie_Estime2!$F$18,PL_Saisie_Estime2!$F$19,PL_Saisie_Estime2!$F$16,PL_Saisie_Estime2!$C$14,PL_Saisie_Estime2!$F$15,PL_Saisie_Estime2!$F$14,PL_Saisie_Estime2!$F$20,PL_Saisie_Estime2!Z$2,PL_Saisie_Estime2!Z$1,PL_Saisie_Estime2!$C435),"")</f>
        <v/>
      </c>
      <c r="AA435" s="193" t="str">
        <f ca="1">IF(Flag_Send_Data=1,_xll.DBSW(PL_Saisie_Estime2!AA435,Server&amp;Cube1,PL_Saisie_Estime2!$F$17,PL_Saisie_Estime2!$F$18,PL_Saisie_Estime2!$F$19,PL_Saisie_Estime2!$F$16,PL_Saisie_Estime2!$C$14,PL_Saisie_Estime2!$F$15,PL_Saisie_Estime2!$F$14,PL_Saisie_Estime2!$F$20,PL_Saisie_Estime2!AA$2,PL_Saisie_Estime2!AA$1,PL_Saisie_Estime2!$C435),"")</f>
        <v/>
      </c>
      <c r="AB435" s="193" t="str">
        <f ca="1">IF(Flag_Send_Data=1,_xll.DBSW(PL_Saisie_Estime2!AB435,Server&amp;Cube1,PL_Saisie_Estime2!$F$17,PL_Saisie_Estime2!$F$18,PL_Saisie_Estime2!$F$19,PL_Saisie_Estime2!$F$16,PL_Saisie_Estime2!$C$14,PL_Saisie_Estime2!$F$15,PL_Saisie_Estime2!$F$14,PL_Saisie_Estime2!$F$20,PL_Saisie_Estime2!AB$2,PL_Saisie_Estime2!AB$1,PL_Saisie_Estime2!$C435),"")</f>
        <v/>
      </c>
      <c r="AC435" s="193" t="str">
        <f ca="1">IF(Flag_Send_Data=1,_xll.DBSW(PL_Saisie_Estime2!AC435,Server&amp;Cube1,PL_Saisie_Estime2!$F$17,PL_Saisie_Estime2!$F$18,PL_Saisie_Estime2!$F$19,PL_Saisie_Estime2!$F$16,PL_Saisie_Estime2!$C$14,PL_Saisie_Estime2!$F$15,PL_Saisie_Estime2!$F$14,PL_Saisie_Estime2!$F$20,PL_Saisie_Estime2!AC$2,PL_Saisie_Estime2!AC$1,PL_Saisie_Estime2!$C435),"")</f>
        <v/>
      </c>
      <c r="AD435" s="193" t="str">
        <f ca="1">IF(Flag_Send_Data=1,_xll.DBSW(PL_Saisie_Estime2!AD435,Server&amp;Cube1,PL_Saisie_Estime2!$F$17,PL_Saisie_Estime2!$F$18,PL_Saisie_Estime2!$F$19,PL_Saisie_Estime2!$F$16,PL_Saisie_Estime2!$C$14,PL_Saisie_Estime2!$F$15,PL_Saisie_Estime2!$F$14,PL_Saisie_Estime2!$F$20,PL_Saisie_Estime2!AD$2,PL_Saisie_Estime2!AD$1,PL_Saisie_Estime2!$C435),"")</f>
        <v/>
      </c>
      <c r="AE435" s="193" t="str">
        <f ca="1">IF(Flag_Send_Data=1,_xll.DBSW(PL_Saisie_Estime2!AE435,Server&amp;Cube1,PL_Saisie_Estime2!$F$17,PL_Saisie_Estime2!$F$18,PL_Saisie_Estime2!$F$19,PL_Saisie_Estime2!$F$16,PL_Saisie_Estime2!$C$14,PL_Saisie_Estime2!$F$15,PL_Saisie_Estime2!$F$14,PL_Saisie_Estime2!$F$20,PL_Saisie_Estime2!AE$2,PL_Saisie_Estime2!AE$1,PL_Saisie_Estime2!$C435),"")</f>
        <v/>
      </c>
      <c r="AF435" s="134"/>
      <c r="AG435" s="53"/>
      <c r="AH435" s="53"/>
      <c r="AI435" s="53"/>
      <c r="AJ435" s="53"/>
      <c r="AK435" s="53"/>
      <c r="AL435" s="53"/>
      <c r="AM435" s="53"/>
      <c r="AN435" s="53"/>
      <c r="AO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</row>
    <row r="436" spans="1:53" s="9" customFormat="1" ht="9" customHeight="1" thickBot="1" x14ac:dyDescent="0.4">
      <c r="A436" s="181"/>
      <c r="B436" s="181"/>
      <c r="C436" s="119"/>
      <c r="E436" s="103"/>
      <c r="F436" s="104"/>
      <c r="G436" s="89"/>
      <c r="H436" s="40"/>
      <c r="I436" s="134"/>
      <c r="J436" s="134"/>
      <c r="K436" s="134"/>
      <c r="L436" s="134"/>
      <c r="M436" s="134"/>
      <c r="N436" s="129"/>
      <c r="O436" s="129"/>
      <c r="P436" s="129"/>
      <c r="Q436" s="129"/>
      <c r="R436" s="129"/>
      <c r="S436" s="129"/>
      <c r="T436" s="129"/>
      <c r="U436" s="129"/>
      <c r="V436" s="129"/>
      <c r="W436" s="129"/>
      <c r="X436" s="129"/>
      <c r="Y436" s="129"/>
      <c r="Z436" s="129"/>
      <c r="AA436" s="129"/>
      <c r="AB436" s="129"/>
      <c r="AC436" s="129"/>
      <c r="AD436" s="129"/>
      <c r="AE436" s="129"/>
      <c r="AF436" s="129"/>
      <c r="AG436" s="53"/>
      <c r="AH436" s="53"/>
      <c r="AI436" s="53"/>
      <c r="AJ436" s="53"/>
      <c r="AK436" s="53"/>
      <c r="AL436" s="53"/>
      <c r="AM436" s="53"/>
      <c r="AN436" s="53"/>
      <c r="AO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</row>
    <row r="437" spans="1:53" ht="24" customHeight="1" thickBot="1" x14ac:dyDescent="0.4">
      <c r="A437" s="181"/>
      <c r="B437" s="181"/>
      <c r="C437" s="116"/>
      <c r="D437" s="24"/>
      <c r="E437" s="297"/>
      <c r="F437" s="297"/>
      <c r="G437" s="297"/>
      <c r="H437" s="40"/>
      <c r="I437" s="142"/>
      <c r="J437" s="142"/>
      <c r="K437" s="142"/>
      <c r="L437" s="142"/>
      <c r="M437" s="142"/>
      <c r="N437" s="129"/>
      <c r="O437" s="142"/>
      <c r="P437" s="129"/>
      <c r="Q437" s="124"/>
      <c r="R437" s="142"/>
      <c r="S437" s="129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P437" s="9"/>
    </row>
    <row r="438" spans="1:53" ht="22.5" customHeight="1" x14ac:dyDescent="0.35">
      <c r="C438" s="121"/>
      <c r="D438" s="57"/>
      <c r="E438" s="105"/>
      <c r="F438" s="105"/>
      <c r="G438" s="105"/>
      <c r="H438" s="82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54"/>
      <c r="V438" s="54"/>
      <c r="W438" s="139"/>
      <c r="X438" s="139"/>
      <c r="Y438" s="54"/>
      <c r="Z438" s="54"/>
      <c r="AA438" s="54"/>
      <c r="AB438" s="54"/>
      <c r="AC438" s="54"/>
      <c r="AD438" s="54"/>
      <c r="AE438" s="54"/>
      <c r="AF438" s="54"/>
      <c r="AP438" s="9"/>
    </row>
    <row r="439" spans="1:53" ht="10.5" customHeight="1" x14ac:dyDescent="0.3">
      <c r="C439" s="122"/>
      <c r="D439" s="57"/>
      <c r="E439" s="42"/>
      <c r="F439" s="42"/>
      <c r="G439" s="42"/>
      <c r="H439" s="43"/>
      <c r="I439" s="140"/>
      <c r="J439" s="140"/>
      <c r="K439" s="141"/>
      <c r="L439" s="141"/>
      <c r="M439" s="126"/>
      <c r="N439" s="126"/>
      <c r="O439" s="126"/>
      <c r="P439" s="126"/>
      <c r="Q439" s="126"/>
      <c r="R439" s="126"/>
      <c r="S439" s="126"/>
      <c r="T439" s="126"/>
      <c r="U439" s="10"/>
      <c r="V439" s="10"/>
      <c r="W439" s="126"/>
      <c r="X439" s="126"/>
      <c r="Y439" s="10"/>
      <c r="Z439" s="10"/>
      <c r="AA439" s="10"/>
      <c r="AB439" s="10"/>
      <c r="AC439" s="10"/>
      <c r="AD439" s="10"/>
      <c r="AE439" s="10"/>
      <c r="AF439" s="10"/>
    </row>
    <row r="440" spans="1:53" ht="22.5" customHeight="1" x14ac:dyDescent="0.3">
      <c r="C440" s="83"/>
      <c r="D440" s="24"/>
      <c r="E440" s="42"/>
      <c r="F440" s="42"/>
      <c r="G440" s="42"/>
      <c r="H440" s="43"/>
      <c r="I440" s="41"/>
      <c r="J440" s="41"/>
      <c r="K440" s="44"/>
      <c r="L440" s="44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</row>
    <row r="441" spans="1:53" s="46" customFormat="1" ht="20.25" customHeight="1" thickBot="1" x14ac:dyDescent="0.35">
      <c r="A441" s="163"/>
      <c r="B441" s="163"/>
      <c r="C441" s="26" t="s">
        <v>10</v>
      </c>
      <c r="D441" s="45"/>
      <c r="E441" s="11"/>
      <c r="F441" s="11"/>
      <c r="G441" s="8"/>
      <c r="H441" s="4"/>
      <c r="I441" s="12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</row>
    <row r="442" spans="1:53" s="46" customFormat="1" ht="23.25" customHeight="1" x14ac:dyDescent="0.2">
      <c r="A442" s="163"/>
      <c r="B442" s="163"/>
      <c r="C442" s="26" t="s">
        <v>28</v>
      </c>
      <c r="D442" s="45"/>
      <c r="E442" s="281" t="str">
        <f ca="1">IF(Flag_Send_Comment=1,_xll.DBSS(DBS_COM_pl_1,Server&amp;Cube2,PL_Saisie_Estime2!$F$18,PL_Saisie_Estime2!$F$19,PL_Saisie_Estime2!$F$16,PL_Saisie_Estime2!$F$15,PL_Saisie_Estime2!$F$14,PL_Saisie_Estime2!$F$20,PL_Saisie_Estime2!$F$13,PL_Saisie_Estime2!$S$4,PL_Saisie_Estime2!$L$4,"Compte_resultat_saisie_Forecast_2",PL_Saisie_Estime2!C442),"")</f>
        <v/>
      </c>
      <c r="F442" s="282"/>
      <c r="G442" s="282"/>
      <c r="H442" s="282"/>
      <c r="I442" s="282"/>
      <c r="J442" s="282"/>
      <c r="K442" s="282"/>
      <c r="L442" s="282"/>
      <c r="M442" s="282"/>
      <c r="N442" s="282"/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  <c r="AF442" s="282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</row>
    <row r="443" spans="1:53" s="46" customFormat="1" ht="23.25" customHeight="1" x14ac:dyDescent="0.2">
      <c r="A443" s="163"/>
      <c r="B443" s="163"/>
      <c r="C443" s="26" t="s">
        <v>29</v>
      </c>
      <c r="D443" s="45"/>
      <c r="E443" s="277" t="str">
        <f ca="1">IF(Flag_Send_Comment=1,_xll.DBSS(DBS_COM_pl_2,Server&amp;Cube2,PL_Saisie_Estime2!$F$18,PL_Saisie_Estime2!$F$19,PL_Saisie_Estime2!$F$16,PL_Saisie_Estime2!$F$15,PL_Saisie_Estime2!$F$14,PL_Saisie_Estime2!$F$20,PL_Saisie_Estime2!$F$13,PL_Saisie_Estime2!$S$4,PL_Saisie_Estime2!$L$4,"Compte_resultat_saisie_Forecast_2",PL_Saisie_Estime2!C443),"")</f>
        <v/>
      </c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8"/>
      <c r="R443" s="278"/>
      <c r="S443" s="278"/>
      <c r="T443" s="278"/>
      <c r="U443" s="278"/>
      <c r="V443" s="278"/>
      <c r="W443" s="278"/>
      <c r="X443" s="278"/>
      <c r="Y443" s="278"/>
      <c r="Z443" s="278"/>
      <c r="AA443" s="278"/>
      <c r="AB443" s="278"/>
      <c r="AC443" s="278"/>
      <c r="AD443" s="278"/>
      <c r="AE443" s="278"/>
      <c r="AF443" s="278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</row>
    <row r="444" spans="1:53" s="46" customFormat="1" ht="23.25" customHeight="1" x14ac:dyDescent="0.2">
      <c r="A444" s="163"/>
      <c r="B444" s="163"/>
      <c r="C444" s="26" t="s">
        <v>30</v>
      </c>
      <c r="D444" s="45"/>
      <c r="E444" s="277" t="str">
        <f ca="1">IF(Flag_Send_Comment=1,_xll.DBSS(DBS_COM_pl_3,Server&amp;Cube2,PL_Saisie_Estime2!$F$18,PL_Saisie_Estime2!$F$19,PL_Saisie_Estime2!$F$16,PL_Saisie_Estime2!$F$15,PL_Saisie_Estime2!$F$14,PL_Saisie_Estime2!$F$20,PL_Saisie_Estime2!$F$13,PL_Saisie_Estime2!$S$4,PL_Saisie_Estime2!$L$4,"Compte_resultat_saisie_Forecast_2",PL_Saisie_Estime2!C444),"")</f>
        <v/>
      </c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8"/>
      <c r="R444" s="278"/>
      <c r="S444" s="278"/>
      <c r="T444" s="278"/>
      <c r="U444" s="278"/>
      <c r="V444" s="278"/>
      <c r="W444" s="278"/>
      <c r="X444" s="278"/>
      <c r="Y444" s="278"/>
      <c r="Z444" s="278"/>
      <c r="AA444" s="278"/>
      <c r="AB444" s="278"/>
      <c r="AC444" s="278"/>
      <c r="AD444" s="278"/>
      <c r="AE444" s="278"/>
      <c r="AF444" s="278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</row>
    <row r="445" spans="1:53" s="46" customFormat="1" ht="23.25" customHeight="1" thickBot="1" x14ac:dyDescent="0.25">
      <c r="A445" s="163"/>
      <c r="B445" s="163"/>
      <c r="C445" s="26" t="s">
        <v>31</v>
      </c>
      <c r="D445" s="45"/>
      <c r="E445" s="279" t="str">
        <f ca="1">IF(Flag_Send_Comment=1,_xll.DBSS(DBS_COM_pl_4,Server&amp;Cube2,PL_Saisie_Estime2!$F$18,PL_Saisie_Estime2!$F$19,PL_Saisie_Estime2!$F$16,PL_Saisie_Estime2!$F$15,PL_Saisie_Estime2!$F$14,PL_Saisie_Estime2!$F$20,PL_Saisie_Estime2!$F$13,PL_Saisie_Estime2!$S$4,PL_Saisie_Estime2!$L$4,"Compte_resultat_saisie_Forecast_2",PL_Saisie_Estime2!C445),"")</f>
        <v/>
      </c>
      <c r="F445" s="280"/>
      <c r="G445" s="280"/>
      <c r="H445" s="280"/>
      <c r="I445" s="280"/>
      <c r="J445" s="280"/>
      <c r="K445" s="280"/>
      <c r="L445" s="280"/>
      <c r="M445" s="280"/>
      <c r="N445" s="280"/>
      <c r="O445" s="280"/>
      <c r="P445" s="280"/>
      <c r="Q445" s="280"/>
      <c r="R445" s="280"/>
      <c r="S445" s="280"/>
      <c r="T445" s="280"/>
      <c r="U445" s="280"/>
      <c r="V445" s="280"/>
      <c r="W445" s="280"/>
      <c r="X445" s="280"/>
      <c r="Y445" s="280"/>
      <c r="Z445" s="280"/>
      <c r="AA445" s="280"/>
      <c r="AB445" s="280"/>
      <c r="AC445" s="280"/>
      <c r="AD445" s="280"/>
      <c r="AE445" s="280"/>
      <c r="AF445" s="280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</row>
    <row r="446" spans="1:53" s="46" customFormat="1" ht="12.75" x14ac:dyDescent="0.2">
      <c r="A446" s="163"/>
      <c r="B446" s="163"/>
      <c r="C446" s="26"/>
      <c r="D446" s="45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</row>
    <row r="447" spans="1:53" s="46" customFormat="1" ht="12.75" x14ac:dyDescent="0.2">
      <c r="A447" s="163"/>
      <c r="B447" s="163"/>
      <c r="C447" s="26"/>
      <c r="D447" s="45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</row>
    <row r="448" spans="1:53" s="46" customFormat="1" ht="12.75" x14ac:dyDescent="0.2">
      <c r="A448" s="163"/>
      <c r="B448" s="163"/>
      <c r="C448" s="26"/>
      <c r="D448" s="45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</row>
    <row r="449" spans="1:4" s="53" customFormat="1" ht="12.75" x14ac:dyDescent="0.2">
      <c r="A449" s="163"/>
      <c r="B449" s="163"/>
      <c r="C449" s="26"/>
      <c r="D449" s="24"/>
    </row>
    <row r="450" spans="1:4" s="53" customFormat="1" ht="18" customHeight="1" x14ac:dyDescent="0.2">
      <c r="A450" s="163"/>
      <c r="B450" s="163"/>
      <c r="C450" s="26"/>
      <c r="D450" s="24"/>
    </row>
    <row r="451" spans="1:4" s="53" customFormat="1" ht="18" customHeight="1" x14ac:dyDescent="0.2">
      <c r="A451" s="163"/>
      <c r="B451" s="163"/>
    </row>
    <row r="452" spans="1:4" s="53" customFormat="1" ht="18" customHeight="1" x14ac:dyDescent="0.2">
      <c r="A452" s="163"/>
      <c r="B452" s="163"/>
    </row>
    <row r="453" spans="1:4" s="53" customFormat="1" ht="18" customHeight="1" x14ac:dyDescent="0.2">
      <c r="A453" s="163"/>
      <c r="B453" s="163"/>
    </row>
    <row r="454" spans="1:4" s="53" customFormat="1" ht="18" customHeight="1" x14ac:dyDescent="0.2">
      <c r="A454" s="163"/>
      <c r="B454" s="163"/>
    </row>
    <row r="455" spans="1:4" s="53" customFormat="1" ht="18" customHeight="1" x14ac:dyDescent="0.2">
      <c r="A455" s="163"/>
      <c r="B455" s="163"/>
      <c r="C455" s="55"/>
    </row>
    <row r="456" spans="1:4" s="53" customFormat="1" ht="18" customHeight="1" x14ac:dyDescent="0.2">
      <c r="A456" s="163"/>
      <c r="B456" s="163"/>
    </row>
    <row r="457" spans="1:4" s="53" customFormat="1" ht="18" customHeight="1" x14ac:dyDescent="0.2">
      <c r="A457" s="163"/>
      <c r="B457" s="163"/>
    </row>
    <row r="458" spans="1:4" s="53" customFormat="1" ht="18" customHeight="1" x14ac:dyDescent="0.2">
      <c r="A458" s="163"/>
      <c r="B458" s="163"/>
    </row>
    <row r="459" spans="1:4" s="53" customFormat="1" ht="18" customHeight="1" x14ac:dyDescent="0.2">
      <c r="A459" s="163"/>
      <c r="B459" s="163"/>
    </row>
    <row r="460" spans="1:4" s="53" customFormat="1" ht="18" customHeight="1" x14ac:dyDescent="0.2">
      <c r="A460" s="163"/>
      <c r="B460" s="163"/>
    </row>
    <row r="461" spans="1:4" s="53" customFormat="1" ht="18" customHeight="1" x14ac:dyDescent="0.2">
      <c r="A461" s="163"/>
      <c r="B461" s="163"/>
    </row>
    <row r="462" spans="1:4" s="53" customFormat="1" ht="18" customHeight="1" x14ac:dyDescent="0.2">
      <c r="A462" s="163"/>
      <c r="B462" s="163"/>
    </row>
    <row r="463" spans="1:4" s="53" customFormat="1" ht="18" customHeight="1" x14ac:dyDescent="0.2">
      <c r="A463" s="163"/>
      <c r="B463" s="163"/>
    </row>
    <row r="464" spans="1:4" s="53" customFormat="1" ht="18" customHeight="1" x14ac:dyDescent="0.2">
      <c r="A464" s="163"/>
      <c r="B464" s="163"/>
    </row>
    <row r="465" spans="1:2" s="53" customFormat="1" ht="18" customHeight="1" x14ac:dyDescent="0.2">
      <c r="A465" s="163"/>
      <c r="B465" s="163"/>
    </row>
    <row r="466" spans="1:2" s="53" customFormat="1" ht="18" customHeight="1" x14ac:dyDescent="0.2">
      <c r="A466" s="163"/>
      <c r="B466" s="163"/>
    </row>
    <row r="467" spans="1:2" s="53" customFormat="1" ht="18" customHeight="1" x14ac:dyDescent="0.2">
      <c r="A467" s="163"/>
      <c r="B467" s="163"/>
    </row>
    <row r="468" spans="1:2" s="53" customFormat="1" ht="18" customHeight="1" x14ac:dyDescent="0.2">
      <c r="A468" s="163"/>
      <c r="B468" s="163"/>
    </row>
    <row r="469" spans="1:2" s="53" customFormat="1" ht="18" customHeight="1" x14ac:dyDescent="0.2">
      <c r="A469" s="163"/>
      <c r="B469" s="163"/>
    </row>
    <row r="470" spans="1:2" s="53" customFormat="1" ht="18" customHeight="1" x14ac:dyDescent="0.2">
      <c r="A470" s="163"/>
      <c r="B470" s="163"/>
    </row>
    <row r="471" spans="1:2" s="53" customFormat="1" ht="18" customHeight="1" x14ac:dyDescent="0.2">
      <c r="A471" s="163"/>
      <c r="B471" s="163"/>
    </row>
    <row r="472" spans="1:2" s="53" customFormat="1" ht="18" customHeight="1" x14ac:dyDescent="0.2">
      <c r="A472" s="163"/>
      <c r="B472" s="163"/>
    </row>
    <row r="473" spans="1:2" s="53" customFormat="1" ht="18" customHeight="1" x14ac:dyDescent="0.2">
      <c r="A473" s="163"/>
      <c r="B473" s="163"/>
    </row>
    <row r="474" spans="1:2" s="53" customFormat="1" ht="18" customHeight="1" x14ac:dyDescent="0.2">
      <c r="A474" s="163"/>
      <c r="B474" s="163"/>
    </row>
    <row r="475" spans="1:2" s="53" customFormat="1" ht="18" customHeight="1" x14ac:dyDescent="0.2">
      <c r="A475" s="163"/>
      <c r="B475" s="163"/>
    </row>
    <row r="476" spans="1:2" s="53" customFormat="1" ht="18" customHeight="1" x14ac:dyDescent="0.2">
      <c r="A476" s="163"/>
      <c r="B476" s="163"/>
    </row>
    <row r="477" spans="1:2" s="53" customFormat="1" ht="18" customHeight="1" x14ac:dyDescent="0.2">
      <c r="A477" s="163"/>
      <c r="B477" s="163"/>
    </row>
    <row r="478" spans="1:2" s="53" customFormat="1" ht="18" customHeight="1" x14ac:dyDescent="0.2">
      <c r="A478" s="163"/>
      <c r="B478" s="163"/>
    </row>
    <row r="479" spans="1:2" s="53" customFormat="1" ht="18" customHeight="1" x14ac:dyDescent="0.2">
      <c r="A479" s="163"/>
      <c r="B479" s="163"/>
    </row>
    <row r="480" spans="1:2" s="53" customFormat="1" ht="18" customHeight="1" x14ac:dyDescent="0.2">
      <c r="A480" s="163"/>
      <c r="B480" s="163"/>
    </row>
    <row r="481" spans="1:2" s="53" customFormat="1" ht="18" customHeight="1" x14ac:dyDescent="0.2">
      <c r="A481" s="163"/>
      <c r="B481" s="163"/>
    </row>
    <row r="482" spans="1:2" s="53" customFormat="1" ht="18" customHeight="1" x14ac:dyDescent="0.2">
      <c r="A482" s="163"/>
      <c r="B482" s="163"/>
    </row>
    <row r="483" spans="1:2" s="53" customFormat="1" ht="18" customHeight="1" x14ac:dyDescent="0.2">
      <c r="A483" s="163"/>
      <c r="B483" s="163"/>
    </row>
    <row r="484" spans="1:2" s="53" customFormat="1" ht="18" customHeight="1" x14ac:dyDescent="0.2">
      <c r="A484" s="163"/>
      <c r="B484" s="163"/>
    </row>
    <row r="485" spans="1:2" s="53" customFormat="1" ht="18" customHeight="1" x14ac:dyDescent="0.2">
      <c r="A485" s="163"/>
      <c r="B485" s="163"/>
    </row>
    <row r="486" spans="1:2" s="53" customFormat="1" ht="18" customHeight="1" x14ac:dyDescent="0.2">
      <c r="A486" s="163"/>
      <c r="B486" s="163"/>
    </row>
    <row r="487" spans="1:2" s="53" customFormat="1" ht="18" customHeight="1" x14ac:dyDescent="0.2">
      <c r="A487" s="163"/>
      <c r="B487" s="163"/>
    </row>
    <row r="488" spans="1:2" s="53" customFormat="1" ht="18" customHeight="1" x14ac:dyDescent="0.2">
      <c r="A488" s="163"/>
      <c r="B488" s="163"/>
    </row>
    <row r="489" spans="1:2" s="53" customFormat="1" ht="18" customHeight="1" x14ac:dyDescent="0.2">
      <c r="A489" s="163"/>
      <c r="B489" s="163"/>
    </row>
    <row r="490" spans="1:2" s="53" customFormat="1" ht="18" customHeight="1" x14ac:dyDescent="0.2">
      <c r="A490" s="163"/>
      <c r="B490" s="163"/>
    </row>
    <row r="491" spans="1:2" s="53" customFormat="1" ht="18" customHeight="1" x14ac:dyDescent="0.2">
      <c r="A491" s="163"/>
      <c r="B491" s="163"/>
    </row>
    <row r="492" spans="1:2" s="53" customFormat="1" ht="18" customHeight="1" x14ac:dyDescent="0.2">
      <c r="A492" s="163"/>
      <c r="B492" s="163"/>
    </row>
    <row r="493" spans="1:2" s="53" customFormat="1" ht="18" customHeight="1" x14ac:dyDescent="0.2">
      <c r="A493" s="163"/>
      <c r="B493" s="163"/>
    </row>
    <row r="494" spans="1:2" s="53" customFormat="1" ht="18" customHeight="1" x14ac:dyDescent="0.2">
      <c r="A494" s="163"/>
      <c r="B494" s="163"/>
    </row>
    <row r="495" spans="1:2" s="53" customFormat="1" ht="18" customHeight="1" x14ac:dyDescent="0.2">
      <c r="A495" s="163"/>
      <c r="B495" s="163"/>
    </row>
    <row r="496" spans="1:2" s="53" customFormat="1" ht="18" customHeight="1" x14ac:dyDescent="0.2">
      <c r="A496" s="163"/>
      <c r="B496" s="163"/>
    </row>
    <row r="497" spans="1:2" s="53" customFormat="1" ht="18" customHeight="1" x14ac:dyDescent="0.2">
      <c r="A497" s="163"/>
      <c r="B497" s="163"/>
    </row>
    <row r="498" spans="1:2" s="53" customFormat="1" ht="18" customHeight="1" x14ac:dyDescent="0.2">
      <c r="A498" s="163"/>
      <c r="B498" s="163"/>
    </row>
    <row r="499" spans="1:2" s="53" customFormat="1" ht="18" customHeight="1" x14ac:dyDescent="0.2">
      <c r="A499" s="163"/>
      <c r="B499" s="163"/>
    </row>
    <row r="500" spans="1:2" s="53" customFormat="1" ht="18" customHeight="1" x14ac:dyDescent="0.2">
      <c r="A500" s="163"/>
      <c r="B500" s="163"/>
    </row>
    <row r="501" spans="1:2" s="53" customFormat="1" ht="18" customHeight="1" x14ac:dyDescent="0.2">
      <c r="A501" s="163"/>
      <c r="B501" s="163"/>
    </row>
    <row r="502" spans="1:2" s="53" customFormat="1" ht="18" customHeight="1" x14ac:dyDescent="0.2">
      <c r="A502" s="163"/>
      <c r="B502" s="163"/>
    </row>
    <row r="503" spans="1:2" s="53" customFormat="1" ht="18" customHeight="1" x14ac:dyDescent="0.2">
      <c r="A503" s="163"/>
      <c r="B503" s="163"/>
    </row>
    <row r="504" spans="1:2" s="53" customFormat="1" ht="18" customHeight="1" x14ac:dyDescent="0.2">
      <c r="A504" s="163"/>
      <c r="B504" s="163"/>
    </row>
    <row r="505" spans="1:2" s="53" customFormat="1" ht="18" customHeight="1" x14ac:dyDescent="0.2">
      <c r="A505" s="163"/>
      <c r="B505" s="163"/>
    </row>
    <row r="506" spans="1:2" s="53" customFormat="1" ht="18" customHeight="1" x14ac:dyDescent="0.2">
      <c r="A506" s="163"/>
      <c r="B506" s="163"/>
    </row>
    <row r="507" spans="1:2" s="53" customFormat="1" ht="18" customHeight="1" x14ac:dyDescent="0.2">
      <c r="A507" s="163"/>
      <c r="B507" s="163"/>
    </row>
    <row r="508" spans="1:2" s="53" customFormat="1" ht="18" customHeight="1" x14ac:dyDescent="0.2">
      <c r="A508" s="163"/>
      <c r="B508" s="163"/>
    </row>
    <row r="509" spans="1:2" s="53" customFormat="1" ht="18" customHeight="1" x14ac:dyDescent="0.2">
      <c r="A509" s="163"/>
      <c r="B509" s="163"/>
    </row>
    <row r="510" spans="1:2" s="53" customFormat="1" ht="18" customHeight="1" x14ac:dyDescent="0.2">
      <c r="A510" s="163"/>
      <c r="B510" s="163"/>
    </row>
    <row r="511" spans="1:2" s="53" customFormat="1" ht="18" customHeight="1" x14ac:dyDescent="0.2">
      <c r="A511" s="163"/>
      <c r="B511" s="163"/>
    </row>
    <row r="512" spans="1:2" s="53" customFormat="1" ht="18" customHeight="1" x14ac:dyDescent="0.2">
      <c r="A512" s="163"/>
      <c r="B512" s="163"/>
    </row>
    <row r="513" spans="1:2" s="53" customFormat="1" ht="18" customHeight="1" x14ac:dyDescent="0.2">
      <c r="A513" s="163"/>
      <c r="B513" s="163"/>
    </row>
    <row r="514" spans="1:2" s="53" customFormat="1" ht="18" customHeight="1" x14ac:dyDescent="0.2">
      <c r="A514" s="163"/>
      <c r="B514" s="163"/>
    </row>
    <row r="515" spans="1:2" s="53" customFormat="1" ht="18" customHeight="1" x14ac:dyDescent="0.2">
      <c r="A515" s="163"/>
      <c r="B515" s="163"/>
    </row>
    <row r="516" spans="1:2" s="53" customFormat="1" ht="18" customHeight="1" x14ac:dyDescent="0.2">
      <c r="A516" s="163"/>
      <c r="B516" s="163"/>
    </row>
    <row r="517" spans="1:2" s="53" customFormat="1" ht="18" customHeight="1" x14ac:dyDescent="0.2">
      <c r="A517" s="163"/>
      <c r="B517" s="163"/>
    </row>
  </sheetData>
  <sheetProtection formatColumns="0" formatRows="0"/>
  <protectedRanges>
    <protectedRange sqref="G442:AF444" name="Commentaires"/>
  </protectedRanges>
  <mergeCells count="456">
    <mergeCell ref="I22:I23"/>
    <mergeCell ref="J22:J23"/>
    <mergeCell ref="K22:K23"/>
    <mergeCell ref="L22:L23"/>
    <mergeCell ref="M22:M23"/>
    <mergeCell ref="O22:O23"/>
    <mergeCell ref="G9:Y10"/>
    <mergeCell ref="AD9:AD10"/>
    <mergeCell ref="AF9:AF10"/>
    <mergeCell ref="M18:M19"/>
    <mergeCell ref="I20:M21"/>
    <mergeCell ref="O20:O21"/>
    <mergeCell ref="T20:AF21"/>
    <mergeCell ref="AR27:AT27"/>
    <mergeCell ref="E28:G28"/>
    <mergeCell ref="E29:G29"/>
    <mergeCell ref="E30:G30"/>
    <mergeCell ref="E31:G31"/>
    <mergeCell ref="E32:G32"/>
    <mergeCell ref="AD22:AD23"/>
    <mergeCell ref="AE22:AE23"/>
    <mergeCell ref="AF22:AF23"/>
    <mergeCell ref="E25:G25"/>
    <mergeCell ref="E26:G26"/>
    <mergeCell ref="E27:G27"/>
    <mergeCell ref="X22:X23"/>
    <mergeCell ref="Y22:Y23"/>
    <mergeCell ref="Z22:Z23"/>
    <mergeCell ref="AA22:AA23"/>
    <mergeCell ref="AB22:AB23"/>
    <mergeCell ref="AC22:AC23"/>
    <mergeCell ref="Q22:Q23"/>
    <mergeCell ref="R22:R23"/>
    <mergeCell ref="T22:T23"/>
    <mergeCell ref="U22:U23"/>
    <mergeCell ref="V22:V23"/>
    <mergeCell ref="W22:W23"/>
    <mergeCell ref="AZ35:BA35"/>
    <mergeCell ref="E36:G36"/>
    <mergeCell ref="E37:G37"/>
    <mergeCell ref="AR37:AR40"/>
    <mergeCell ref="E38:G38"/>
    <mergeCell ref="E39:G39"/>
    <mergeCell ref="E40:G40"/>
    <mergeCell ref="E33:G33"/>
    <mergeCell ref="E34:G34"/>
    <mergeCell ref="AR34:AT34"/>
    <mergeCell ref="E35:G35"/>
    <mergeCell ref="AR35:AS35"/>
    <mergeCell ref="AU35:AV35"/>
    <mergeCell ref="E41:G41"/>
    <mergeCell ref="AR41:AR47"/>
    <mergeCell ref="E42:G42"/>
    <mergeCell ref="E43:G43"/>
    <mergeCell ref="E44:G44"/>
    <mergeCell ref="E45:G45"/>
    <mergeCell ref="E46:G46"/>
    <mergeCell ref="E47:G47"/>
    <mergeCell ref="AX35:AY35"/>
    <mergeCell ref="E54:G54"/>
    <mergeCell ref="AR54:AR57"/>
    <mergeCell ref="E55:G55"/>
    <mergeCell ref="E56:G56"/>
    <mergeCell ref="E57:G57"/>
    <mergeCell ref="E58:G58"/>
    <mergeCell ref="E48:G48"/>
    <mergeCell ref="AR48:AR53"/>
    <mergeCell ref="E49:G49"/>
    <mergeCell ref="E50:G50"/>
    <mergeCell ref="E51:G51"/>
    <mergeCell ref="E52:G52"/>
    <mergeCell ref="E53:G53"/>
    <mergeCell ref="E59:G59"/>
    <mergeCell ref="E60:G60"/>
    <mergeCell ref="AR60:AR61"/>
    <mergeCell ref="E61:G61"/>
    <mergeCell ref="E62:G62"/>
    <mergeCell ref="AR62:AR66"/>
    <mergeCell ref="E63:G63"/>
    <mergeCell ref="E64:G64"/>
    <mergeCell ref="E65:G65"/>
    <mergeCell ref="E66:G66"/>
    <mergeCell ref="E76:G76"/>
    <mergeCell ref="E77:G77"/>
    <mergeCell ref="E78:G78"/>
    <mergeCell ref="E79:G79"/>
    <mergeCell ref="E80:G80"/>
    <mergeCell ref="E81:G81"/>
    <mergeCell ref="E67:G67"/>
    <mergeCell ref="E68:G68"/>
    <mergeCell ref="AR68:AR83"/>
    <mergeCell ref="E69:G69"/>
    <mergeCell ref="E70:G70"/>
    <mergeCell ref="E71:G71"/>
    <mergeCell ref="E72:G72"/>
    <mergeCell ref="E73:G73"/>
    <mergeCell ref="E74:G74"/>
    <mergeCell ref="E75:G75"/>
    <mergeCell ref="E82:G82"/>
    <mergeCell ref="E83:G83"/>
    <mergeCell ref="E84:G84"/>
    <mergeCell ref="AR84:AR85"/>
    <mergeCell ref="E85:G85"/>
    <mergeCell ref="E86:G86"/>
    <mergeCell ref="AR86:AR91"/>
    <mergeCell ref="E87:G87"/>
    <mergeCell ref="E88:G88"/>
    <mergeCell ref="E89:G89"/>
    <mergeCell ref="E95:G95"/>
    <mergeCell ref="AR95:AR98"/>
    <mergeCell ref="E96:G96"/>
    <mergeCell ref="E97:G97"/>
    <mergeCell ref="E98:G98"/>
    <mergeCell ref="E99:G99"/>
    <mergeCell ref="E90:G90"/>
    <mergeCell ref="E91:G91"/>
    <mergeCell ref="E92:G92"/>
    <mergeCell ref="AR92:AR94"/>
    <mergeCell ref="E93:G93"/>
    <mergeCell ref="E94:G94"/>
    <mergeCell ref="E106:G106"/>
    <mergeCell ref="E107:G107"/>
    <mergeCell ref="E108:G108"/>
    <mergeCell ref="E109:G109"/>
    <mergeCell ref="E110:G110"/>
    <mergeCell ref="E111:G111"/>
    <mergeCell ref="E100:G100"/>
    <mergeCell ref="E101:G101"/>
    <mergeCell ref="E102:G102"/>
    <mergeCell ref="E103:G103"/>
    <mergeCell ref="E104:G104"/>
    <mergeCell ref="E105:G105"/>
    <mergeCell ref="E118:G118"/>
    <mergeCell ref="E119:G119"/>
    <mergeCell ref="E120:G120"/>
    <mergeCell ref="E121:G121"/>
    <mergeCell ref="E122:G122"/>
    <mergeCell ref="E123:G123"/>
    <mergeCell ref="E112:G112"/>
    <mergeCell ref="E113:G113"/>
    <mergeCell ref="E114:G114"/>
    <mergeCell ref="E115:G115"/>
    <mergeCell ref="E116:G116"/>
    <mergeCell ref="E117:G117"/>
    <mergeCell ref="E130:G130"/>
    <mergeCell ref="E131:G131"/>
    <mergeCell ref="E132:G132"/>
    <mergeCell ref="E133:G133"/>
    <mergeCell ref="E134:G134"/>
    <mergeCell ref="E135:G135"/>
    <mergeCell ref="E124:G124"/>
    <mergeCell ref="E125:G125"/>
    <mergeCell ref="E126:G126"/>
    <mergeCell ref="E127:G127"/>
    <mergeCell ref="E128:G128"/>
    <mergeCell ref="E129:G129"/>
    <mergeCell ref="E142:G142"/>
    <mergeCell ref="E143:G143"/>
    <mergeCell ref="E144:G144"/>
    <mergeCell ref="E145:G145"/>
    <mergeCell ref="E146:G146"/>
    <mergeCell ref="E147:G147"/>
    <mergeCell ref="E136:G136"/>
    <mergeCell ref="E137:G137"/>
    <mergeCell ref="E138:G138"/>
    <mergeCell ref="E139:G139"/>
    <mergeCell ref="E140:G140"/>
    <mergeCell ref="E141:G141"/>
    <mergeCell ref="E154:G154"/>
    <mergeCell ref="E155:G155"/>
    <mergeCell ref="E156:G156"/>
    <mergeCell ref="E157:G157"/>
    <mergeCell ref="E158:G158"/>
    <mergeCell ref="E159:G159"/>
    <mergeCell ref="E148:G148"/>
    <mergeCell ref="E149:G149"/>
    <mergeCell ref="E150:G150"/>
    <mergeCell ref="E151:G151"/>
    <mergeCell ref="E152:G152"/>
    <mergeCell ref="E153:G153"/>
    <mergeCell ref="E166:G166"/>
    <mergeCell ref="E167:G167"/>
    <mergeCell ref="E168:G168"/>
    <mergeCell ref="E169:G169"/>
    <mergeCell ref="E170:G170"/>
    <mergeCell ref="E171:G171"/>
    <mergeCell ref="E160:G160"/>
    <mergeCell ref="E161:G161"/>
    <mergeCell ref="E162:G162"/>
    <mergeCell ref="E163:G163"/>
    <mergeCell ref="E164:G164"/>
    <mergeCell ref="E165:G165"/>
    <mergeCell ref="E178:G178"/>
    <mergeCell ref="E179:G179"/>
    <mergeCell ref="E180:G180"/>
    <mergeCell ref="E181:G181"/>
    <mergeCell ref="E182:G182"/>
    <mergeCell ref="E183:G183"/>
    <mergeCell ref="E172:G172"/>
    <mergeCell ref="E173:G173"/>
    <mergeCell ref="E174:G174"/>
    <mergeCell ref="E175:G175"/>
    <mergeCell ref="E176:G176"/>
    <mergeCell ref="E177:G177"/>
    <mergeCell ref="E190:G190"/>
    <mergeCell ref="E191:G191"/>
    <mergeCell ref="E192:G192"/>
    <mergeCell ref="E193:G193"/>
    <mergeCell ref="E194:G194"/>
    <mergeCell ref="E195:G195"/>
    <mergeCell ref="E184:G184"/>
    <mergeCell ref="E185:G185"/>
    <mergeCell ref="E186:G186"/>
    <mergeCell ref="E187:G187"/>
    <mergeCell ref="E188:G188"/>
    <mergeCell ref="E189:G189"/>
    <mergeCell ref="E202:G202"/>
    <mergeCell ref="E203:G203"/>
    <mergeCell ref="E204:G204"/>
    <mergeCell ref="E205:G205"/>
    <mergeCell ref="E206:G206"/>
    <mergeCell ref="E207:G207"/>
    <mergeCell ref="E196:G196"/>
    <mergeCell ref="E197:G197"/>
    <mergeCell ref="E198:G198"/>
    <mergeCell ref="E199:G199"/>
    <mergeCell ref="E200:G200"/>
    <mergeCell ref="E201:G201"/>
    <mergeCell ref="E214:G214"/>
    <mergeCell ref="E215:G215"/>
    <mergeCell ref="E216:G216"/>
    <mergeCell ref="E217:G217"/>
    <mergeCell ref="E218:G218"/>
    <mergeCell ref="E219:G219"/>
    <mergeCell ref="E208:G208"/>
    <mergeCell ref="E209:G209"/>
    <mergeCell ref="E210:G210"/>
    <mergeCell ref="E211:G211"/>
    <mergeCell ref="E212:G212"/>
    <mergeCell ref="E213:G213"/>
    <mergeCell ref="E226:G226"/>
    <mergeCell ref="E227:G227"/>
    <mergeCell ref="E228:G228"/>
    <mergeCell ref="E229:G229"/>
    <mergeCell ref="E230:G230"/>
    <mergeCell ref="E231:G231"/>
    <mergeCell ref="E220:G220"/>
    <mergeCell ref="E221:G221"/>
    <mergeCell ref="E222:G222"/>
    <mergeCell ref="E223:G223"/>
    <mergeCell ref="E224:G224"/>
    <mergeCell ref="E225:G225"/>
    <mergeCell ref="E238:G238"/>
    <mergeCell ref="E239:G239"/>
    <mergeCell ref="E240:G240"/>
    <mergeCell ref="E241:G241"/>
    <mergeCell ref="E242:G242"/>
    <mergeCell ref="E243:G243"/>
    <mergeCell ref="E232:G232"/>
    <mergeCell ref="E233:G233"/>
    <mergeCell ref="E234:G234"/>
    <mergeCell ref="E235:G235"/>
    <mergeCell ref="E236:G236"/>
    <mergeCell ref="E237:G237"/>
    <mergeCell ref="E250:G250"/>
    <mergeCell ref="E251:G251"/>
    <mergeCell ref="E252:G252"/>
    <mergeCell ref="E253:G253"/>
    <mergeCell ref="E254:G254"/>
    <mergeCell ref="E255:G255"/>
    <mergeCell ref="E244:G244"/>
    <mergeCell ref="E245:G245"/>
    <mergeCell ref="E246:G246"/>
    <mergeCell ref="E247:G247"/>
    <mergeCell ref="E248:G248"/>
    <mergeCell ref="E249:G249"/>
    <mergeCell ref="E262:G262"/>
    <mergeCell ref="E263:G263"/>
    <mergeCell ref="E264:G264"/>
    <mergeCell ref="E265:G265"/>
    <mergeCell ref="E266:G266"/>
    <mergeCell ref="E267:G267"/>
    <mergeCell ref="E256:G256"/>
    <mergeCell ref="E257:G257"/>
    <mergeCell ref="E258:G258"/>
    <mergeCell ref="E259:G259"/>
    <mergeCell ref="E260:G260"/>
    <mergeCell ref="E261:G261"/>
    <mergeCell ref="E274:G274"/>
    <mergeCell ref="E275:G275"/>
    <mergeCell ref="E276:G276"/>
    <mergeCell ref="E277:G277"/>
    <mergeCell ref="E278:G278"/>
    <mergeCell ref="E279:G279"/>
    <mergeCell ref="E268:G268"/>
    <mergeCell ref="E269:G269"/>
    <mergeCell ref="E270:G270"/>
    <mergeCell ref="E271:G271"/>
    <mergeCell ref="E272:G272"/>
    <mergeCell ref="E273:G273"/>
    <mergeCell ref="E286:G286"/>
    <mergeCell ref="E287:G287"/>
    <mergeCell ref="E288:G288"/>
    <mergeCell ref="E289:G289"/>
    <mergeCell ref="E290:G290"/>
    <mergeCell ref="E291:G291"/>
    <mergeCell ref="E280:G280"/>
    <mergeCell ref="E281:G281"/>
    <mergeCell ref="E282:G282"/>
    <mergeCell ref="E283:G283"/>
    <mergeCell ref="E284:G284"/>
    <mergeCell ref="E285:G285"/>
    <mergeCell ref="E298:G298"/>
    <mergeCell ref="E299:G299"/>
    <mergeCell ref="E300:G300"/>
    <mergeCell ref="E301:G301"/>
    <mergeCell ref="E302:G302"/>
    <mergeCell ref="E303:G303"/>
    <mergeCell ref="E292:G292"/>
    <mergeCell ref="E293:G293"/>
    <mergeCell ref="E294:G294"/>
    <mergeCell ref="E295:G295"/>
    <mergeCell ref="E296:G296"/>
    <mergeCell ref="E297:G297"/>
    <mergeCell ref="E310:G310"/>
    <mergeCell ref="E311:G311"/>
    <mergeCell ref="E312:G312"/>
    <mergeCell ref="E313:G313"/>
    <mergeCell ref="E314:G314"/>
    <mergeCell ref="E315:G315"/>
    <mergeCell ref="E304:G304"/>
    <mergeCell ref="E305:G305"/>
    <mergeCell ref="E306:G306"/>
    <mergeCell ref="E307:G307"/>
    <mergeCell ref="E308:G308"/>
    <mergeCell ref="E309:G309"/>
    <mergeCell ref="E322:G322"/>
    <mergeCell ref="E323:G323"/>
    <mergeCell ref="E324:G324"/>
    <mergeCell ref="E325:G325"/>
    <mergeCell ref="E326:G326"/>
    <mergeCell ref="E327:G327"/>
    <mergeCell ref="E316:G316"/>
    <mergeCell ref="E317:G317"/>
    <mergeCell ref="E318:G318"/>
    <mergeCell ref="E319:G319"/>
    <mergeCell ref="E320:G320"/>
    <mergeCell ref="E321:G321"/>
    <mergeCell ref="E334:G334"/>
    <mergeCell ref="E335:G335"/>
    <mergeCell ref="E336:G336"/>
    <mergeCell ref="E337:G337"/>
    <mergeCell ref="E338:G338"/>
    <mergeCell ref="E339:G339"/>
    <mergeCell ref="E328:G328"/>
    <mergeCell ref="E329:G329"/>
    <mergeCell ref="E330:G330"/>
    <mergeCell ref="E331:G331"/>
    <mergeCell ref="E332:G332"/>
    <mergeCell ref="E333:G333"/>
    <mergeCell ref="E346:G346"/>
    <mergeCell ref="E347:G347"/>
    <mergeCell ref="E348:G348"/>
    <mergeCell ref="E349:G349"/>
    <mergeCell ref="E350:G350"/>
    <mergeCell ref="E351:G351"/>
    <mergeCell ref="E340:G340"/>
    <mergeCell ref="E341:G341"/>
    <mergeCell ref="E342:G342"/>
    <mergeCell ref="E343:G343"/>
    <mergeCell ref="E344:G344"/>
    <mergeCell ref="E345:G345"/>
    <mergeCell ref="E359:G359"/>
    <mergeCell ref="E360:G360"/>
    <mergeCell ref="E361:G361"/>
    <mergeCell ref="E362:G362"/>
    <mergeCell ref="E363:G363"/>
    <mergeCell ref="E364:G364"/>
    <mergeCell ref="E352:G352"/>
    <mergeCell ref="E354:G354"/>
    <mergeCell ref="E355:G355"/>
    <mergeCell ref="E356:G356"/>
    <mergeCell ref="E357:G357"/>
    <mergeCell ref="E358:G358"/>
    <mergeCell ref="E371:G371"/>
    <mergeCell ref="E372:G372"/>
    <mergeCell ref="E373:G373"/>
    <mergeCell ref="E374:G374"/>
    <mergeCell ref="E375:G375"/>
    <mergeCell ref="E376:G376"/>
    <mergeCell ref="E365:G365"/>
    <mergeCell ref="E366:G366"/>
    <mergeCell ref="E367:G367"/>
    <mergeCell ref="E368:G368"/>
    <mergeCell ref="E369:G369"/>
    <mergeCell ref="E370:G370"/>
    <mergeCell ref="E383:G383"/>
    <mergeCell ref="E384:G384"/>
    <mergeCell ref="E385:G385"/>
    <mergeCell ref="E386:G386"/>
    <mergeCell ref="E387:G387"/>
    <mergeCell ref="E388:G388"/>
    <mergeCell ref="E377:G377"/>
    <mergeCell ref="E378:G378"/>
    <mergeCell ref="E379:G379"/>
    <mergeCell ref="E380:G380"/>
    <mergeCell ref="E381:G381"/>
    <mergeCell ref="E382:G382"/>
    <mergeCell ref="E395:G395"/>
    <mergeCell ref="E396:G396"/>
    <mergeCell ref="E397:G397"/>
    <mergeCell ref="E398:G398"/>
    <mergeCell ref="E399:G399"/>
    <mergeCell ref="E400:G400"/>
    <mergeCell ref="E389:G389"/>
    <mergeCell ref="E390:G390"/>
    <mergeCell ref="E391:G391"/>
    <mergeCell ref="E392:G392"/>
    <mergeCell ref="E393:G393"/>
    <mergeCell ref="E394:G394"/>
    <mergeCell ref="E407:G407"/>
    <mergeCell ref="E408:G408"/>
    <mergeCell ref="E409:G409"/>
    <mergeCell ref="E410:G410"/>
    <mergeCell ref="E411:G411"/>
    <mergeCell ref="E412:G412"/>
    <mergeCell ref="E401:G401"/>
    <mergeCell ref="E402:G402"/>
    <mergeCell ref="E403:G403"/>
    <mergeCell ref="E404:G404"/>
    <mergeCell ref="E405:G405"/>
    <mergeCell ref="E406:G406"/>
    <mergeCell ref="E419:G419"/>
    <mergeCell ref="E420:G420"/>
    <mergeCell ref="E421:G421"/>
    <mergeCell ref="E422:G422"/>
    <mergeCell ref="E423:G423"/>
    <mergeCell ref="E424:G424"/>
    <mergeCell ref="E413:G413"/>
    <mergeCell ref="E414:G414"/>
    <mergeCell ref="E415:G415"/>
    <mergeCell ref="E416:G416"/>
    <mergeCell ref="E417:G417"/>
    <mergeCell ref="E418:G418"/>
    <mergeCell ref="E435:G435"/>
    <mergeCell ref="E437:G437"/>
    <mergeCell ref="E442:AF442"/>
    <mergeCell ref="E443:AF443"/>
    <mergeCell ref="E444:AF444"/>
    <mergeCell ref="E445:AF445"/>
    <mergeCell ref="E425:G425"/>
    <mergeCell ref="E427:G427"/>
    <mergeCell ref="E429:G429"/>
    <mergeCell ref="E430:G430"/>
    <mergeCell ref="E431:G431"/>
    <mergeCell ref="E433:G433"/>
  </mergeCells>
  <dataValidations count="1">
    <dataValidation type="list" allowBlank="1" showInputMessage="1" showErrorMessage="1" sqref="F21">
      <formula1>Language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30" orientation="landscape" r:id="rId1"/>
  <headerFooter alignWithMargins="0">
    <oddFooter>&amp;L&amp;"Arial,Gras"VEOLIA Confidentiel&amp;C&amp;D&amp;RPage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68</vt:i4>
      </vt:variant>
    </vt:vector>
  </HeadingPairs>
  <TitlesOfParts>
    <vt:vector size="71" baseType="lpstr">
      <vt:lpstr>Context</vt:lpstr>
      <vt:lpstr>PL_Saisie_Estime2</vt:lpstr>
      <vt:lpstr>PL_Saisie_Estime2_DBS</vt:lpstr>
      <vt:lpstr>ActualForecastAdmin</vt:lpstr>
      <vt:lpstr>ActualMonth</vt:lpstr>
      <vt:lpstr>ActualMonthYTD</vt:lpstr>
      <vt:lpstr>ActualYear</vt:lpstr>
      <vt:lpstr>AutoFit</vt:lpstr>
      <vt:lpstr>AutoFit2</vt:lpstr>
      <vt:lpstr>AutoRefresh_PL_Saisie_Estime2</vt:lpstr>
      <vt:lpstr>Cube1</vt:lpstr>
      <vt:lpstr>Cube2</vt:lpstr>
      <vt:lpstr>DBS_COM_pl_1</vt:lpstr>
      <vt:lpstr>DBS_COM_pl_2</vt:lpstr>
      <vt:lpstr>DBS_COM_pl_3</vt:lpstr>
      <vt:lpstr>DBS_COM_pl_4</vt:lpstr>
      <vt:lpstr>DBS_Input_PL_Forecast_1</vt:lpstr>
      <vt:lpstr>DBS_Input_PL_Forecast_10</vt:lpstr>
      <vt:lpstr>DBS_Input_PL_Forecast_11</vt:lpstr>
      <vt:lpstr>DBS_Input_PL_Forecast_12</vt:lpstr>
      <vt:lpstr>DBS_Input_PL_Forecast_13</vt:lpstr>
      <vt:lpstr>DBS_Input_PL_Forecast_14</vt:lpstr>
      <vt:lpstr>DBS_Input_PL_Forecast_15</vt:lpstr>
      <vt:lpstr>DBS_Input_PL_Forecast_16</vt:lpstr>
      <vt:lpstr>DBS_Input_PL_Forecast_17</vt:lpstr>
      <vt:lpstr>DBS_Input_PL_Forecast_18</vt:lpstr>
      <vt:lpstr>DBS_Input_PL_Forecast_19</vt:lpstr>
      <vt:lpstr>DBS_Input_PL_Forecast_2</vt:lpstr>
      <vt:lpstr>DBS_Input_PL_Forecast_20</vt:lpstr>
      <vt:lpstr>DBS_Input_PL_Forecast_21</vt:lpstr>
      <vt:lpstr>DBS_Input_PL_Forecast_22</vt:lpstr>
      <vt:lpstr>DBS_Input_PL_Forecast_23</vt:lpstr>
      <vt:lpstr>DBS_Input_PL_Forecast_24</vt:lpstr>
      <vt:lpstr>DBS_Input_PL_Forecast_25</vt:lpstr>
      <vt:lpstr>DBS_Input_PL_Forecast_26</vt:lpstr>
      <vt:lpstr>DBS_Input_PL_Forecast_27</vt:lpstr>
      <vt:lpstr>DBS_Input_PL_Forecast_28</vt:lpstr>
      <vt:lpstr>DBS_Input_PL_Forecast_29</vt:lpstr>
      <vt:lpstr>DBS_Input_PL_Forecast_3</vt:lpstr>
      <vt:lpstr>DBS_Input_PL_Forecast_30</vt:lpstr>
      <vt:lpstr>DBS_Input_PL_Forecast_31</vt:lpstr>
      <vt:lpstr>DBS_Input_PL_Forecast_32</vt:lpstr>
      <vt:lpstr>DBS_Input_PL_Forecast_33</vt:lpstr>
      <vt:lpstr>DBS_Input_PL_Forecast_34</vt:lpstr>
      <vt:lpstr>DBS_Input_PL_Forecast_35</vt:lpstr>
      <vt:lpstr>DBS_Input_PL_Forecast_36</vt:lpstr>
      <vt:lpstr>DBS_Input_PL_Forecast_37</vt:lpstr>
      <vt:lpstr>DBS_Input_PL_Forecast_38</vt:lpstr>
      <vt:lpstr>DBS_Input_PL_Forecast_39</vt:lpstr>
      <vt:lpstr>DBS_Input_PL_Forecast_4</vt:lpstr>
      <vt:lpstr>DBS_Input_PL_Forecast_40</vt:lpstr>
      <vt:lpstr>DBS_Input_PL_Forecast_5</vt:lpstr>
      <vt:lpstr>DBS_Input_PL_Forecast_6</vt:lpstr>
      <vt:lpstr>DBS_Input_PL_Forecast_7</vt:lpstr>
      <vt:lpstr>DBS_Input_PL_Forecast_8</vt:lpstr>
      <vt:lpstr>DBS_Input_PL_Forecast_9</vt:lpstr>
      <vt:lpstr>First_Flag_Indicator</vt:lpstr>
      <vt:lpstr>FirstIndicatorList</vt:lpstr>
      <vt:lpstr>Flag_Send_Comment</vt:lpstr>
      <vt:lpstr>Flag_Send_Data</vt:lpstr>
      <vt:lpstr>PL_Saisie_Estime2!Impression_des_titres</vt:lpstr>
      <vt:lpstr>Language</vt:lpstr>
      <vt:lpstr>Last_Flag_Indicator</vt:lpstr>
      <vt:lpstr>LastIndicatorList</vt:lpstr>
      <vt:lpstr>LocalLanguage</vt:lpstr>
      <vt:lpstr>LocalLanguage2</vt:lpstr>
      <vt:lpstr>Note</vt:lpstr>
      <vt:lpstr>Server</vt:lpstr>
      <vt:lpstr>xHost</vt:lpstr>
      <vt:lpstr>xServer</vt:lpstr>
      <vt:lpstr>PL_Saisie_Estime2!Zone_d_impression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2012-06-06T08:27:25Z</cp:lastPrinted>
  <dcterms:created xsi:type="dcterms:W3CDTF">2011-06-21T16:52:24Z</dcterms:created>
  <dcterms:modified xsi:type="dcterms:W3CDTF">2013-04-09T08:06:55Z</dcterms:modified>
</cp:coreProperties>
</file>