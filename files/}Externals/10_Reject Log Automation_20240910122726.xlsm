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laBarki\AppData\Local\Temp\"/>
    </mc:Choice>
  </mc:AlternateContent>
  <xr:revisionPtr revIDLastSave="0" documentId="8_{304CE709-9D13-4154-8BEA-E44394C288F9}" xr6:coauthVersionLast="47" xr6:coauthVersionMax="47" xr10:uidLastSave="{00000000-0000-0000-0000-000000000000}"/>
  <bookViews>
    <workbookView xWindow="-90" yWindow="-90" windowWidth="19380" windowHeight="11460" firstSheet="2" activeTab="2" xr2:uid="{00000000-000D-0000-FFFF-FFFF00000000}"/>
  </bookViews>
  <sheets>
    <sheet name="Context" sheetId="9" state="hidden" r:id="rId1"/>
    <sheet name="Cognos_Office_Connection_Cache" sheetId="10" state="veryHidden" r:id="rId2"/>
    <sheet name="Process Reject CPP" sheetId="8" r:id="rId3"/>
  </sheets>
  <functionGroups builtInGroupCount="19"/>
  <definedNames>
    <definedName name="_xlnm._FilterDatabase" localSheetId="2" hidden="1">'Process Reject CPP'!#REF!</definedName>
    <definedName name="ID" localSheetId="1" hidden="1">"1f222e8c-ed8b-4f40-bece-151fea4f1c12"</definedName>
    <definedName name="ID" localSheetId="0" hidden="1">"e1085efe-e74c-4dd8-b1ef-ca084a695dfa"</definedName>
    <definedName name="ID" localSheetId="2" hidden="1">"ff61daf8-0029-4591-80a9-8741d5ba491b"</definedName>
    <definedName name="Month_Actual">Context!$B$22</definedName>
    <definedName name="Month_Actual_YTD">Context!$B$23</definedName>
    <definedName name="Period_YTD">'Process Reject CPP'!$G$12</definedName>
    <definedName name="Phase_List">Context!$D$2:$D$5</definedName>
    <definedName name="Server">Context!$B$4</definedName>
    <definedName name="Serveur">Context!$B$6</definedName>
    <definedName name="source_entity">Context!$B$21</definedName>
    <definedName name="TM1REBUILDOPTION">1</definedName>
    <definedName name="TM1RPTDATARNG1" localSheetId="2">'Process Reject CPP'!$28:$28</definedName>
    <definedName name="TM1RPTDATARNGARPT1" localSheetId="2">'Process Reject CPP'!$74:$74</definedName>
    <definedName name="TM1RPTDATARNGARPT2" localSheetId="2">'Process Reject CPP'!$37:$37</definedName>
    <definedName name="TM1RPTDATARNGARPT3" localSheetId="2">'Process Reject CPP'!$60:$60</definedName>
    <definedName name="TM1RPTDATARNGARPT4" localSheetId="2">'Process Reject CPP'!$50:$50</definedName>
    <definedName name="TM1RPTFMTIDCOL" localSheetId="2">'Process Reject CPP'!$A$1:$A$9</definedName>
    <definedName name="TM1RPTFMTRNG" localSheetId="2">'Process Reject CPP'!$C$1:$I$9</definedName>
    <definedName name="Total_Year_Budget_Forecast">Context!$B$25</definedName>
    <definedName name="xServer">Context!$B$5</definedName>
    <definedName name="xTM1User">Context!$B$13</definedName>
    <definedName name="Year_Budget_Forecast">Context!$B$24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6" i="8" l="1"/>
  <c r="C70" i="8"/>
  <c r="B5" i="9"/>
  <c r="A3" i="8"/>
  <c r="A2" i="8"/>
  <c r="A4" i="8"/>
  <c r="A5" i="8"/>
  <c r="A37" i="8"/>
  <c r="B22" i="9"/>
  <c r="C68" i="8"/>
  <c r="A28" i="8"/>
  <c r="B24" i="9"/>
  <c r="A50" i="8"/>
  <c r="B21" i="9"/>
  <c r="A60" i="8"/>
  <c r="B13" i="9"/>
  <c r="B15" i="9" s="1"/>
  <c r="A74" i="8"/>
  <c r="D44" i="8"/>
  <c r="B6" i="9"/>
  <c r="B25" i="9" l="1"/>
  <c r="B23" i="9"/>
  <c r="G12" i="8" s="1"/>
  <c r="B14" i="9"/>
  <c r="D21" i="8"/>
  <c r="D17" i="8"/>
  <c r="E10" i="8" l="1"/>
  <c r="D33" i="8"/>
  <c r="D56" i="8"/>
  <c r="D45" i="8"/>
  <c r="C69" i="8"/>
  <c r="B66" i="8"/>
  <c r="B74" i="8"/>
  <c r="C74" i="8"/>
  <c r="D19" i="8" l="1"/>
  <c r="C10" i="8"/>
  <c r="C28" i="8"/>
  <c r="D28" i="8"/>
  <c r="I28" i="8"/>
  <c r="F28" i="8"/>
  <c r="H28" i="8"/>
  <c r="D74" i="8"/>
  <c r="G28" i="8"/>
  <c r="E28" i="8"/>
  <c r="D32" i="8" l="1"/>
  <c r="D55" i="8"/>
  <c r="D43" i="8"/>
  <c r="C53" i="8"/>
  <c r="C30" i="8"/>
  <c r="C60" i="8"/>
  <c r="C41" i="8"/>
  <c r="D50" i="8"/>
  <c r="C37" i="8"/>
  <c r="E37" i="8"/>
  <c r="F37" i="8"/>
  <c r="C50" i="8"/>
  <c r="E50" i="8" s="1"/>
  <c r="G50" i="8"/>
  <c r="D37" i="8"/>
  <c r="G37" i="8"/>
  <c r="I37" i="8"/>
  <c r="H37" i="8"/>
  <c r="D60" i="8"/>
  <c r="G60" i="8"/>
  <c r="E60" i="8"/>
  <c r="H60" i="8"/>
</calcChain>
</file>

<file path=xl/sharedStrings.xml><?xml version="1.0" encoding="utf-8"?>
<sst xmlns="http://schemas.openxmlformats.org/spreadsheetml/2006/main" count="78" uniqueCount="57">
  <si>
    <t>}Processes</t>
  </si>
  <si>
    <t>zz_Date_Time_loading</t>
  </si>
  <si>
    <t>Period_YTD</t>
  </si>
  <si>
    <t>Phase</t>
  </si>
  <si>
    <t>Status</t>
  </si>
  <si>
    <t>D</t>
  </si>
  <si>
    <t>N</t>
  </si>
  <si>
    <t>[Begin Format Range]</t>
  </si>
  <si>
    <t>[End Format Range]</t>
  </si>
  <si>
    <t>DL_ST_PL_YTD_ROLLOUT2</t>
  </si>
  <si>
    <t>ACT</t>
  </si>
  <si>
    <t>Country</t>
  </si>
  <si>
    <t>Tango upload Error Report</t>
  </si>
  <si>
    <t>Context</t>
  </si>
  <si>
    <t>Upload status</t>
  </si>
  <si>
    <t>Error report</t>
  </si>
  <si>
    <t>Start Date</t>
  </si>
  <si>
    <t>End Date</t>
  </si>
  <si>
    <t>Number of input records</t>
  </si>
  <si>
    <t>Number of reject records</t>
  </si>
  <si>
    <t>Number of load records</t>
  </si>
  <si>
    <t>Functional Message</t>
  </si>
  <si>
    <t>Administration Generic Context :</t>
  </si>
  <si>
    <t>Server Name :</t>
  </si>
  <si>
    <t>tango_core_model:</t>
  </si>
  <si>
    <t>xServer</t>
  </si>
  <si>
    <t>Host Server :</t>
  </si>
  <si>
    <t>Flag Send Data :</t>
  </si>
  <si>
    <t>Flag Send Comment :</t>
  </si>
  <si>
    <t>Excel Report Context :</t>
  </si>
  <si>
    <t>Cube n°1 :</t>
  </si>
  <si>
    <t>z_Contract_Pending_Approval</t>
  </si>
  <si>
    <t>Cube n°2 :</t>
  </si>
  <si>
    <t>z_Comments_Contract</t>
  </si>
  <si>
    <t>User :</t>
  </si>
  <si>
    <t>Organization :</t>
  </si>
  <si>
    <t>Local language :</t>
  </si>
  <si>
    <t>Language List :</t>
  </si>
  <si>
    <t>English</t>
  </si>
  <si>
    <t>French</t>
  </si>
  <si>
    <t>Dutch</t>
  </si>
  <si>
    <t>German</t>
  </si>
  <si>
    <t>Portugese</t>
  </si>
  <si>
    <t>Start_date</t>
  </si>
  <si>
    <t>Record</t>
  </si>
  <si>
    <t>Source entity</t>
  </si>
  <si>
    <t>zz_Process_Source</t>
  </si>
  <si>
    <t>Instruction to resolve the issue</t>
  </si>
  <si>
    <t>MONTH_ACTUAL</t>
  </si>
  <si>
    <t>End_Date</t>
  </si>
  <si>
    <t>H</t>
  </si>
  <si>
    <t>MONTH_ACTUAL_YTD</t>
  </si>
  <si>
    <t>YEAR_BUDGET_FORECAST</t>
  </si>
  <si>
    <t>Total YEAR_BUDGET_Forecast</t>
  </si>
  <si>
    <t>BUDG_VC</t>
  </si>
  <si>
    <t>FC_1_VC</t>
  </si>
  <si>
    <t>FC_2_VC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</si>
</sst>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_);\(#,##0\)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sz val="12"/>
      <name val="SWISS"/>
    </font>
    <font>
      <b/>
      <sz val="9"/>
      <color theme="3"/>
      <name val="Calibri"/>
      <family val="2"/>
      <scheme val="minor"/>
    </font>
    <font>
      <b/>
      <sz val="9"/>
      <color rgb="FF3391AA"/>
      <name val="Calibri"/>
      <family val="2"/>
      <scheme val="minor"/>
    </font>
    <font>
      <b/>
      <sz val="12"/>
      <color indexed="45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rgb="FF7E408F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auto="1"/>
      </patternFill>
    </fill>
    <fill>
      <patternFill patternType="solid">
        <fgColor rgb="FF7030A0"/>
        <bgColor indexed="64"/>
      </patternFill>
    </fill>
    <fill>
      <patternFill patternType="solid">
        <fgColor indexed="43"/>
        <bgColor indexed="64"/>
      </patternFill>
    </fill>
  </fills>
  <borders count="10">
    <border>
      <left/>
      <right/>
      <top/>
      <bottom/>
      <diagonal/>
    </border>
    <border>
      <left/>
      <right/>
      <top style="dotted">
        <color theme="8" tint="-0.24994659260841701"/>
      </top>
      <bottom style="dotted">
        <color theme="8" tint="-0.2499465926084170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rgb="FF7E408F"/>
      </right>
      <top style="thin">
        <color rgb="FF7E408F"/>
      </top>
      <bottom style="thin">
        <color rgb="FF7E408F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rgb="FF7E408F"/>
      </right>
      <top style="thin">
        <color rgb="FF7E408F"/>
      </top>
      <bottom style="thin">
        <color rgb="FF7E408F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dotted">
        <color theme="8" tint="-0.24994659260841701"/>
      </bottom>
      <diagonal/>
    </border>
  </borders>
  <cellStyleXfs count="2">
    <xf numFmtId="0" fontId="0" fillId="0" borderId="0"/>
    <xf numFmtId="164" fontId="7" fillId="0" borderId="0"/>
  </cellStyleXfs>
  <cellXfs count="43">
    <xf numFmtId="0" fontId="0" fillId="0" borderId="0" xfId="0"/>
    <xf numFmtId="0" fontId="0" fillId="2" borderId="0" xfId="0" applyFill="1"/>
    <xf numFmtId="0" fontId="1" fillId="2" borderId="0" xfId="0" applyFont="1" applyFill="1"/>
    <xf numFmtId="49" fontId="0" fillId="2" borderId="0" xfId="0" applyNumberFormat="1" applyFill="1"/>
    <xf numFmtId="0" fontId="3" fillId="2" borderId="0" xfId="0" applyFont="1" applyFill="1"/>
    <xf numFmtId="0" fontId="2" fillId="3" borderId="0" xfId="0" applyFont="1" applyFill="1" applyAlignment="1">
      <alignment horizontal="center"/>
    </xf>
    <xf numFmtId="0" fontId="0" fillId="3" borderId="0" xfId="0" applyFill="1"/>
    <xf numFmtId="0" fontId="3" fillId="3" borderId="0" xfId="0" applyFont="1" applyFill="1"/>
    <xf numFmtId="0" fontId="3" fillId="2" borderId="1" xfId="0" applyFont="1" applyFill="1" applyBorder="1"/>
    <xf numFmtId="49" fontId="0" fillId="2" borderId="1" xfId="0" applyNumberFormat="1" applyFill="1" applyBorder="1"/>
    <xf numFmtId="0" fontId="5" fillId="2" borderId="0" xfId="0" applyFont="1" applyFill="1"/>
    <xf numFmtId="0" fontId="5" fillId="0" borderId="0" xfId="0" applyFont="1"/>
    <xf numFmtId="0" fontId="6" fillId="2" borderId="0" xfId="0" applyFont="1" applyFill="1"/>
    <xf numFmtId="0" fontId="8" fillId="0" borderId="0" xfId="0" applyFont="1" applyAlignment="1">
      <alignment horizontal="right"/>
    </xf>
    <xf numFmtId="0" fontId="9" fillId="4" borderId="0" xfId="1" applyNumberFormat="1" applyFont="1" applyFill="1" applyAlignment="1">
      <alignment horizontal="center" vertical="center"/>
    </xf>
    <xf numFmtId="0" fontId="9" fillId="0" borderId="0" xfId="1" applyNumberFormat="1" applyFont="1" applyAlignment="1">
      <alignment horizontal="center" vertical="center"/>
    </xf>
    <xf numFmtId="0" fontId="2" fillId="3" borderId="0" xfId="0" applyFont="1" applyFill="1" applyAlignment="1">
      <alignment horizontal="left"/>
    </xf>
    <xf numFmtId="0" fontId="10" fillId="5" borderId="2" xfId="0" applyFont="1" applyFill="1" applyBorder="1" applyAlignment="1" applyProtection="1">
      <alignment horizontal="left"/>
      <protection locked="0"/>
    </xf>
    <xf numFmtId="0" fontId="11" fillId="0" borderId="0" xfId="0" applyFont="1" applyProtection="1">
      <protection locked="0"/>
    </xf>
    <xf numFmtId="0" fontId="12" fillId="5" borderId="3" xfId="0" applyFont="1" applyFill="1" applyBorder="1" applyProtection="1">
      <protection locked="0"/>
    </xf>
    <xf numFmtId="0" fontId="13" fillId="6" borderId="4" xfId="0" applyFont="1" applyFill="1" applyBorder="1" applyProtection="1">
      <protection locked="0"/>
    </xf>
    <xf numFmtId="0" fontId="13" fillId="0" borderId="4" xfId="0" applyFont="1" applyBorder="1" applyProtection="1">
      <protection locked="0"/>
    </xf>
    <xf numFmtId="0" fontId="0" fillId="0" borderId="0" xfId="0" applyProtection="1">
      <protection locked="0"/>
    </xf>
    <xf numFmtId="0" fontId="13" fillId="0" borderId="6" xfId="0" applyFont="1" applyBorder="1" applyProtection="1">
      <protection locked="0"/>
    </xf>
    <xf numFmtId="0" fontId="1" fillId="0" borderId="0" xfId="0" applyFont="1"/>
    <xf numFmtId="49" fontId="9" fillId="4" borderId="0" xfId="1" applyNumberFormat="1" applyFont="1" applyFill="1" applyAlignment="1">
      <alignment horizontal="center" vertical="center"/>
    </xf>
    <xf numFmtId="49" fontId="0" fillId="0" borderId="0" xfId="0" applyNumberFormat="1"/>
    <xf numFmtId="0" fontId="14" fillId="3" borderId="0" xfId="0" applyFont="1" applyFill="1"/>
    <xf numFmtId="0" fontId="12" fillId="5" borderId="0" xfId="0" applyFont="1" applyFill="1" applyProtection="1">
      <protection locked="0"/>
    </xf>
    <xf numFmtId="0" fontId="0" fillId="2" borderId="1" xfId="0" applyFill="1" applyBorder="1"/>
    <xf numFmtId="0" fontId="15" fillId="0" borderId="0" xfId="0" applyFont="1"/>
    <xf numFmtId="49" fontId="15" fillId="0" borderId="0" xfId="0" applyNumberFormat="1" applyFont="1"/>
    <xf numFmtId="49" fontId="0" fillId="2" borderId="9" xfId="0" applyNumberFormat="1" applyFill="1" applyBorder="1"/>
    <xf numFmtId="0" fontId="0" fillId="2" borderId="9" xfId="0" applyFill="1" applyBorder="1"/>
    <xf numFmtId="0" fontId="3" fillId="2" borderId="9" xfId="0" applyFont="1" applyFill="1" applyBorder="1"/>
    <xf numFmtId="0" fontId="16" fillId="0" borderId="0" xfId="0" applyFont="1"/>
    <xf numFmtId="0" fontId="14" fillId="0" borderId="0" xfId="0" applyFont="1" applyAlignment="1">
      <alignment horizontal="left"/>
    </xf>
    <xf numFmtId="0" fontId="14" fillId="0" borderId="0" xfId="0" applyFont="1"/>
    <xf numFmtId="0" fontId="14" fillId="0" borderId="0" xfId="0" applyFont="1" applyAlignment="1">
      <alignment horizontal="center"/>
    </xf>
    <xf numFmtId="0" fontId="12" fillId="5" borderId="5" xfId="0" applyFont="1" applyFill="1" applyBorder="1" applyAlignment="1" applyProtection="1">
      <alignment horizontal="left" vertical="center"/>
      <protection locked="0"/>
    </xf>
    <xf numFmtId="0" fontId="12" fillId="5" borderId="7" xfId="0" applyFont="1" applyFill="1" applyBorder="1" applyAlignment="1" applyProtection="1">
      <alignment horizontal="left" vertical="center"/>
      <protection locked="0"/>
    </xf>
    <xf numFmtId="0" fontId="12" fillId="5" borderId="8" xfId="0" applyFont="1" applyFill="1" applyBorder="1" applyAlignment="1" applyProtection="1">
      <alignment horizontal="left" vertical="center"/>
      <protection locked="0"/>
    </xf>
    <xf numFmtId="0" fontId="4" fillId="3" borderId="0" xfId="0" applyFont="1" applyFill="1" applyAlignment="1">
      <alignment horizontal="center" vertical="center"/>
    </xf>
  </cellXfs>
  <cellStyles count="2">
    <cellStyle name="Normal" xfId="0" builtinId="0"/>
    <cellStyle name="Normal_EBIT_EBITDA  groupe Actual 2003.12" xfId="1" xr:uid="{00000000-0005-0000-0000-000001000000}"/>
  </cellStyles>
  <dxfs count="20"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180975</xdr:colOff>
      <xdr:row>17</xdr:row>
      <xdr:rowOff>57150</xdr:rowOff>
    </xdr:from>
    <xdr:to>
      <xdr:col>4</xdr:col>
      <xdr:colOff>1381125</xdr:colOff>
      <xdr:row>20</xdr:row>
      <xdr:rowOff>152400</xdr:rowOff>
    </xdr:to>
    <xdr:sp macro="[0]!Chevron1_Cliquer" textlink="">
      <xdr:nvSpPr>
        <xdr:cNvPr id="2" name="Chevro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562350" y="1019175"/>
          <a:ext cx="1200150" cy="438150"/>
        </a:xfrm>
        <a:prstGeom prst="chevron">
          <a:avLst/>
        </a:prstGeom>
        <a:noFill/>
        <a:ln>
          <a:solidFill>
            <a:schemeClr val="accent5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chemeClr val="accent5">
                  <a:lumMod val="75000"/>
                </a:schemeClr>
              </a:solidFill>
            </a:rPr>
            <a:t>Refresh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E25"/>
  <sheetViews>
    <sheetView workbookViewId="0">
      <selection activeCell="F6" sqref="F6"/>
    </sheetView>
  </sheetViews>
  <sheetFormatPr baseColWidth="10" defaultRowHeight="14.75"/>
  <cols>
    <col min="1" max="1" width="37.453125" bestFit="1" customWidth="1"/>
    <col min="2" max="2" width="28.7265625" bestFit="1" customWidth="1"/>
  </cols>
  <sheetData>
    <row r="1" spans="1:5">
      <c r="D1" t="s">
        <v>3</v>
      </c>
    </row>
    <row r="2" spans="1:5">
      <c r="D2" t="s">
        <v>10</v>
      </c>
    </row>
    <row r="3" spans="1:5" ht="15.75">
      <c r="A3" s="17" t="s">
        <v>22</v>
      </c>
      <c r="B3" s="18"/>
      <c r="D3" t="s">
        <v>54</v>
      </c>
    </row>
    <row r="4" spans="1:5">
      <c r="A4" s="19" t="s">
        <v>23</v>
      </c>
      <c r="B4" s="20" t="s">
        <v>24</v>
      </c>
      <c r="D4" t="s">
        <v>55</v>
      </c>
    </row>
    <row r="5" spans="1:5">
      <c r="A5" s="19" t="s">
        <v>25</v>
      </c>
      <c r="B5" s="21" t="str">
        <f>LEFT(Server,LEN(Server)-1)</f>
        <v>tango_core_model</v>
      </c>
      <c r="D5" t="s">
        <v>56</v>
      </c>
    </row>
    <row r="6" spans="1:5">
      <c r="A6" s="19" t="s">
        <v>26</v>
      </c>
      <c r="B6" s="21" t="str">
        <f>_xll.DBRW("tango_core_model:Z_Admin_Param","SERVER_NAME","STR_VAR1")</f>
        <v>91.236.254.119</v>
      </c>
    </row>
    <row r="7" spans="1:5">
      <c r="A7" s="19" t="s">
        <v>27</v>
      </c>
      <c r="B7" s="21">
        <v>0</v>
      </c>
    </row>
    <row r="8" spans="1:5">
      <c r="A8" s="19" t="s">
        <v>28</v>
      </c>
      <c r="B8" s="21">
        <v>0</v>
      </c>
    </row>
    <row r="9" spans="1:5">
      <c r="A9" s="22"/>
      <c r="B9" s="22"/>
    </row>
    <row r="10" spans="1:5" ht="15.75">
      <c r="A10" s="17" t="s">
        <v>29</v>
      </c>
      <c r="B10" s="22"/>
    </row>
    <row r="11" spans="1:5">
      <c r="A11" s="19" t="s">
        <v>30</v>
      </c>
      <c r="B11" s="21" t="s">
        <v>31</v>
      </c>
    </row>
    <row r="12" spans="1:5">
      <c r="A12" s="19" t="s">
        <v>32</v>
      </c>
      <c r="B12" s="21" t="s">
        <v>33</v>
      </c>
    </row>
    <row r="13" spans="1:5">
      <c r="A13" s="19" t="s">
        <v>34</v>
      </c>
      <c r="B13" s="21" t="str">
        <f>_xll.TM1USER(xServer)</f>
        <v>karima.barki</v>
      </c>
      <c r="E13" s="22"/>
    </row>
    <row r="14" spans="1:5">
      <c r="A14" s="19" t="s">
        <v>35</v>
      </c>
      <c r="B14" s="21" t="str">
        <f>_xll.DBRW(Server&amp;"z_Client_Properties","Default_Legal_Organization",xTM1User)</f>
        <v>VTD_corp</v>
      </c>
    </row>
    <row r="15" spans="1:5">
      <c r="A15" s="19" t="s">
        <v>36</v>
      </c>
      <c r="B15" s="21" t="str">
        <f>_xll.DBR(Server&amp;"z_Client_Properties","Language",xTM1User)</f>
        <v>French</v>
      </c>
    </row>
    <row r="16" spans="1:5">
      <c r="A16" s="39" t="s">
        <v>37</v>
      </c>
      <c r="B16" s="23" t="s">
        <v>38</v>
      </c>
    </row>
    <row r="17" spans="1:2">
      <c r="A17" s="40"/>
      <c r="B17" s="23" t="s">
        <v>39</v>
      </c>
    </row>
    <row r="18" spans="1:2">
      <c r="A18" s="40"/>
      <c r="B18" s="23" t="s">
        <v>40</v>
      </c>
    </row>
    <row r="19" spans="1:2">
      <c r="A19" s="40"/>
      <c r="B19" s="23" t="s">
        <v>41</v>
      </c>
    </row>
    <row r="20" spans="1:2">
      <c r="A20" s="41"/>
      <c r="B20" s="23" t="s">
        <v>42</v>
      </c>
    </row>
    <row r="21" spans="1:2">
      <c r="A21" s="19" t="s">
        <v>45</v>
      </c>
      <c r="B21" s="23" t="str">
        <f>_xll.DBRA(Server&amp;"Legal_Organization",_xll.DBR(Server&amp;"z_Client_Properties","Default_Legal_Organization",_xll.TM1USER(xServer)),"Source_Entity")</f>
        <v/>
      </c>
    </row>
    <row r="22" spans="1:2">
      <c r="A22" s="28" t="s">
        <v>48</v>
      </c>
      <c r="B22" s="23" t="str">
        <f>_xll.DBRW("tango_core_model:z_admin_param","MONTH_ACTUAL","STR_VAR1")</f>
        <v>2023.08</v>
      </c>
    </row>
    <row r="23" spans="1:2">
      <c r="A23" s="28" t="s">
        <v>51</v>
      </c>
      <c r="B23" s="23" t="str">
        <f>Month_Actual&amp;"_YTD"</f>
        <v>2023.08_YTD</v>
      </c>
    </row>
    <row r="24" spans="1:2">
      <c r="A24" s="28" t="s">
        <v>52</v>
      </c>
      <c r="B24" s="23" t="str">
        <f>_xll.DBRW("tango_core_model:z_admin_param","YEAR_BUDGET_FORECAST","STR_VAR1")</f>
        <v>2023</v>
      </c>
    </row>
    <row r="25" spans="1:2">
      <c r="A25" s="28" t="s">
        <v>53</v>
      </c>
      <c r="B25" s="23" t="str">
        <f>"Total_"&amp;Year_Budget_Forecast</f>
        <v>Total_2023</v>
      </c>
    </row>
  </sheetData>
  <mergeCells count="1">
    <mergeCell ref="A16:A2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9DD46-D40A-4389-A459-04713631B321}">
  <sheetPr codeName="Feuil2"/>
  <dimension ref="A1"/>
  <sheetViews>
    <sheetView workbookViewId="0"/>
  </sheetViews>
  <sheetFormatPr baseColWidth="10" defaultRowHeight="14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LL77"/>
  <sheetViews>
    <sheetView showGridLines="0" tabSelected="1" topLeftCell="B13" zoomScale="80" zoomScaleNormal="80" workbookViewId="0"/>
  </sheetViews>
  <sheetFormatPr baseColWidth="10" defaultColWidth="11.453125" defaultRowHeight="14.75" outlineLevelRow="1"/>
  <cols>
    <col min="1" max="1" width="20.1796875" hidden="1" customWidth="1"/>
    <col min="2" max="2" width="3.54296875" customWidth="1"/>
    <col min="3" max="3" width="30.7265625" customWidth="1"/>
    <col min="4" max="4" width="18.7265625" customWidth="1"/>
    <col min="5" max="5" width="28.7265625" customWidth="1"/>
    <col min="6" max="6" width="37.453125" customWidth="1"/>
    <col min="7" max="7" width="80.54296875" customWidth="1"/>
    <col min="8" max="8" width="33.7265625" customWidth="1"/>
    <col min="9" max="9" width="20.1796875" customWidth="1"/>
  </cols>
  <sheetData>
    <row r="1" spans="1:10" hidden="1">
      <c r="A1" t="s">
        <v>7</v>
      </c>
    </row>
    <row r="2" spans="1:10" hidden="1">
      <c r="A2">
        <f>0</f>
        <v>0</v>
      </c>
      <c r="C2" s="6"/>
      <c r="D2" s="7"/>
      <c r="E2" s="7"/>
      <c r="F2" s="7"/>
      <c r="G2" s="7"/>
      <c r="H2" s="7"/>
      <c r="I2" s="7"/>
    </row>
    <row r="3" spans="1:10" hidden="1">
      <c r="A3">
        <f>1</f>
        <v>1</v>
      </c>
      <c r="C3" s="29"/>
      <c r="D3" s="29"/>
      <c r="E3" s="8"/>
      <c r="F3" s="8"/>
      <c r="G3" s="8"/>
      <c r="H3" s="8"/>
      <c r="I3" s="8"/>
    </row>
    <row r="4" spans="1:10" hidden="1">
      <c r="A4">
        <f>2</f>
        <v>2</v>
      </c>
      <c r="C4" s="29"/>
      <c r="D4" s="29"/>
      <c r="E4" s="8"/>
      <c r="F4" s="8"/>
      <c r="G4" s="8"/>
      <c r="H4" s="8"/>
      <c r="I4" s="8"/>
    </row>
    <row r="5" spans="1:10" hidden="1">
      <c r="A5">
        <f>3</f>
        <v>3</v>
      </c>
      <c r="C5" s="29"/>
      <c r="D5" s="29"/>
      <c r="E5" s="8"/>
      <c r="F5" s="8"/>
      <c r="G5" s="8"/>
      <c r="H5" s="8"/>
      <c r="I5" s="8"/>
    </row>
    <row r="6" spans="1:10" hidden="1">
      <c r="A6" t="s">
        <v>5</v>
      </c>
      <c r="B6" s="3"/>
      <c r="C6" s="9"/>
      <c r="D6" s="9"/>
      <c r="E6" s="9"/>
      <c r="F6" s="8"/>
      <c r="G6" s="8"/>
      <c r="H6" s="8"/>
      <c r="I6" s="8"/>
    </row>
    <row r="7" spans="1:10" hidden="1">
      <c r="A7" t="s">
        <v>6</v>
      </c>
      <c r="B7" s="3"/>
      <c r="C7" s="9"/>
      <c r="D7" s="9"/>
      <c r="E7" s="9"/>
      <c r="F7" s="8"/>
      <c r="G7" s="8"/>
      <c r="H7" s="8"/>
      <c r="I7" s="8"/>
    </row>
    <row r="8" spans="1:10" hidden="1">
      <c r="A8" s="30" t="s">
        <v>50</v>
      </c>
      <c r="B8" s="31"/>
      <c r="C8" s="31"/>
      <c r="D8" s="30"/>
      <c r="E8" s="30"/>
      <c r="F8" s="35"/>
      <c r="G8" s="35"/>
      <c r="H8" s="35"/>
      <c r="I8" s="35"/>
      <c r="J8" s="30"/>
    </row>
    <row r="9" spans="1:10" hidden="1">
      <c r="A9" t="s">
        <v>8</v>
      </c>
      <c r="C9" s="32"/>
      <c r="D9" s="33"/>
      <c r="E9" s="32"/>
      <c r="F9" s="34"/>
      <c r="G9" s="34"/>
      <c r="H9" s="34"/>
      <c r="I9" s="34"/>
    </row>
    <row r="10" spans="1:10" s="1" customFormat="1" hidden="1">
      <c r="C10" s="1" t="str">
        <f>_xll.TM1RPTVIEW("tango_core_model:zz_process_detail_cpp:1",1, _xll.TM1RPTTITLE("tango_core_model:}Processes",$D$12), _xll.TM1RPTTITLE("tango_core_model:zz_Date_Time_loading",$D$19), _xll.TM1RPTTITLE("tango_core_model:Period_YTD",$D$21), _xll.TM1RPTTITLE("tango_core_model:Phase",$D$23),TM1RPTFMTRNG,TM1RPTFMTIDCOL)</f>
        <v>tango_core_model:zz_process_detail_cpp:1</v>
      </c>
      <c r="E10" s="1" t="str">
        <f>"{TM1FILTERBYPATTERN( {TM1SUBSETALL( [}Chores] )}, """ &amp; "*_"&amp;D17&amp;"_*"&amp;""")}"</f>
        <v>{TM1FILTERBYPATTERN( {TM1SUBSETALL( [}Chores] )}, "*__*")}</v>
      </c>
    </row>
    <row r="11" spans="1:10" s="1" customFormat="1" hidden="1"/>
    <row r="12" spans="1:10" s="1" customFormat="1" hidden="1">
      <c r="C12" s="2" t="s">
        <v>0</v>
      </c>
      <c r="D12" s="1" t="s">
        <v>9</v>
      </c>
      <c r="F12" s="1" t="s">
        <v>2</v>
      </c>
      <c r="G12" s="1" t="str">
        <f>IF(D23="ACT",Month_Actual_YTD,Total_Year_Budget_Forecast)</f>
        <v>2023.08_YTD</v>
      </c>
    </row>
    <row r="13" spans="1:10" s="1" customFormat="1" ht="15" customHeight="1">
      <c r="B13" s="42" t="s">
        <v>12</v>
      </c>
      <c r="C13" s="42"/>
      <c r="D13" s="42"/>
      <c r="E13" s="42"/>
      <c r="F13" s="42"/>
      <c r="G13" s="42"/>
      <c r="H13" s="42"/>
      <c r="I13" s="42"/>
    </row>
    <row r="14" spans="1:10" s="1" customFormat="1" ht="15" customHeight="1">
      <c r="B14" s="42"/>
      <c r="C14" s="42"/>
      <c r="D14" s="42"/>
      <c r="E14" s="42"/>
      <c r="F14" s="42"/>
      <c r="G14" s="42"/>
      <c r="H14" s="42"/>
      <c r="I14" s="42"/>
    </row>
    <row r="15" spans="1:10" s="1" customFormat="1" ht="15" customHeight="1">
      <c r="B15" s="42"/>
      <c r="C15" s="42"/>
      <c r="D15" s="42"/>
      <c r="E15" s="42"/>
      <c r="F15" s="42"/>
      <c r="G15" s="42"/>
      <c r="H15" s="42"/>
      <c r="I15" s="42"/>
    </row>
    <row r="16" spans="1:10" s="1" customFormat="1" ht="16">
      <c r="A16" s="10"/>
      <c r="B16" s="12">
        <v>1</v>
      </c>
      <c r="C16" s="12" t="s">
        <v>13</v>
      </c>
    </row>
    <row r="17" spans="1:999" s="1" customFormat="1">
      <c r="A17" s="10"/>
      <c r="B17" s="10"/>
      <c r="C17" s="13" t="s">
        <v>11</v>
      </c>
      <c r="D17" s="14" t="str">
        <f>_xll.SUBNM("tango_core_model:zz_process_source","L0",source_entity)</f>
        <v/>
      </c>
      <c r="F17"/>
    </row>
    <row r="18" spans="1:999" s="1" customFormat="1" ht="6" customHeight="1">
      <c r="A18" s="10"/>
      <c r="B18" s="10"/>
      <c r="C18" s="13"/>
      <c r="D18" s="15"/>
    </row>
    <row r="19" spans="1:999" s="1" customFormat="1">
      <c r="A19" s="10"/>
      <c r="B19" s="10"/>
      <c r="C19" s="13" t="s">
        <v>1</v>
      </c>
      <c r="D19" s="25" t="str">
        <f>C74</f>
        <v/>
      </c>
      <c r="F19"/>
    </row>
    <row r="20" spans="1:999" s="1" customFormat="1" ht="6" customHeight="1">
      <c r="A20" s="10"/>
      <c r="B20" s="10"/>
      <c r="C20" s="13"/>
      <c r="D20" s="15"/>
    </row>
    <row r="21" spans="1:999" s="1" customFormat="1">
      <c r="A21" s="10"/>
      <c r="B21" s="10"/>
      <c r="C21" s="13" t="s">
        <v>2</v>
      </c>
      <c r="D21" s="14" t="str">
        <f>_xll.SUBNM("tango_core_model:period_YTD","Default_Periods",Period_YTD)</f>
        <v>2023.08_YTD</v>
      </c>
    </row>
    <row r="22" spans="1:999" s="1" customFormat="1" ht="6" customHeight="1">
      <c r="A22" s="10"/>
      <c r="B22" s="10"/>
      <c r="C22" s="13"/>
      <c r="D22" s="15"/>
    </row>
    <row r="23" spans="1:999" s="1" customFormat="1">
      <c r="A23" s="10"/>
      <c r="B23" s="10"/>
      <c r="C23" s="13" t="s">
        <v>3</v>
      </c>
      <c r="D23" s="14" t="s">
        <v>10</v>
      </c>
    </row>
    <row r="24" spans="1:999" s="1" customFormat="1">
      <c r="A24" s="10"/>
      <c r="B24" s="10"/>
    </row>
    <row r="25" spans="1:999" s="1" customFormat="1">
      <c r="A25" s="10"/>
      <c r="B25" s="10"/>
    </row>
    <row r="26" spans="1:999" s="1" customFormat="1" ht="16">
      <c r="A26" s="10"/>
      <c r="B26" s="12">
        <v>2</v>
      </c>
      <c r="C26" s="12" t="s">
        <v>14</v>
      </c>
    </row>
    <row r="27" spans="1:999" s="1" customFormat="1">
      <c r="A27" s="10"/>
      <c r="B27" s="10"/>
      <c r="D27" s="16" t="s">
        <v>16</v>
      </c>
      <c r="E27" s="16" t="s">
        <v>17</v>
      </c>
      <c r="F27" s="16" t="s">
        <v>18</v>
      </c>
      <c r="G27" s="16" t="s">
        <v>19</v>
      </c>
      <c r="H27" s="16" t="s">
        <v>20</v>
      </c>
      <c r="I27" s="16" t="s">
        <v>4</v>
      </c>
    </row>
    <row r="28" spans="1:999">
      <c r="A28" t="e">
        <f>IF(_xll.TM1RPTELISCONSOLIDATED($C$28,$C28),IF(_xll.TM1RPTELLEV($C$28,$C28)&lt;=3,_xll.TM1RPTELLEV($C$28,$C28),"D"),"N")</f>
        <v>#REF!</v>
      </c>
      <c r="B28" s="3"/>
      <c r="C28" s="9" t="str">
        <f>_xll.TM1RPTROW($C$10,"tango_core_model:}Chores","L0",,,,$E$10)</f>
        <v/>
      </c>
      <c r="D28" s="9" t="e">
        <f>_xll.DBRW($C$10,$C28,$D$12,$D$19,$D$21,$D$23,D$27)</f>
        <v>#VALUE!</v>
      </c>
      <c r="E28" s="9" t="e">
        <f>_xll.DBRW($C$10,$C28,$D$12,$D$19,$D$21,$D$23,E$27)</f>
        <v>#VALUE!</v>
      </c>
      <c r="F28" s="8" t="e">
        <f>_xll.DBRW($C$10,$C28,$D$12,$D$19,$D$21,$D$23,F$27)</f>
        <v>#VALUE!</v>
      </c>
      <c r="G28" s="8" t="e">
        <f>_xll.DBRW($C$10,$C28,$D$12,$D$19,$D$21,$D$23,G$27)</f>
        <v>#VALUE!</v>
      </c>
      <c r="H28" s="8" t="e">
        <f>_xll.DBRW($C$10,$C28,$D$12,$D$19,$D$21,$D$23,H$27)</f>
        <v>#VALUE!</v>
      </c>
      <c r="I28" s="8" t="e">
        <f>_xll.DBRW($C$10,$C28,$D$12,$D$19,$D$21,$D$23,I$27)</f>
        <v>#VALUE!</v>
      </c>
    </row>
    <row r="29" spans="1:999" hidden="1">
      <c r="A29" s="11"/>
      <c r="B29" s="11"/>
      <c r="C29" s="3"/>
      <c r="D29" s="4"/>
      <c r="E29" s="4"/>
      <c r="F29" s="4"/>
      <c r="G29" s="4"/>
      <c r="H29" s="4"/>
      <c r="I29" s="4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  <c r="AAA29" s="1"/>
      <c r="AAB29" s="1"/>
      <c r="AAC29" s="1"/>
      <c r="AAD29" s="1"/>
      <c r="AAE29" s="1"/>
      <c r="AAF29" s="1"/>
      <c r="AAG29" s="1"/>
      <c r="AAH29" s="1"/>
      <c r="AAI29" s="1"/>
      <c r="AAJ29" s="1"/>
      <c r="AAK29" s="1"/>
      <c r="AAL29" s="1"/>
      <c r="AAM29" s="1"/>
      <c r="AAN29" s="1"/>
      <c r="AAO29" s="1"/>
      <c r="AAP29" s="1"/>
      <c r="AAQ29" s="1"/>
      <c r="AAR29" s="1"/>
      <c r="AAS29" s="1"/>
      <c r="AAT29" s="1"/>
      <c r="AAU29" s="1"/>
      <c r="AAV29" s="1"/>
      <c r="AAW29" s="1"/>
      <c r="AAX29" s="1"/>
      <c r="AAY29" s="1"/>
      <c r="AAZ29" s="1"/>
      <c r="ABA29" s="1"/>
      <c r="ABB29" s="1"/>
      <c r="ABC29" s="1"/>
      <c r="ABD29" s="1"/>
      <c r="ABE29" s="1"/>
      <c r="ABF29" s="1"/>
      <c r="ABG29" s="1"/>
      <c r="ABH29" s="1"/>
      <c r="ABI29" s="1"/>
      <c r="ABJ29" s="1"/>
      <c r="ABK29" s="1"/>
      <c r="ABL29" s="1"/>
      <c r="ABM29" s="1"/>
      <c r="ABN29" s="1"/>
      <c r="ABO29" s="1"/>
      <c r="ABP29" s="1"/>
      <c r="ABQ29" s="1"/>
      <c r="ABR29" s="1"/>
      <c r="ABS29" s="1"/>
      <c r="ABT29" s="1"/>
      <c r="ABU29" s="1"/>
      <c r="ABV29" s="1"/>
      <c r="ABW29" s="1"/>
      <c r="ABX29" s="1"/>
      <c r="ABY29" s="1"/>
      <c r="ABZ29" s="1"/>
      <c r="ACA29" s="1"/>
      <c r="ACB29" s="1"/>
      <c r="ACC29" s="1"/>
      <c r="ACD29" s="1"/>
      <c r="ACE29" s="1"/>
      <c r="ACF29" s="1"/>
      <c r="ACG29" s="1"/>
      <c r="ACH29" s="1"/>
      <c r="ACI29" s="1"/>
      <c r="ACJ29" s="1"/>
      <c r="ACK29" s="1"/>
      <c r="ACL29" s="1"/>
      <c r="ACM29" s="1"/>
      <c r="ACN29" s="1"/>
      <c r="ACO29" s="1"/>
      <c r="ACP29" s="1"/>
      <c r="ACQ29" s="1"/>
      <c r="ACR29" s="1"/>
      <c r="ACS29" s="1"/>
      <c r="ACT29" s="1"/>
      <c r="ACU29" s="1"/>
      <c r="ACV29" s="1"/>
      <c r="ACW29" s="1"/>
      <c r="ACX29" s="1"/>
      <c r="ACY29" s="1"/>
      <c r="ACZ29" s="1"/>
      <c r="ADA29" s="1"/>
      <c r="ADB29" s="1"/>
      <c r="ADC29" s="1"/>
      <c r="ADD29" s="1"/>
      <c r="ADE29" s="1"/>
      <c r="ADF29" s="1"/>
      <c r="ADG29" s="1"/>
      <c r="ADH29" s="1"/>
      <c r="ADI29" s="1"/>
      <c r="ADJ29" s="1"/>
      <c r="ADK29" s="1"/>
      <c r="ADL29" s="1"/>
      <c r="ADM29" s="1"/>
      <c r="ADN29" s="1"/>
      <c r="ADO29" s="1"/>
      <c r="ADP29" s="1"/>
      <c r="ADQ29" s="1"/>
      <c r="ADR29" s="1"/>
      <c r="ADS29" s="1"/>
      <c r="ADT29" s="1"/>
      <c r="ADU29" s="1"/>
      <c r="ADV29" s="1"/>
      <c r="ADW29" s="1"/>
      <c r="ADX29" s="1"/>
      <c r="ADY29" s="1"/>
      <c r="ADZ29" s="1"/>
      <c r="AEA29" s="1"/>
      <c r="AEB29" s="1"/>
      <c r="AEC29" s="1"/>
      <c r="AED29" s="1"/>
      <c r="AEE29" s="1"/>
      <c r="AEF29" s="1"/>
      <c r="AEG29" s="1"/>
      <c r="AEH29" s="1"/>
      <c r="AEI29" s="1"/>
      <c r="AEJ29" s="1"/>
      <c r="AEK29" s="1"/>
      <c r="AEL29" s="1"/>
      <c r="AEM29" s="1"/>
      <c r="AEN29" s="1"/>
      <c r="AEO29" s="1"/>
      <c r="AEP29" s="1"/>
      <c r="AEQ29" s="1"/>
      <c r="AER29" s="1"/>
      <c r="AES29" s="1"/>
      <c r="AET29" s="1"/>
      <c r="AEU29" s="1"/>
      <c r="AEV29" s="1"/>
      <c r="AEW29" s="1"/>
      <c r="AEX29" s="1"/>
      <c r="AEY29" s="1"/>
      <c r="AEZ29" s="1"/>
      <c r="AFA29" s="1"/>
      <c r="AFB29" s="1"/>
      <c r="AFC29" s="1"/>
      <c r="AFD29" s="1"/>
      <c r="AFE29" s="1"/>
      <c r="AFF29" s="1"/>
      <c r="AFG29" s="1"/>
      <c r="AFH29" s="1"/>
      <c r="AFI29" s="1"/>
      <c r="AFJ29" s="1"/>
      <c r="AFK29" s="1"/>
      <c r="AFL29" s="1"/>
      <c r="AFM29" s="1"/>
      <c r="AFN29" s="1"/>
      <c r="AFO29" s="1"/>
      <c r="AFP29" s="1"/>
      <c r="AFQ29" s="1"/>
      <c r="AFR29" s="1"/>
      <c r="AFS29" s="1"/>
      <c r="AFT29" s="1"/>
      <c r="AFU29" s="1"/>
      <c r="AFV29" s="1"/>
      <c r="AFW29" s="1"/>
      <c r="AFX29" s="1"/>
      <c r="AFY29" s="1"/>
      <c r="AFZ29" s="1"/>
      <c r="AGA29" s="1"/>
      <c r="AGB29" s="1"/>
      <c r="AGC29" s="1"/>
      <c r="AGD29" s="1"/>
      <c r="AGE29" s="1"/>
      <c r="AGF29" s="1"/>
      <c r="AGG29" s="1"/>
      <c r="AGH29" s="1"/>
      <c r="AGI29" s="1"/>
      <c r="AGJ29" s="1"/>
      <c r="AGK29" s="1"/>
      <c r="AGL29" s="1"/>
      <c r="AGM29" s="1"/>
      <c r="AGN29" s="1"/>
      <c r="AGO29" s="1"/>
      <c r="AGP29" s="1"/>
      <c r="AGQ29" s="1"/>
      <c r="AGR29" s="1"/>
      <c r="AGS29" s="1"/>
      <c r="AGT29" s="1"/>
      <c r="AGU29" s="1"/>
      <c r="AGV29" s="1"/>
      <c r="AGW29" s="1"/>
      <c r="AGX29" s="1"/>
      <c r="AGY29" s="1"/>
      <c r="AGZ29" s="1"/>
      <c r="AHA29" s="1"/>
      <c r="AHB29" s="1"/>
      <c r="AHC29" s="1"/>
      <c r="AHD29" s="1"/>
      <c r="AHE29" s="1"/>
      <c r="AHF29" s="1"/>
      <c r="AHG29" s="1"/>
      <c r="AHH29" s="1"/>
      <c r="AHI29" s="1"/>
      <c r="AHJ29" s="1"/>
      <c r="AHK29" s="1"/>
      <c r="AHL29" s="1"/>
      <c r="AHM29" s="1"/>
      <c r="AHN29" s="1"/>
      <c r="AHO29" s="1"/>
      <c r="AHP29" s="1"/>
      <c r="AHQ29" s="1"/>
      <c r="AHR29" s="1"/>
      <c r="AHS29" s="1"/>
      <c r="AHT29" s="1"/>
      <c r="AHU29" s="1"/>
      <c r="AHV29" s="1"/>
      <c r="AHW29" s="1"/>
      <c r="AHX29" s="1"/>
      <c r="AHY29" s="1"/>
      <c r="AHZ29" s="1"/>
      <c r="AIA29" s="1"/>
      <c r="AIB29" s="1"/>
      <c r="AIC29" s="1"/>
      <c r="AID29" s="1"/>
      <c r="AIE29" s="1"/>
      <c r="AIF29" s="1"/>
      <c r="AIG29" s="1"/>
      <c r="AIH29" s="1"/>
      <c r="AII29" s="1"/>
      <c r="AIJ29" s="1"/>
      <c r="AIK29" s="1"/>
      <c r="AIL29" s="1"/>
      <c r="AIM29" s="1"/>
      <c r="AIN29" s="1"/>
      <c r="AIO29" s="1"/>
      <c r="AIP29" s="1"/>
      <c r="AIQ29" s="1"/>
      <c r="AIR29" s="1"/>
      <c r="AIS29" s="1"/>
      <c r="AIT29" s="1"/>
      <c r="AIU29" s="1"/>
      <c r="AIV29" s="1"/>
      <c r="AIW29" s="1"/>
      <c r="AIX29" s="1"/>
      <c r="AIY29" s="1"/>
      <c r="AIZ29" s="1"/>
      <c r="AJA29" s="1"/>
      <c r="AJB29" s="1"/>
      <c r="AJC29" s="1"/>
      <c r="AJD29" s="1"/>
      <c r="AJE29" s="1"/>
      <c r="AJF29" s="1"/>
      <c r="AJG29" s="1"/>
      <c r="AJH29" s="1"/>
      <c r="AJI29" s="1"/>
      <c r="AJJ29" s="1"/>
      <c r="AJK29" s="1"/>
      <c r="AJL29" s="1"/>
      <c r="AJM29" s="1"/>
      <c r="AJN29" s="1"/>
      <c r="AJO29" s="1"/>
      <c r="AJP29" s="1"/>
      <c r="AJQ29" s="1"/>
      <c r="AJR29" s="1"/>
      <c r="AJS29" s="1"/>
      <c r="AJT29" s="1"/>
      <c r="AJU29" s="1"/>
      <c r="AJV29" s="1"/>
      <c r="AJW29" s="1"/>
      <c r="AJX29" s="1"/>
      <c r="AJY29" s="1"/>
      <c r="AJZ29" s="1"/>
      <c r="AKA29" s="1"/>
      <c r="AKB29" s="1"/>
      <c r="AKC29" s="1"/>
      <c r="AKD29" s="1"/>
      <c r="AKE29" s="1"/>
      <c r="AKF29" s="1"/>
      <c r="AKG29" s="1"/>
      <c r="AKH29" s="1"/>
      <c r="AKI29" s="1"/>
      <c r="AKJ29" s="1"/>
      <c r="AKK29" s="1"/>
      <c r="AKL29" s="1"/>
      <c r="AKM29" s="1"/>
      <c r="AKN29" s="1"/>
      <c r="AKO29" s="1"/>
      <c r="AKP29" s="1"/>
      <c r="AKQ29" s="1"/>
      <c r="AKR29" s="1"/>
      <c r="AKS29" s="1"/>
      <c r="AKT29" s="1"/>
      <c r="AKU29" s="1"/>
      <c r="AKV29" s="1"/>
      <c r="AKW29" s="1"/>
      <c r="AKX29" s="1"/>
      <c r="AKY29" s="1"/>
      <c r="AKZ29" s="1"/>
      <c r="ALA29" s="1"/>
      <c r="ALB29" s="1"/>
      <c r="ALC29" s="1"/>
      <c r="ALD29" s="1"/>
      <c r="ALE29" s="1"/>
      <c r="ALF29" s="1"/>
      <c r="ALG29" s="1"/>
      <c r="ALH29" s="1"/>
      <c r="ALI29" s="1"/>
      <c r="ALJ29" s="1"/>
      <c r="ALK29" s="1"/>
    </row>
    <row r="30" spans="1:999" hidden="1">
      <c r="C30" t="str">
        <f>_xll.TM1RPTVIEW("tango_core_model:zz_Process_Detail_By_Source:ARPT2", 1, _xll.TM1RPTTITLE("tango_core_model:zz_Process_Source",$D$33), _xll.TM1RPTTITLE("tango_core_model:zz_Date_Time_loading",$D$32),TM1RPTFMTRNG,TM1RPTFMTIDCOL)</f>
        <v>tango_core_model:zz_Process_Detail_By_Source:ARPT2</v>
      </c>
    </row>
    <row r="31" spans="1:999" hidden="1"/>
    <row r="32" spans="1:999" hidden="1">
      <c r="C32" s="24" t="s">
        <v>1</v>
      </c>
      <c r="D32" s="26" t="str">
        <f>D19</f>
        <v/>
      </c>
    </row>
    <row r="33" spans="1:1000" hidden="1">
      <c r="C33" s="24" t="s">
        <v>46</v>
      </c>
      <c r="D33" t="str">
        <f>D17</f>
        <v/>
      </c>
    </row>
    <row r="34" spans="1:1000" hidden="1"/>
    <row r="35" spans="1:1000" hidden="1"/>
    <row r="36" spans="1:1000" hidden="1">
      <c r="D36" s="16" t="s">
        <v>16</v>
      </c>
      <c r="E36" s="16" t="s">
        <v>49</v>
      </c>
      <c r="F36" s="16" t="s">
        <v>18</v>
      </c>
      <c r="G36" s="16" t="s">
        <v>19</v>
      </c>
      <c r="H36" s="16" t="s">
        <v>20</v>
      </c>
      <c r="I36" s="16" t="s">
        <v>4</v>
      </c>
    </row>
    <row r="37" spans="1:1000">
      <c r="A37" t="e">
        <f>IF(_xll.TM1RPTELISCONSOLIDATED($C$37,$C37),IF(_xll.TM1RPTELLEV($C$37,$C37)&lt;=3,_xll.TM1RPTELLEV($C$37,$C37),"D"),"N")</f>
        <v>#REF!</v>
      </c>
      <c r="B37" s="3"/>
      <c r="C37" s="9" t="str">
        <f>_xll.TM1RPTROW($C$30,"tango_core_model:}Processes")</f>
        <v/>
      </c>
      <c r="D37" s="9" t="e">
        <f>_xll.DBRW($C$30,$D$33,$C37,$D$32,D$36)</f>
        <v>#VALUE!</v>
      </c>
      <c r="E37" s="9" t="e">
        <f>_xll.DBRW($C$30,$D$33,$C37,$D$32,E$36)</f>
        <v>#VALUE!</v>
      </c>
      <c r="F37" s="8" t="e">
        <f>_xll.DBRW($C$30,$D$33,$C37,$D$32,F$36)</f>
        <v>#VALUE!</v>
      </c>
      <c r="G37" s="8" t="e">
        <f>_xll.DBRW($C$30,$D$33,$C37,$D$32,G$36)</f>
        <v>#VALUE!</v>
      </c>
      <c r="H37" s="8" t="e">
        <f>_xll.DBRW($C$30,$D$33,$C37,$D$32,H$36)</f>
        <v>#VALUE!</v>
      </c>
      <c r="I37" s="8" t="e">
        <f>_xll.DBRW($C$30,$D$33,$C37,$D$32,I$36)</f>
        <v>#VALUE!</v>
      </c>
    </row>
    <row r="38" spans="1:1000">
      <c r="A38" s="11"/>
      <c r="B38" s="11"/>
      <c r="C38" s="3"/>
      <c r="D38" s="4"/>
      <c r="E38" s="4"/>
      <c r="F38" s="4"/>
      <c r="G38" s="4"/>
      <c r="H38" s="4"/>
      <c r="I38" s="4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  <c r="ALA38" s="1"/>
      <c r="ALB38" s="1"/>
      <c r="ALC38" s="1"/>
      <c r="ALD38" s="1"/>
      <c r="ALE38" s="1"/>
      <c r="ALF38" s="1"/>
      <c r="ALG38" s="1"/>
      <c r="ALH38" s="1"/>
      <c r="ALI38" s="1"/>
      <c r="ALJ38" s="1"/>
      <c r="ALK38" s="1"/>
    </row>
    <row r="39" spans="1:1000">
      <c r="A39" s="11"/>
      <c r="B39" s="11"/>
      <c r="C39" s="3"/>
      <c r="D39" s="4"/>
      <c r="E39" s="4"/>
      <c r="F39" s="4"/>
      <c r="G39" s="4"/>
      <c r="H39" s="4"/>
      <c r="I39" s="4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/>
      <c r="IR39" s="1"/>
      <c r="IS39" s="1"/>
      <c r="IT39" s="1"/>
      <c r="IU39" s="1"/>
      <c r="IV39" s="1"/>
      <c r="IW39" s="1"/>
      <c r="IX39" s="1"/>
      <c r="IY39" s="1"/>
      <c r="IZ39" s="1"/>
      <c r="JA39" s="1"/>
      <c r="JB39" s="1"/>
      <c r="JC39" s="1"/>
      <c r="JD39" s="1"/>
      <c r="JE39" s="1"/>
      <c r="JF39" s="1"/>
      <c r="JG39" s="1"/>
      <c r="JH39" s="1"/>
      <c r="JI39" s="1"/>
      <c r="JJ39" s="1"/>
      <c r="JK39" s="1"/>
      <c r="JL39" s="1"/>
      <c r="JM39" s="1"/>
      <c r="JN39" s="1"/>
      <c r="JO39" s="1"/>
      <c r="JP39" s="1"/>
      <c r="JQ39" s="1"/>
      <c r="JR39" s="1"/>
      <c r="JS39" s="1"/>
      <c r="JT39" s="1"/>
      <c r="JU39" s="1"/>
      <c r="JV39" s="1"/>
      <c r="JW39" s="1"/>
      <c r="JX39" s="1"/>
      <c r="JY39" s="1"/>
      <c r="JZ39" s="1"/>
      <c r="KA39" s="1"/>
      <c r="KB39" s="1"/>
      <c r="KC39" s="1"/>
      <c r="KD39" s="1"/>
      <c r="KE39" s="1"/>
      <c r="KF39" s="1"/>
      <c r="KG39" s="1"/>
      <c r="KH39" s="1"/>
      <c r="KI39" s="1"/>
      <c r="KJ39" s="1"/>
      <c r="KK39" s="1"/>
      <c r="KL39" s="1"/>
      <c r="KM39" s="1"/>
      <c r="KN39" s="1"/>
      <c r="KO39" s="1"/>
      <c r="KP39" s="1"/>
      <c r="KQ39" s="1"/>
      <c r="KR39" s="1"/>
      <c r="KS39" s="1"/>
      <c r="KT39" s="1"/>
      <c r="KU39" s="1"/>
      <c r="KV39" s="1"/>
      <c r="KW39" s="1"/>
      <c r="KX39" s="1"/>
      <c r="KY39" s="1"/>
      <c r="KZ39" s="1"/>
      <c r="LA39" s="1"/>
      <c r="LB39" s="1"/>
      <c r="LC39" s="1"/>
      <c r="LD39" s="1"/>
      <c r="LE39" s="1"/>
      <c r="LF39" s="1"/>
      <c r="LG39" s="1"/>
      <c r="LH39" s="1"/>
      <c r="LI39" s="1"/>
      <c r="LJ39" s="1"/>
      <c r="LK39" s="1"/>
      <c r="LL39" s="1"/>
      <c r="LM39" s="1"/>
      <c r="LN39" s="1"/>
      <c r="LO39" s="1"/>
      <c r="LP39" s="1"/>
      <c r="LQ39" s="1"/>
      <c r="LR39" s="1"/>
      <c r="LS39" s="1"/>
      <c r="LT39" s="1"/>
      <c r="LU39" s="1"/>
      <c r="LV39" s="1"/>
      <c r="LW39" s="1"/>
      <c r="LX39" s="1"/>
      <c r="LY39" s="1"/>
      <c r="LZ39" s="1"/>
      <c r="MA39" s="1"/>
      <c r="MB39" s="1"/>
      <c r="MC39" s="1"/>
      <c r="MD39" s="1"/>
      <c r="ME39" s="1"/>
      <c r="MF39" s="1"/>
      <c r="MG39" s="1"/>
      <c r="MH39" s="1"/>
      <c r="MI39" s="1"/>
      <c r="MJ39" s="1"/>
      <c r="MK39" s="1"/>
      <c r="ML39" s="1"/>
      <c r="MM39" s="1"/>
      <c r="MN39" s="1"/>
      <c r="MO39" s="1"/>
      <c r="MP39" s="1"/>
      <c r="MQ39" s="1"/>
      <c r="MR39" s="1"/>
      <c r="MS39" s="1"/>
      <c r="MT39" s="1"/>
      <c r="MU39" s="1"/>
      <c r="MV39" s="1"/>
      <c r="MW39" s="1"/>
      <c r="MX39" s="1"/>
      <c r="MY39" s="1"/>
      <c r="MZ39" s="1"/>
      <c r="NA39" s="1"/>
      <c r="NB39" s="1"/>
      <c r="NC39" s="1"/>
      <c r="ND39" s="1"/>
      <c r="NE39" s="1"/>
      <c r="NF39" s="1"/>
      <c r="NG39" s="1"/>
      <c r="NH39" s="1"/>
      <c r="NI39" s="1"/>
      <c r="NJ39" s="1"/>
      <c r="NK39" s="1"/>
      <c r="NL39" s="1"/>
      <c r="NM39" s="1"/>
      <c r="NN39" s="1"/>
      <c r="NO39" s="1"/>
      <c r="NP39" s="1"/>
      <c r="NQ39" s="1"/>
      <c r="NR39" s="1"/>
      <c r="NS39" s="1"/>
      <c r="NT39" s="1"/>
      <c r="NU39" s="1"/>
      <c r="NV39" s="1"/>
      <c r="NW39" s="1"/>
      <c r="NX39" s="1"/>
      <c r="NY39" s="1"/>
      <c r="NZ39" s="1"/>
      <c r="OA39" s="1"/>
      <c r="OB39" s="1"/>
      <c r="OC39" s="1"/>
      <c r="OD39" s="1"/>
      <c r="OE39" s="1"/>
      <c r="OF39" s="1"/>
      <c r="OG39" s="1"/>
      <c r="OH39" s="1"/>
      <c r="OI39" s="1"/>
      <c r="OJ39" s="1"/>
      <c r="OK39" s="1"/>
      <c r="OL39" s="1"/>
      <c r="OM39" s="1"/>
      <c r="ON39" s="1"/>
      <c r="OO39" s="1"/>
      <c r="OP39" s="1"/>
      <c r="OQ39" s="1"/>
      <c r="OR39" s="1"/>
      <c r="OS39" s="1"/>
      <c r="OT39" s="1"/>
      <c r="OU39" s="1"/>
      <c r="OV39" s="1"/>
      <c r="OW39" s="1"/>
      <c r="OX39" s="1"/>
      <c r="OY39" s="1"/>
      <c r="OZ39" s="1"/>
      <c r="PA39" s="1"/>
      <c r="PB39" s="1"/>
      <c r="PC39" s="1"/>
      <c r="PD39" s="1"/>
      <c r="PE39" s="1"/>
      <c r="PF39" s="1"/>
      <c r="PG39" s="1"/>
      <c r="PH39" s="1"/>
      <c r="PI39" s="1"/>
      <c r="PJ39" s="1"/>
      <c r="PK39" s="1"/>
      <c r="PL39" s="1"/>
      <c r="PM39" s="1"/>
      <c r="PN39" s="1"/>
      <c r="PO39" s="1"/>
      <c r="PP39" s="1"/>
      <c r="PQ39" s="1"/>
      <c r="PR39" s="1"/>
      <c r="PS39" s="1"/>
      <c r="PT39" s="1"/>
      <c r="PU39" s="1"/>
      <c r="PV39" s="1"/>
      <c r="PW39" s="1"/>
      <c r="PX39" s="1"/>
      <c r="PY39" s="1"/>
      <c r="PZ39" s="1"/>
      <c r="QA39" s="1"/>
      <c r="QB39" s="1"/>
      <c r="QC39" s="1"/>
      <c r="QD39" s="1"/>
      <c r="QE39" s="1"/>
      <c r="QF39" s="1"/>
      <c r="QG39" s="1"/>
      <c r="QH39" s="1"/>
      <c r="QI39" s="1"/>
      <c r="QJ39" s="1"/>
      <c r="QK39" s="1"/>
      <c r="QL39" s="1"/>
      <c r="QM39" s="1"/>
      <c r="QN39" s="1"/>
      <c r="QO39" s="1"/>
      <c r="QP39" s="1"/>
      <c r="QQ39" s="1"/>
      <c r="QR39" s="1"/>
      <c r="QS39" s="1"/>
      <c r="QT39" s="1"/>
      <c r="QU39" s="1"/>
      <c r="QV39" s="1"/>
      <c r="QW39" s="1"/>
      <c r="QX39" s="1"/>
      <c r="QY39" s="1"/>
      <c r="QZ39" s="1"/>
      <c r="RA39" s="1"/>
      <c r="RB39" s="1"/>
      <c r="RC39" s="1"/>
      <c r="RD39" s="1"/>
      <c r="RE39" s="1"/>
      <c r="RF39" s="1"/>
      <c r="RG39" s="1"/>
      <c r="RH39" s="1"/>
      <c r="RI39" s="1"/>
      <c r="RJ39" s="1"/>
      <c r="RK39" s="1"/>
      <c r="RL39" s="1"/>
      <c r="RM39" s="1"/>
      <c r="RN39" s="1"/>
      <c r="RO39" s="1"/>
      <c r="RP39" s="1"/>
      <c r="RQ39" s="1"/>
      <c r="RR39" s="1"/>
      <c r="RS39" s="1"/>
      <c r="RT39" s="1"/>
      <c r="RU39" s="1"/>
      <c r="RV39" s="1"/>
      <c r="RW39" s="1"/>
      <c r="RX39" s="1"/>
      <c r="RY39" s="1"/>
      <c r="RZ39" s="1"/>
      <c r="SA39" s="1"/>
      <c r="SB39" s="1"/>
      <c r="SC39" s="1"/>
      <c r="SD39" s="1"/>
      <c r="SE39" s="1"/>
      <c r="SF39" s="1"/>
      <c r="SG39" s="1"/>
      <c r="SH39" s="1"/>
      <c r="SI39" s="1"/>
      <c r="SJ39" s="1"/>
      <c r="SK39" s="1"/>
      <c r="SL39" s="1"/>
      <c r="SM39" s="1"/>
      <c r="SN39" s="1"/>
      <c r="SO39" s="1"/>
      <c r="SP39" s="1"/>
      <c r="SQ39" s="1"/>
      <c r="SR39" s="1"/>
      <c r="SS39" s="1"/>
      <c r="ST39" s="1"/>
      <c r="SU39" s="1"/>
      <c r="SV39" s="1"/>
      <c r="SW39" s="1"/>
      <c r="SX39" s="1"/>
      <c r="SY39" s="1"/>
      <c r="SZ39" s="1"/>
      <c r="TA39" s="1"/>
      <c r="TB39" s="1"/>
      <c r="TC39" s="1"/>
      <c r="TD39" s="1"/>
      <c r="TE39" s="1"/>
      <c r="TF39" s="1"/>
      <c r="TG39" s="1"/>
      <c r="TH39" s="1"/>
      <c r="TI39" s="1"/>
      <c r="TJ39" s="1"/>
      <c r="TK39" s="1"/>
      <c r="TL39" s="1"/>
      <c r="TM39" s="1"/>
      <c r="TN39" s="1"/>
      <c r="TO39" s="1"/>
      <c r="TP39" s="1"/>
      <c r="TQ39" s="1"/>
      <c r="TR39" s="1"/>
      <c r="TS39" s="1"/>
      <c r="TT39" s="1"/>
      <c r="TU39" s="1"/>
      <c r="TV39" s="1"/>
      <c r="TW39" s="1"/>
      <c r="TX39" s="1"/>
      <c r="TY39" s="1"/>
      <c r="TZ39" s="1"/>
      <c r="UA39" s="1"/>
      <c r="UB39" s="1"/>
      <c r="UC39" s="1"/>
      <c r="UD39" s="1"/>
      <c r="UE39" s="1"/>
      <c r="UF39" s="1"/>
      <c r="UG39" s="1"/>
      <c r="UH39" s="1"/>
      <c r="UI39" s="1"/>
      <c r="UJ39" s="1"/>
      <c r="UK39" s="1"/>
      <c r="UL39" s="1"/>
      <c r="UM39" s="1"/>
      <c r="UN39" s="1"/>
      <c r="UO39" s="1"/>
      <c r="UP39" s="1"/>
      <c r="UQ39" s="1"/>
      <c r="UR39" s="1"/>
      <c r="US39" s="1"/>
      <c r="UT39" s="1"/>
      <c r="UU39" s="1"/>
      <c r="UV39" s="1"/>
      <c r="UW39" s="1"/>
      <c r="UX39" s="1"/>
      <c r="UY39" s="1"/>
      <c r="UZ39" s="1"/>
      <c r="VA39" s="1"/>
      <c r="VB39" s="1"/>
      <c r="VC39" s="1"/>
      <c r="VD39" s="1"/>
      <c r="VE39" s="1"/>
      <c r="VF39" s="1"/>
      <c r="VG39" s="1"/>
      <c r="VH39" s="1"/>
      <c r="VI39" s="1"/>
      <c r="VJ39" s="1"/>
      <c r="VK39" s="1"/>
      <c r="VL39" s="1"/>
      <c r="VM39" s="1"/>
      <c r="VN39" s="1"/>
      <c r="VO39" s="1"/>
      <c r="VP39" s="1"/>
      <c r="VQ39" s="1"/>
      <c r="VR39" s="1"/>
      <c r="VS39" s="1"/>
      <c r="VT39" s="1"/>
      <c r="VU39" s="1"/>
      <c r="VV39" s="1"/>
      <c r="VW39" s="1"/>
      <c r="VX39" s="1"/>
      <c r="VY39" s="1"/>
      <c r="VZ39" s="1"/>
      <c r="WA39" s="1"/>
      <c r="WB39" s="1"/>
      <c r="WC39" s="1"/>
      <c r="WD39" s="1"/>
      <c r="WE39" s="1"/>
      <c r="WF39" s="1"/>
      <c r="WG39" s="1"/>
      <c r="WH39" s="1"/>
      <c r="WI39" s="1"/>
      <c r="WJ39" s="1"/>
      <c r="WK39" s="1"/>
      <c r="WL39" s="1"/>
      <c r="WM39" s="1"/>
      <c r="WN39" s="1"/>
      <c r="WO39" s="1"/>
      <c r="WP39" s="1"/>
      <c r="WQ39" s="1"/>
      <c r="WR39" s="1"/>
      <c r="WS39" s="1"/>
      <c r="WT39" s="1"/>
      <c r="WU39" s="1"/>
      <c r="WV39" s="1"/>
      <c r="WW39" s="1"/>
      <c r="WX39" s="1"/>
      <c r="WY39" s="1"/>
      <c r="WZ39" s="1"/>
      <c r="XA39" s="1"/>
      <c r="XB39" s="1"/>
      <c r="XC39" s="1"/>
      <c r="XD39" s="1"/>
      <c r="XE39" s="1"/>
      <c r="XF39" s="1"/>
      <c r="XG39" s="1"/>
      <c r="XH39" s="1"/>
      <c r="XI39" s="1"/>
      <c r="XJ39" s="1"/>
      <c r="XK39" s="1"/>
      <c r="XL39" s="1"/>
      <c r="XM39" s="1"/>
      <c r="XN39" s="1"/>
      <c r="XO39" s="1"/>
      <c r="XP39" s="1"/>
      <c r="XQ39" s="1"/>
      <c r="XR39" s="1"/>
      <c r="XS39" s="1"/>
      <c r="XT39" s="1"/>
      <c r="XU39" s="1"/>
      <c r="XV39" s="1"/>
      <c r="XW39" s="1"/>
      <c r="XX39" s="1"/>
      <c r="XY39" s="1"/>
      <c r="XZ39" s="1"/>
      <c r="YA39" s="1"/>
      <c r="YB39" s="1"/>
      <c r="YC39" s="1"/>
      <c r="YD39" s="1"/>
      <c r="YE39" s="1"/>
      <c r="YF39" s="1"/>
      <c r="YG39" s="1"/>
      <c r="YH39" s="1"/>
      <c r="YI39" s="1"/>
      <c r="YJ39" s="1"/>
      <c r="YK39" s="1"/>
      <c r="YL39" s="1"/>
      <c r="YM39" s="1"/>
      <c r="YN39" s="1"/>
      <c r="YO39" s="1"/>
      <c r="YP39" s="1"/>
      <c r="YQ39" s="1"/>
      <c r="YR39" s="1"/>
      <c r="YS39" s="1"/>
      <c r="YT39" s="1"/>
      <c r="YU39" s="1"/>
      <c r="YV39" s="1"/>
      <c r="YW39" s="1"/>
      <c r="YX39" s="1"/>
      <c r="YY39" s="1"/>
      <c r="YZ39" s="1"/>
      <c r="ZA39" s="1"/>
      <c r="ZB39" s="1"/>
      <c r="ZC39" s="1"/>
      <c r="ZD39" s="1"/>
      <c r="ZE39" s="1"/>
      <c r="ZF39" s="1"/>
      <c r="ZG39" s="1"/>
      <c r="ZH39" s="1"/>
      <c r="ZI39" s="1"/>
      <c r="ZJ39" s="1"/>
      <c r="ZK39" s="1"/>
      <c r="ZL39" s="1"/>
      <c r="ZM39" s="1"/>
      <c r="ZN39" s="1"/>
      <c r="ZO39" s="1"/>
      <c r="ZP39" s="1"/>
      <c r="ZQ39" s="1"/>
      <c r="ZR39" s="1"/>
      <c r="ZS39" s="1"/>
      <c r="ZT39" s="1"/>
      <c r="ZU39" s="1"/>
      <c r="ZV39" s="1"/>
      <c r="ZW39" s="1"/>
      <c r="ZX39" s="1"/>
      <c r="ZY39" s="1"/>
      <c r="ZZ39" s="1"/>
      <c r="AAA39" s="1"/>
      <c r="AAB39" s="1"/>
      <c r="AAC39" s="1"/>
      <c r="AAD39" s="1"/>
      <c r="AAE39" s="1"/>
      <c r="AAF39" s="1"/>
      <c r="AAG39" s="1"/>
      <c r="AAH39" s="1"/>
      <c r="AAI39" s="1"/>
      <c r="AAJ39" s="1"/>
      <c r="AAK39" s="1"/>
      <c r="AAL39" s="1"/>
      <c r="AAM39" s="1"/>
      <c r="AAN39" s="1"/>
      <c r="AAO39" s="1"/>
      <c r="AAP39" s="1"/>
      <c r="AAQ39" s="1"/>
      <c r="AAR39" s="1"/>
      <c r="AAS39" s="1"/>
      <c r="AAT39" s="1"/>
      <c r="AAU39" s="1"/>
      <c r="AAV39" s="1"/>
      <c r="AAW39" s="1"/>
      <c r="AAX39" s="1"/>
      <c r="AAY39" s="1"/>
      <c r="AAZ39" s="1"/>
      <c r="ABA39" s="1"/>
      <c r="ABB39" s="1"/>
      <c r="ABC39" s="1"/>
      <c r="ABD39" s="1"/>
      <c r="ABE39" s="1"/>
      <c r="ABF39" s="1"/>
      <c r="ABG39" s="1"/>
      <c r="ABH39" s="1"/>
      <c r="ABI39" s="1"/>
      <c r="ABJ39" s="1"/>
      <c r="ABK39" s="1"/>
      <c r="ABL39" s="1"/>
      <c r="ABM39" s="1"/>
      <c r="ABN39" s="1"/>
      <c r="ABO39" s="1"/>
      <c r="ABP39" s="1"/>
      <c r="ABQ39" s="1"/>
      <c r="ABR39" s="1"/>
      <c r="ABS39" s="1"/>
      <c r="ABT39" s="1"/>
      <c r="ABU39" s="1"/>
      <c r="ABV39" s="1"/>
      <c r="ABW39" s="1"/>
      <c r="ABX39" s="1"/>
      <c r="ABY39" s="1"/>
      <c r="ABZ39" s="1"/>
      <c r="ACA39" s="1"/>
      <c r="ACB39" s="1"/>
      <c r="ACC39" s="1"/>
      <c r="ACD39" s="1"/>
      <c r="ACE39" s="1"/>
      <c r="ACF39" s="1"/>
      <c r="ACG39" s="1"/>
      <c r="ACH39" s="1"/>
      <c r="ACI39" s="1"/>
      <c r="ACJ39" s="1"/>
      <c r="ACK39" s="1"/>
      <c r="ACL39" s="1"/>
      <c r="ACM39" s="1"/>
      <c r="ACN39" s="1"/>
      <c r="ACO39" s="1"/>
      <c r="ACP39" s="1"/>
      <c r="ACQ39" s="1"/>
      <c r="ACR39" s="1"/>
      <c r="ACS39" s="1"/>
      <c r="ACT39" s="1"/>
      <c r="ACU39" s="1"/>
      <c r="ACV39" s="1"/>
      <c r="ACW39" s="1"/>
      <c r="ACX39" s="1"/>
      <c r="ACY39" s="1"/>
      <c r="ACZ39" s="1"/>
      <c r="ADA39" s="1"/>
      <c r="ADB39" s="1"/>
      <c r="ADC39" s="1"/>
      <c r="ADD39" s="1"/>
      <c r="ADE39" s="1"/>
      <c r="ADF39" s="1"/>
      <c r="ADG39" s="1"/>
      <c r="ADH39" s="1"/>
      <c r="ADI39" s="1"/>
      <c r="ADJ39" s="1"/>
      <c r="ADK39" s="1"/>
      <c r="ADL39" s="1"/>
      <c r="ADM39" s="1"/>
      <c r="ADN39" s="1"/>
      <c r="ADO39" s="1"/>
      <c r="ADP39" s="1"/>
      <c r="ADQ39" s="1"/>
      <c r="ADR39" s="1"/>
      <c r="ADS39" s="1"/>
      <c r="ADT39" s="1"/>
      <c r="ADU39" s="1"/>
      <c r="ADV39" s="1"/>
      <c r="ADW39" s="1"/>
      <c r="ADX39" s="1"/>
      <c r="ADY39" s="1"/>
      <c r="ADZ39" s="1"/>
      <c r="AEA39" s="1"/>
      <c r="AEB39" s="1"/>
      <c r="AEC39" s="1"/>
      <c r="AED39" s="1"/>
      <c r="AEE39" s="1"/>
      <c r="AEF39" s="1"/>
      <c r="AEG39" s="1"/>
      <c r="AEH39" s="1"/>
      <c r="AEI39" s="1"/>
      <c r="AEJ39" s="1"/>
      <c r="AEK39" s="1"/>
      <c r="AEL39" s="1"/>
      <c r="AEM39" s="1"/>
      <c r="AEN39" s="1"/>
      <c r="AEO39" s="1"/>
      <c r="AEP39" s="1"/>
      <c r="AEQ39" s="1"/>
      <c r="AER39" s="1"/>
      <c r="AES39" s="1"/>
      <c r="AET39" s="1"/>
      <c r="AEU39" s="1"/>
      <c r="AEV39" s="1"/>
      <c r="AEW39" s="1"/>
      <c r="AEX39" s="1"/>
      <c r="AEY39" s="1"/>
      <c r="AEZ39" s="1"/>
      <c r="AFA39" s="1"/>
      <c r="AFB39" s="1"/>
      <c r="AFC39" s="1"/>
      <c r="AFD39" s="1"/>
      <c r="AFE39" s="1"/>
      <c r="AFF39" s="1"/>
      <c r="AFG39" s="1"/>
      <c r="AFH39" s="1"/>
      <c r="AFI39" s="1"/>
      <c r="AFJ39" s="1"/>
      <c r="AFK39" s="1"/>
      <c r="AFL39" s="1"/>
      <c r="AFM39" s="1"/>
      <c r="AFN39" s="1"/>
      <c r="AFO39" s="1"/>
      <c r="AFP39" s="1"/>
      <c r="AFQ39" s="1"/>
      <c r="AFR39" s="1"/>
      <c r="AFS39" s="1"/>
      <c r="AFT39" s="1"/>
      <c r="AFU39" s="1"/>
      <c r="AFV39" s="1"/>
      <c r="AFW39" s="1"/>
      <c r="AFX39" s="1"/>
      <c r="AFY39" s="1"/>
      <c r="AFZ39" s="1"/>
      <c r="AGA39" s="1"/>
      <c r="AGB39" s="1"/>
      <c r="AGC39" s="1"/>
      <c r="AGD39" s="1"/>
      <c r="AGE39" s="1"/>
      <c r="AGF39" s="1"/>
      <c r="AGG39" s="1"/>
      <c r="AGH39" s="1"/>
      <c r="AGI39" s="1"/>
      <c r="AGJ39" s="1"/>
      <c r="AGK39" s="1"/>
      <c r="AGL39" s="1"/>
      <c r="AGM39" s="1"/>
      <c r="AGN39" s="1"/>
      <c r="AGO39" s="1"/>
      <c r="AGP39" s="1"/>
      <c r="AGQ39" s="1"/>
      <c r="AGR39" s="1"/>
      <c r="AGS39" s="1"/>
      <c r="AGT39" s="1"/>
      <c r="AGU39" s="1"/>
      <c r="AGV39" s="1"/>
      <c r="AGW39" s="1"/>
      <c r="AGX39" s="1"/>
      <c r="AGY39" s="1"/>
      <c r="AGZ39" s="1"/>
      <c r="AHA39" s="1"/>
      <c r="AHB39" s="1"/>
      <c r="AHC39" s="1"/>
      <c r="AHD39" s="1"/>
      <c r="AHE39" s="1"/>
      <c r="AHF39" s="1"/>
      <c r="AHG39" s="1"/>
      <c r="AHH39" s="1"/>
      <c r="AHI39" s="1"/>
      <c r="AHJ39" s="1"/>
      <c r="AHK39" s="1"/>
      <c r="AHL39" s="1"/>
      <c r="AHM39" s="1"/>
      <c r="AHN39" s="1"/>
      <c r="AHO39" s="1"/>
      <c r="AHP39" s="1"/>
      <c r="AHQ39" s="1"/>
      <c r="AHR39" s="1"/>
      <c r="AHS39" s="1"/>
      <c r="AHT39" s="1"/>
      <c r="AHU39" s="1"/>
      <c r="AHV39" s="1"/>
      <c r="AHW39" s="1"/>
      <c r="AHX39" s="1"/>
      <c r="AHY39" s="1"/>
      <c r="AHZ39" s="1"/>
      <c r="AIA39" s="1"/>
      <c r="AIB39" s="1"/>
      <c r="AIC39" s="1"/>
      <c r="AID39" s="1"/>
      <c r="AIE39" s="1"/>
      <c r="AIF39" s="1"/>
      <c r="AIG39" s="1"/>
      <c r="AIH39" s="1"/>
      <c r="AII39" s="1"/>
      <c r="AIJ39" s="1"/>
      <c r="AIK39" s="1"/>
      <c r="AIL39" s="1"/>
      <c r="AIM39" s="1"/>
      <c r="AIN39" s="1"/>
      <c r="AIO39" s="1"/>
      <c r="AIP39" s="1"/>
      <c r="AIQ39" s="1"/>
      <c r="AIR39" s="1"/>
      <c r="AIS39" s="1"/>
      <c r="AIT39" s="1"/>
      <c r="AIU39" s="1"/>
      <c r="AIV39" s="1"/>
      <c r="AIW39" s="1"/>
      <c r="AIX39" s="1"/>
      <c r="AIY39" s="1"/>
      <c r="AIZ39" s="1"/>
      <c r="AJA39" s="1"/>
      <c r="AJB39" s="1"/>
      <c r="AJC39" s="1"/>
      <c r="AJD39" s="1"/>
      <c r="AJE39" s="1"/>
      <c r="AJF39" s="1"/>
      <c r="AJG39" s="1"/>
      <c r="AJH39" s="1"/>
      <c r="AJI39" s="1"/>
      <c r="AJJ39" s="1"/>
      <c r="AJK39" s="1"/>
      <c r="AJL39" s="1"/>
      <c r="AJM39" s="1"/>
      <c r="AJN39" s="1"/>
      <c r="AJO39" s="1"/>
      <c r="AJP39" s="1"/>
      <c r="AJQ39" s="1"/>
      <c r="AJR39" s="1"/>
      <c r="AJS39" s="1"/>
      <c r="AJT39" s="1"/>
      <c r="AJU39" s="1"/>
      <c r="AJV39" s="1"/>
      <c r="AJW39" s="1"/>
      <c r="AJX39" s="1"/>
      <c r="AJY39" s="1"/>
      <c r="AJZ39" s="1"/>
      <c r="AKA39" s="1"/>
      <c r="AKB39" s="1"/>
      <c r="AKC39" s="1"/>
      <c r="AKD39" s="1"/>
      <c r="AKE39" s="1"/>
      <c r="AKF39" s="1"/>
      <c r="AKG39" s="1"/>
      <c r="AKH39" s="1"/>
      <c r="AKI39" s="1"/>
      <c r="AKJ39" s="1"/>
      <c r="AKK39" s="1"/>
      <c r="AKL39" s="1"/>
      <c r="AKM39" s="1"/>
      <c r="AKN39" s="1"/>
      <c r="AKO39" s="1"/>
      <c r="AKP39" s="1"/>
      <c r="AKQ39" s="1"/>
      <c r="AKR39" s="1"/>
      <c r="AKS39" s="1"/>
      <c r="AKT39" s="1"/>
      <c r="AKU39" s="1"/>
      <c r="AKV39" s="1"/>
      <c r="AKW39" s="1"/>
      <c r="AKX39" s="1"/>
      <c r="AKY39" s="1"/>
      <c r="AKZ39" s="1"/>
      <c r="ALA39" s="1"/>
      <c r="ALB39" s="1"/>
      <c r="ALC39" s="1"/>
      <c r="ALD39" s="1"/>
      <c r="ALE39" s="1"/>
      <c r="ALF39" s="1"/>
      <c r="ALG39" s="1"/>
      <c r="ALH39" s="1"/>
      <c r="ALI39" s="1"/>
      <c r="ALJ39" s="1"/>
      <c r="ALK39" s="1"/>
      <c r="ALL39" s="1"/>
    </row>
    <row r="41" spans="1:1000" hidden="1">
      <c r="C41" t="str">
        <f>_xll.TM1RPTVIEW("tango_core_model:zz_process_reject_cpp:ARPT4", 1, _xll.TM1RPTTITLE("tango_core_model:}Processes",$D$44), _xll.TM1RPTTITLE("tango_core_model:zz_Date_Time_loading",$D$43), _xll.TM1RPTTITLE("tango_core_model:Period_YTD",$D$45), _xll.TM1RPTTITLE("tango_core_model:Phase",$D$46),TM1RPTFMTRNG,TM1RPTFMTIDCOL)</f>
        <v>tango_core_model:zz_process_reject_cpp:ARPT4</v>
      </c>
    </row>
    <row r="42" spans="1:1000" hidden="1"/>
    <row r="43" spans="1:1000" hidden="1">
      <c r="C43" s="24" t="s">
        <v>1</v>
      </c>
      <c r="D43" s="26" t="str">
        <f>D19</f>
        <v/>
      </c>
    </row>
    <row r="44" spans="1:1000" hidden="1">
      <c r="C44" s="24" t="s">
        <v>0</v>
      </c>
      <c r="D44" t="str">
        <f>_xll.SUBNM("tango_core_model:}Processes","","DL_ST_PL_YTD_ROLLOUT2")</f>
        <v>DL_ST_PL_YTD_ROLLOUT2</v>
      </c>
    </row>
    <row r="45" spans="1:1000" hidden="1">
      <c r="C45" s="24" t="s">
        <v>2</v>
      </c>
      <c r="D45" t="str">
        <f>D21</f>
        <v>2023.08_YTD</v>
      </c>
    </row>
    <row r="46" spans="1:1000" hidden="1">
      <c r="C46" s="24" t="s">
        <v>3</v>
      </c>
      <c r="D46" t="str">
        <f>D23</f>
        <v>ACT</v>
      </c>
    </row>
    <row r="47" spans="1:1000" hidden="1"/>
    <row r="48" spans="1:1000" ht="16">
      <c r="B48" s="12">
        <v>3</v>
      </c>
      <c r="C48" s="12" t="s">
        <v>15</v>
      </c>
    </row>
    <row r="49" spans="1:9">
      <c r="D49" s="6"/>
      <c r="E49" s="16" t="s">
        <v>21</v>
      </c>
      <c r="F49" s="5"/>
      <c r="G49" s="16" t="s">
        <v>47</v>
      </c>
      <c r="H49" s="16" t="s">
        <v>44</v>
      </c>
      <c r="I49" s="5"/>
    </row>
    <row r="50" spans="1:9">
      <c r="A50" t="e">
        <f>IF(_xll.TM1RPTELISCONSOLIDATED($D$50,$D50),IF(_xll.TM1RPTELLEV($D$50,$D50)&lt;=3,_xll.TM1RPTELLEV($D$50,$D50),"D"),"N")</f>
        <v>#REF!</v>
      </c>
      <c r="B50" s="3"/>
      <c r="C50" s="9" t="str">
        <f>_xll.TM1RPTROW($C$41,"tango_core_model:}Chores","L0",,,,$E$10)</f>
        <v/>
      </c>
      <c r="D50" s="9" t="str">
        <f>_xll.TM1RPTROW($C$41,"tango_core_model:zz_Num_Lign","First 25")</f>
        <v/>
      </c>
      <c r="E50" s="9" t="e">
        <f>_xll.DBRW($C$41,$C50,$D$44,$D$43,$D50,$D$45,$D$46,E$49)</f>
        <v>#VALUE!</v>
      </c>
      <c r="F50" s="8"/>
      <c r="G50" s="8" t="e">
        <f>_xll.DBRW($C$41,$C50,$D$44,$D$43,$D50,$D$45,$D$46,G$49)</f>
        <v>#VALUE!</v>
      </c>
      <c r="H50" s="8"/>
      <c r="I50" s="8"/>
    </row>
    <row r="51" spans="1:9" hidden="1"/>
    <row r="52" spans="1:9" hidden="1"/>
    <row r="53" spans="1:9" hidden="1">
      <c r="C53" t="str">
        <f>_xll.TM1RPTVIEW("tango_core_model:zz_Process_Reject_By_Source:ARPT3", 1, _xll.TM1RPTTITLE("tango_core_model:zz_Process_Source",$D$56), _xll.TM1RPTTITLE("tango_core_model:zz_Date_Time_loading",$D$55),TM1RPTFMTRNG,TM1RPTFMTIDCOL)</f>
        <v>tango_core_model:zz_Process_Reject_By_Source:ARPT3</v>
      </c>
    </row>
    <row r="54" spans="1:9" hidden="1"/>
    <row r="55" spans="1:9" hidden="1">
      <c r="C55" s="24" t="s">
        <v>1</v>
      </c>
      <c r="D55" s="26" t="str">
        <f>D19</f>
        <v/>
      </c>
    </row>
    <row r="56" spans="1:9" hidden="1">
      <c r="C56" s="24" t="s">
        <v>46</v>
      </c>
      <c r="D56" t="str">
        <f>D17</f>
        <v/>
      </c>
    </row>
    <row r="57" spans="1:9" hidden="1"/>
    <row r="58" spans="1:9" hidden="1"/>
    <row r="59" spans="1:9" hidden="1">
      <c r="D59" s="6"/>
      <c r="E59" s="16" t="s">
        <v>21</v>
      </c>
      <c r="F59" s="5"/>
      <c r="G59" s="16" t="s">
        <v>47</v>
      </c>
      <c r="H59" s="16" t="s">
        <v>44</v>
      </c>
      <c r="I59" s="5"/>
    </row>
    <row r="60" spans="1:9">
      <c r="A60" t="e">
        <f>IF(_xll.TM1RPTELISCONSOLIDATED($D$60,$D60),IF(_xll.TM1RPTELLEV($D$60,$D60)&lt;=3,_xll.TM1RPTELLEV($D$60,$D60),"D"),"N")</f>
        <v>#REF!</v>
      </c>
      <c r="B60" s="3"/>
      <c r="C60" s="9" t="str">
        <f>_xll.TM1RPTROW($C$53,"tango_core_model:}Processes")</f>
        <v/>
      </c>
      <c r="D60" s="9" t="str">
        <f>_xll.TM1RPTROW($C$53,"tango_core_model:zz_Num_Lign","First 25")</f>
        <v/>
      </c>
      <c r="E60" s="9" t="e">
        <f>_xll.DBRW($C$53,$D$56,$C60,$D$55,$D60,E$59)</f>
        <v>#VALUE!</v>
      </c>
      <c r="F60" s="8"/>
      <c r="G60" s="8" t="e">
        <f>_xll.DBRW($C$53,$D$56,$C60,$D$55,$D60,G$59)</f>
        <v>#VALUE!</v>
      </c>
      <c r="H60" s="8" t="e">
        <f>_xll.DBRW($C$53,$D$56,$C60,$D$55,$D60,H$59)</f>
        <v>#VALUE!</v>
      </c>
      <c r="I60" s="8"/>
    </row>
    <row r="65" spans="1:10" hidden="1" outlineLevel="1"/>
    <row r="66" spans="1:10" hidden="1" outlineLevel="1">
      <c r="B66" t="str">
        <f>_xll.TM1RPTVIEW("tango_core_model:zz_process_detail_cpp:ARPT1", 1, _xll.TM1RPTTITLE("tango_core_model:}Processes",$C$68), _xll.TM1RPTTITLE("tango_core_model:Period_YTD",$C$69), _xll.TM1RPTTITLE("tango_core_model:Phase",$C$70),TM1RPTFMTRNG,TM1RPTFMTIDCOL)</f>
        <v>tango_core_model:zz_process_detail_cpp:ARPT1</v>
      </c>
    </row>
    <row r="67" spans="1:10" hidden="1" outlineLevel="1"/>
    <row r="68" spans="1:10" hidden="1" outlineLevel="1">
      <c r="B68" s="24" t="s">
        <v>0</v>
      </c>
      <c r="C68" t="str">
        <f>_xll.SUBNM("tango_core_model:}Processes","","DL_ST_PL_YTD_ROLLOUT2")</f>
        <v>DL_ST_PL_YTD_ROLLOUT2</v>
      </c>
    </row>
    <row r="69" spans="1:10" hidden="1" outlineLevel="1">
      <c r="B69" s="24" t="s">
        <v>2</v>
      </c>
      <c r="C69" t="str">
        <f>D21</f>
        <v>2023.08_YTD</v>
      </c>
    </row>
    <row r="70" spans="1:10" hidden="1" outlineLevel="1">
      <c r="B70" s="24" t="s">
        <v>3</v>
      </c>
      <c r="C70" t="str">
        <f>D23</f>
        <v>ACT</v>
      </c>
    </row>
    <row r="71" spans="1:10" hidden="1" outlineLevel="1"/>
    <row r="72" spans="1:10" hidden="1" outlineLevel="1"/>
    <row r="73" spans="1:10" hidden="1" outlineLevel="1">
      <c r="D73" s="27" t="s">
        <v>43</v>
      </c>
      <c r="E73" s="36"/>
      <c r="F73" s="37"/>
      <c r="G73" s="36"/>
      <c r="H73" s="37"/>
      <c r="I73" s="38"/>
    </row>
    <row r="74" spans="1:10" collapsed="1">
      <c r="A74" s="30" t="e">
        <f>IF(_xll.TM1RPTELISCONSOLIDATED($C$74,$C74),IF(_xll.TM1RPTELLEV($C$74,$C74)&lt;=3,_xll.TM1RPTELLEV($C$74,$C74),"D"),"H")</f>
        <v>#REF!</v>
      </c>
      <c r="B74" s="31" t="str">
        <f>_xll.TM1RPTROW($B$66,"tango_core_model:}Chores","L0",,,,$E$10)</f>
        <v/>
      </c>
      <c r="C74" s="31" t="str">
        <f>_xll.TM1RPTROW($B$66,"tango_core_model:zz_Date_Time_loading","L0")</f>
        <v/>
      </c>
      <c r="D74" s="30" t="e">
        <f>_xll.DBRW($B$66,$B74,$C$68,$C74,$C$69,$C$70,D$73)</f>
        <v>#VALUE!</v>
      </c>
      <c r="E74" s="30"/>
      <c r="F74" s="35"/>
      <c r="G74" s="35"/>
      <c r="H74" s="35"/>
      <c r="I74" s="35"/>
      <c r="J74" s="30"/>
    </row>
    <row r="75" spans="1:10" hidden="1" outlineLevel="1"/>
    <row r="76" spans="1:10" hidden="1" outlineLevel="1"/>
    <row r="77" spans="1:10" collapsed="1"/>
  </sheetData>
  <mergeCells count="1">
    <mergeCell ref="B13:I15"/>
  </mergeCells>
  <conditionalFormatting sqref="I8 I29 I63:I72 I51 I10:I27 I38:I40 I74:I1006">
    <cfRule type="containsText" dxfId="19" priority="1001" operator="containsText" text="KO">
      <formula>NOT(ISERROR(SEARCH("KO",I8)))</formula>
    </cfRule>
    <cfRule type="containsText" dxfId="18" priority="1002" operator="containsText" text="OK">
      <formula>NOT(ISERROR(SEARCH("OK",I8)))</formula>
    </cfRule>
  </conditionalFormatting>
  <conditionalFormatting sqref="I73">
    <cfRule type="containsText" dxfId="17" priority="873" operator="containsText" text="KO">
      <formula>NOT(ISERROR(SEARCH("KO",I73)))</formula>
    </cfRule>
    <cfRule type="containsText" dxfId="16" priority="874" operator="containsText" text="OK">
      <formula>NOT(ISERROR(SEARCH("OK",I73)))</formula>
    </cfRule>
  </conditionalFormatting>
  <conditionalFormatting sqref="I9">
    <cfRule type="containsText" dxfId="15" priority="643" operator="containsText" text="KO">
      <formula>NOT(ISERROR(SEARCH("KO",I9)))</formula>
    </cfRule>
    <cfRule type="containsText" dxfId="14" priority="644" operator="containsText" text="OK">
      <formula>NOT(ISERROR(SEARCH("OK",I9)))</formula>
    </cfRule>
  </conditionalFormatting>
  <conditionalFormatting sqref="I36">
    <cfRule type="containsText" dxfId="13" priority="835" operator="containsText" text="KO">
      <formula>NOT(ISERROR(SEARCH("KO",I36)))</formula>
    </cfRule>
    <cfRule type="containsText" dxfId="12" priority="836" operator="containsText" text="OK">
      <formula>NOT(ISERROR(SEARCH("OK",I36)))</formula>
    </cfRule>
  </conditionalFormatting>
  <conditionalFormatting sqref="I3:I6">
    <cfRule type="containsText" dxfId="11" priority="645" operator="containsText" text="KO">
      <formula>NOT(ISERROR(SEARCH("KO",I3)))</formula>
    </cfRule>
    <cfRule type="containsText" dxfId="10" priority="646" operator="containsText" text="OK">
      <formula>NOT(ISERROR(SEARCH("OK",I3)))</formula>
    </cfRule>
  </conditionalFormatting>
  <conditionalFormatting sqref="I7">
    <cfRule type="containsText" dxfId="9" priority="133" operator="containsText" text="KO">
      <formula>NOT(ISERROR(SEARCH("KO",I7)))</formula>
    </cfRule>
    <cfRule type="containsText" dxfId="8" priority="134" operator="containsText" text="OK">
      <formula>NOT(ISERROR(SEARCH("OK",I7)))</formula>
    </cfRule>
  </conditionalFormatting>
  <conditionalFormatting sqref="I60">
    <cfRule type="containsText" dxfId="7" priority="75" operator="containsText" text="KO">
      <formula>NOT(ISERROR(SEARCH("KO",I60)))</formula>
    </cfRule>
    <cfRule type="containsText" dxfId="6" priority="76" operator="containsText" text="OK">
      <formula>NOT(ISERROR(SEARCH("OK",I60)))</formula>
    </cfRule>
  </conditionalFormatting>
  <conditionalFormatting sqref="I50">
    <cfRule type="containsText" dxfId="5" priority="21" operator="containsText" text="KO">
      <formula>NOT(ISERROR(SEARCH("KO",I50)))</formula>
    </cfRule>
    <cfRule type="containsText" dxfId="4" priority="22" operator="containsText" text="OK">
      <formula>NOT(ISERROR(SEARCH("OK",I50)))</formula>
    </cfRule>
  </conditionalFormatting>
  <conditionalFormatting sqref="I37">
    <cfRule type="containsText" dxfId="3" priority="3" operator="containsText" text="KO">
      <formula>NOT(ISERROR(SEARCH("KO",I37)))</formula>
    </cfRule>
    <cfRule type="containsText" dxfId="2" priority="4" operator="containsText" text="OK">
      <formula>NOT(ISERROR(SEARCH("OK",I37)))</formula>
    </cfRule>
  </conditionalFormatting>
  <conditionalFormatting sqref="I28">
    <cfRule type="containsText" dxfId="1" priority="1" operator="containsText" text="KO">
      <formula>NOT(ISERROR(SEARCH("KO",I28)))</formula>
    </cfRule>
    <cfRule type="containsText" dxfId="0" priority="2" operator="containsText" text="OK">
      <formula>NOT(ISERROR(SEARCH("OK",I28)))</formula>
    </cfRule>
  </conditionalFormatting>
  <dataValidations disablePrompts="1" count="4">
    <dataValidation showDropDown="1" showInputMessage="1" showErrorMessage="1" sqref="G19" xr:uid="{00000000-0002-0000-0100-000000000000}"/>
    <dataValidation type="list" allowBlank="1" showInputMessage="1" showErrorMessage="1" sqref="E19:E20" xr:uid="{00000000-0002-0000-0100-000001000000}">
      <formula1>#REF!</formula1>
    </dataValidation>
    <dataValidation type="list" allowBlank="1" showInputMessage="1" showErrorMessage="1" sqref="D12 D16 F20:G20 D22" xr:uid="{00000000-0002-0000-0100-000002000000}">
      <formula1>#REF!</formula1>
    </dataValidation>
    <dataValidation type="list" allowBlank="1" showInputMessage="1" showErrorMessage="1" sqref="D23" xr:uid="{00000000-0002-0000-0100-000003000000}">
      <formula1>Phase_List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8F41DDFC12A047B89ADFEAFA8CA40C" ma:contentTypeVersion="18" ma:contentTypeDescription="Crée un document." ma:contentTypeScope="" ma:versionID="1f7140a7bbedc0c2710b5bb791715270">
  <xsd:schema xmlns:xsd="http://www.w3.org/2001/XMLSchema" xmlns:xs="http://www.w3.org/2001/XMLSchema" xmlns:p="http://schemas.microsoft.com/office/2006/metadata/properties" xmlns:ns2="37c46d26-95e5-4380-a06b-df42f7fe1bef" xmlns:ns3="7ab32658-e8b5-4d7e-b280-1fb722dd2be1" targetNamespace="http://schemas.microsoft.com/office/2006/metadata/properties" ma:root="true" ma:fieldsID="99e5fd3a55f4560dcbc440286aaed2a9" ns2:_="" ns3:_="">
    <xsd:import namespace="37c46d26-95e5-4380-a06b-df42f7fe1bef"/>
    <xsd:import namespace="7ab32658-e8b5-4d7e-b280-1fb722dd2b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c46d26-95e5-4380-a06b-df42f7fe1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32658-e8b5-4d7e-b280-1fb722dd2b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haredContentType xmlns="Microsoft.SharePoint.Taxonomy.ContentTypeSync" SourceId="b49a2378-73c7-4e4c-bff8-b85a2f404b86" ContentTypeId="0x0101" PreviousValue="false"/>
</file>

<file path=customXml/itemProps1.xml><?xml version="1.0" encoding="utf-8"?>
<ds:datastoreItem xmlns:ds="http://schemas.openxmlformats.org/officeDocument/2006/customXml" ds:itemID="{0F2E2DDD-9DD0-404A-97C4-40B39B58236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869B577-1F5E-4A6D-BF5A-1C1745E6EFD7}">
  <ds:schemaRefs>
    <ds:schemaRef ds:uri="http://schemas.microsoft.com/office/infopath/2007/PartnerControls"/>
    <ds:schemaRef ds:uri="http://www.w3.org/XML/1998/namespace"/>
    <ds:schemaRef ds:uri="http://purl.org/dc/terms/"/>
    <ds:schemaRef ds:uri="http://purl.org/dc/elements/1.1/"/>
    <ds:schemaRef ds:uri="http://purl.org/dc/dcmitype/"/>
    <ds:schemaRef ds:uri="http://schemas.microsoft.com/office/2006/metadata/properties"/>
    <ds:schemaRef ds:uri="7ab32658-e8b5-4d7e-b280-1fb722dd2be1"/>
    <ds:schemaRef ds:uri="http://schemas.openxmlformats.org/package/2006/metadata/core-properties"/>
    <ds:schemaRef ds:uri="http://schemas.microsoft.com/office/2006/documentManagement/types"/>
    <ds:schemaRef ds:uri="37c46d26-95e5-4380-a06b-df42f7fe1bef"/>
  </ds:schemaRefs>
</ds:datastoreItem>
</file>

<file path=customXml/itemProps3.xml><?xml version="1.0" encoding="utf-8"?>
<ds:datastoreItem xmlns:ds="http://schemas.openxmlformats.org/officeDocument/2006/customXml" ds:itemID="{3ED66BEE-CFBC-4F5E-A12D-4507A31A6B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c46d26-95e5-4380-a06b-df42f7fe1bef"/>
    <ds:schemaRef ds:uri="7ab32658-e8b5-4d7e-b280-1fb722dd2b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DDE55A6-0099-4DE4-844D-5003A03D9045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18</vt:i4>
      </vt:variant>
    </vt:vector>
  </HeadingPairs>
  <TitlesOfParts>
    <vt:vector size="20" baseType="lpstr">
      <vt:lpstr>Context</vt:lpstr>
      <vt:lpstr>Process Reject CPP</vt:lpstr>
      <vt:lpstr>Month_Actual</vt:lpstr>
      <vt:lpstr>Month_Actual_YTD</vt:lpstr>
      <vt:lpstr>Period_YTD</vt:lpstr>
      <vt:lpstr>Phase_List</vt:lpstr>
      <vt:lpstr>Server</vt:lpstr>
      <vt:lpstr>Serveur</vt:lpstr>
      <vt:lpstr>source_entity</vt:lpstr>
      <vt:lpstr>'Process Reject CPP'!TM1RPTDATARNG1</vt:lpstr>
      <vt:lpstr>'Process Reject CPP'!TM1RPTDATARNGARPT1</vt:lpstr>
      <vt:lpstr>'Process Reject CPP'!TM1RPTDATARNGARPT2</vt:lpstr>
      <vt:lpstr>'Process Reject CPP'!TM1RPTDATARNGARPT3</vt:lpstr>
      <vt:lpstr>'Process Reject CPP'!TM1RPTDATARNGARPT4</vt:lpstr>
      <vt:lpstr>'Process Reject CPP'!TM1RPTFMTIDCOL</vt:lpstr>
      <vt:lpstr>'Process Reject CPP'!TM1RPTFMTRNG</vt:lpstr>
      <vt:lpstr>Total_Year_Budget_Forecast</vt:lpstr>
      <vt:lpstr>xServer</vt:lpstr>
      <vt:lpstr>xTM1User</vt:lpstr>
      <vt:lpstr>Year_Budget_Forecast</vt:lpstr>
    </vt:vector>
  </TitlesOfParts>
  <Company>TRANSDEV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Gurav, Omkar</dc:creator>
  <cp:lastModifiedBy>Mila Barki</cp:lastModifiedBy>
  <cp:lastPrinted>2022-02-21T10:13:52Z</cp:lastPrinted>
  <dcterms:created xsi:type="dcterms:W3CDTF">2022-02-09T11:49:39Z</dcterms:created>
  <dcterms:modified xsi:type="dcterms:W3CDTF">2024-09-10T12:27:21Z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0x010100CF8F41DDFC12A047B89ADFEAFA8CA40C</vt:lpwstr>
  </property>
</Properties>
</file>